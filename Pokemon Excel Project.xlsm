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tables/table3.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roy\Downloads\"/>
    </mc:Choice>
  </mc:AlternateContent>
  <xr:revisionPtr revIDLastSave="0" documentId="13_ncr:1_{E052DC06-7D88-44D6-ABEF-CC4F0FCDA8FA}" xr6:coauthVersionLast="47" xr6:coauthVersionMax="47" xr10:uidLastSave="{00000000-0000-0000-0000-000000000000}"/>
  <bookViews>
    <workbookView xWindow="-120" yWindow="-120" windowWidth="29040" windowHeight="15840" xr2:uid="{00000000-000D-0000-FFFF-FFFF00000000}"/>
  </bookViews>
  <sheets>
    <sheet name="Pokedex + Conditional Format" sheetId="1" r:id="rId1"/>
    <sheet name="VLOOKUP" sheetId="3" r:id="rId2"/>
    <sheet name="COUNTIFS" sheetId="7" r:id="rId3"/>
    <sheet name="ShortenPokedexColumns+UserForm" sheetId="2" r:id="rId4"/>
    <sheet name="PIVOT TABLES" sheetId="4" r:id="rId5"/>
    <sheet name="FORECAST" sheetId="6" r:id="rId6"/>
  </sheets>
  <definedNames>
    <definedName name="Slicer_Generation1">#N/A</definedName>
    <definedName name="Slicer_Type1">#N/A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9" i="7" l="1"/>
  <c r="R40" i="6"/>
  <c r="R23" i="6"/>
  <c r="R6" i="6"/>
  <c r="D15" i="3"/>
  <c r="D14" i="3"/>
  <c r="D13" i="3"/>
  <c r="D12" i="3"/>
  <c r="D11" i="3"/>
  <c r="D10" i="3"/>
  <c r="D9" i="3"/>
  <c r="D8" i="3"/>
</calcChain>
</file>

<file path=xl/sharedStrings.xml><?xml version="1.0" encoding="utf-8"?>
<sst xmlns="http://schemas.openxmlformats.org/spreadsheetml/2006/main" count="20893" uniqueCount="2850">
  <si>
    <t>No</t>
  </si>
  <si>
    <t>Branch_Code</t>
  </si>
  <si>
    <t>Original_Name</t>
  </si>
  <si>
    <t>Name</t>
  </si>
  <si>
    <t>Generation</t>
  </si>
  <si>
    <t>Height</t>
  </si>
  <si>
    <t>Weight</t>
  </si>
  <si>
    <t>Type1</t>
  </si>
  <si>
    <t>Type2</t>
  </si>
  <si>
    <t>Ability1</t>
  </si>
  <si>
    <t>Ability2</t>
  </si>
  <si>
    <t>Ability_Hidden</t>
  </si>
  <si>
    <t>Color</t>
  </si>
  <si>
    <t>Gender_Male</t>
  </si>
  <si>
    <t>Gender_Female</t>
  </si>
  <si>
    <t>Gender_Unknown</t>
  </si>
  <si>
    <t>Egg_Steps</t>
  </si>
  <si>
    <t>Egg_Group1</t>
  </si>
  <si>
    <t>Egg_Group2</t>
  </si>
  <si>
    <t>Get_Rate</t>
  </si>
  <si>
    <t>Base_Experience</t>
  </si>
  <si>
    <t>Experience_Type</t>
  </si>
  <si>
    <t>Category</t>
  </si>
  <si>
    <t>Mega_Evolution_Flag</t>
  </si>
  <si>
    <t>Region_Form</t>
  </si>
  <si>
    <t>HP</t>
  </si>
  <si>
    <t>Attack</t>
  </si>
  <si>
    <t>Defense</t>
  </si>
  <si>
    <t>SP_Attack</t>
  </si>
  <si>
    <t>SP_Defense</t>
  </si>
  <si>
    <t>Speed</t>
  </si>
  <si>
    <t>Total</t>
  </si>
  <si>
    <t>E_HP</t>
  </si>
  <si>
    <t>E_Attack</t>
  </si>
  <si>
    <t>E_Defense</t>
  </si>
  <si>
    <t>E_SP_Attack</t>
  </si>
  <si>
    <t>E_SP_Defense</t>
  </si>
  <si>
    <t>E_Speed</t>
  </si>
  <si>
    <t>1_0</t>
  </si>
  <si>
    <t>Bulbasaur</t>
  </si>
  <si>
    <t>Grass</t>
  </si>
  <si>
    <t>Poison</t>
  </si>
  <si>
    <t>Overgrow</t>
  </si>
  <si>
    <t>Chlorophyll</t>
  </si>
  <si>
    <t>Green</t>
  </si>
  <si>
    <t>Monster</t>
  </si>
  <si>
    <t>Ordinary</t>
  </si>
  <si>
    <t>2_0</t>
  </si>
  <si>
    <t>Ivysaur</t>
  </si>
  <si>
    <t>3_0</t>
  </si>
  <si>
    <t>Venusaur</t>
  </si>
  <si>
    <t>3_1</t>
  </si>
  <si>
    <t>Mega Venusaur</t>
  </si>
  <si>
    <t>Thick Fat</t>
  </si>
  <si>
    <t>Mega</t>
  </si>
  <si>
    <t>4_0</t>
  </si>
  <si>
    <t>Charmander</t>
  </si>
  <si>
    <t>Fire</t>
  </si>
  <si>
    <t>Blaze</t>
  </si>
  <si>
    <t>Solar Power</t>
  </si>
  <si>
    <t>Red</t>
  </si>
  <si>
    <t>Dragon</t>
  </si>
  <si>
    <t>5_0</t>
  </si>
  <si>
    <t>Charmeleon</t>
  </si>
  <si>
    <t>6_0</t>
  </si>
  <si>
    <t>Charizard</t>
  </si>
  <si>
    <t>Flying</t>
  </si>
  <si>
    <t>6_1</t>
  </si>
  <si>
    <t>Mega Charizard X</t>
  </si>
  <si>
    <t>Tough Claws</t>
  </si>
  <si>
    <t>Black</t>
  </si>
  <si>
    <t>6_2</t>
  </si>
  <si>
    <t>Mega Charizard Y</t>
  </si>
  <si>
    <t>Drought</t>
  </si>
  <si>
    <t>7_0</t>
  </si>
  <si>
    <t>Squirtle</t>
  </si>
  <si>
    <t>Water</t>
  </si>
  <si>
    <t>Torrent</t>
  </si>
  <si>
    <t>Rain Dish</t>
  </si>
  <si>
    <t>Blue</t>
  </si>
  <si>
    <t>Water1</t>
  </si>
  <si>
    <t>8_0</t>
  </si>
  <si>
    <t>Wartortle</t>
  </si>
  <si>
    <t>9_0</t>
  </si>
  <si>
    <t>Blastoise</t>
  </si>
  <si>
    <t>9_1</t>
  </si>
  <si>
    <t>Mega Blastoise</t>
  </si>
  <si>
    <t>Mega Launcher</t>
  </si>
  <si>
    <t>10_0</t>
  </si>
  <si>
    <t>Caterpie</t>
  </si>
  <si>
    <t>Bug</t>
  </si>
  <si>
    <t>Shield Dust</t>
  </si>
  <si>
    <t>Run Away</t>
  </si>
  <si>
    <t>11_0</t>
  </si>
  <si>
    <t>Metapod</t>
  </si>
  <si>
    <t>Shed Skin</t>
  </si>
  <si>
    <t>12_0</t>
  </si>
  <si>
    <t>Butterfree</t>
  </si>
  <si>
    <t>Compound Eyes</t>
  </si>
  <si>
    <t>Tinted Lens</t>
  </si>
  <si>
    <t>White</t>
  </si>
  <si>
    <t>13_0</t>
  </si>
  <si>
    <t>Weedle</t>
  </si>
  <si>
    <t>Brown</t>
  </si>
  <si>
    <t>14_0</t>
  </si>
  <si>
    <t>Kakuna</t>
  </si>
  <si>
    <t>Yellow</t>
  </si>
  <si>
    <t>15_0</t>
  </si>
  <si>
    <t>Beedrill</t>
  </si>
  <si>
    <t>Swarm</t>
  </si>
  <si>
    <t>Sniper</t>
  </si>
  <si>
    <t>15_1</t>
  </si>
  <si>
    <t>Mega Beedrill</t>
  </si>
  <si>
    <t>Adaptability</t>
  </si>
  <si>
    <t>16_0</t>
  </si>
  <si>
    <t>Pidgey</t>
  </si>
  <si>
    <t>Normal</t>
  </si>
  <si>
    <t>Keen Eye</t>
  </si>
  <si>
    <t>Tangled Feet</t>
  </si>
  <si>
    <t>Big Pecks</t>
  </si>
  <si>
    <t>17_0</t>
  </si>
  <si>
    <t>Pidgeotto</t>
  </si>
  <si>
    <t>18_0</t>
  </si>
  <si>
    <t>Pidgeot</t>
  </si>
  <si>
    <t>18_1</t>
  </si>
  <si>
    <t>Mega Pidgeot</t>
  </si>
  <si>
    <t>No Guard</t>
  </si>
  <si>
    <t>19_0</t>
  </si>
  <si>
    <t>Rattata</t>
  </si>
  <si>
    <t>Guts</t>
  </si>
  <si>
    <t>Hustle</t>
  </si>
  <si>
    <t>Purple</t>
  </si>
  <si>
    <t>Ground</t>
  </si>
  <si>
    <t>19_1</t>
  </si>
  <si>
    <t>Alolan Rattata</t>
  </si>
  <si>
    <t>Dark</t>
  </si>
  <si>
    <t>Gluttony</t>
  </si>
  <si>
    <t>Alolan</t>
  </si>
  <si>
    <t>20_0</t>
  </si>
  <si>
    <t>Raticate</t>
  </si>
  <si>
    <t>20_1</t>
  </si>
  <si>
    <t>Alolan Raticate</t>
  </si>
  <si>
    <t>21_0</t>
  </si>
  <si>
    <t>Spearow</t>
  </si>
  <si>
    <t>22_0</t>
  </si>
  <si>
    <t>Fearow</t>
  </si>
  <si>
    <t>23_0</t>
  </si>
  <si>
    <t>Ekans</t>
  </si>
  <si>
    <t>Intimidate</t>
  </si>
  <si>
    <t>Unnerve</t>
  </si>
  <si>
    <t>24_0</t>
  </si>
  <si>
    <t>Arbok</t>
  </si>
  <si>
    <t>25_0</t>
  </si>
  <si>
    <t>Pikachu</t>
  </si>
  <si>
    <t>Electric</t>
  </si>
  <si>
    <t>Static</t>
  </si>
  <si>
    <t>Lightning Rod</t>
  </si>
  <si>
    <t>Fairy</t>
  </si>
  <si>
    <t>26_0</t>
  </si>
  <si>
    <t>Raichu</t>
  </si>
  <si>
    <t>26_1</t>
  </si>
  <si>
    <t>Alolan Raichu</t>
  </si>
  <si>
    <t>Psychic</t>
  </si>
  <si>
    <t>Surge Surfer</t>
  </si>
  <si>
    <t>27_0</t>
  </si>
  <si>
    <t>Sandshrew</t>
  </si>
  <si>
    <t>Sand Veil</t>
  </si>
  <si>
    <t>Sand Rush</t>
  </si>
  <si>
    <t>27_1</t>
  </si>
  <si>
    <t>Alolan Sandshrew</t>
  </si>
  <si>
    <t>Ice</t>
  </si>
  <si>
    <t>Steel</t>
  </si>
  <si>
    <t>Snow Cloak</t>
  </si>
  <si>
    <t>Slush Rush</t>
  </si>
  <si>
    <t>28_0</t>
  </si>
  <si>
    <t>Sandslash</t>
  </si>
  <si>
    <t>28_1</t>
  </si>
  <si>
    <t>Alolan Sandslash</t>
  </si>
  <si>
    <t>29_0</t>
  </si>
  <si>
    <t>Nidoran F</t>
  </si>
  <si>
    <t>Poison Point</t>
  </si>
  <si>
    <t>Rivalry</t>
  </si>
  <si>
    <t>30_0</t>
  </si>
  <si>
    <t>Nidorina</t>
  </si>
  <si>
    <t>Undiscovered</t>
  </si>
  <si>
    <t>31_0</t>
  </si>
  <si>
    <t>Nidoqueen</t>
  </si>
  <si>
    <t>Sheer Force</t>
  </si>
  <si>
    <t>32_0</t>
  </si>
  <si>
    <t>Nidoran M</t>
  </si>
  <si>
    <t>33_0</t>
  </si>
  <si>
    <t>Nidorino</t>
  </si>
  <si>
    <t>34_0</t>
  </si>
  <si>
    <t>Nidoking</t>
  </si>
  <si>
    <t>35_0</t>
  </si>
  <si>
    <t>Clefairy</t>
  </si>
  <si>
    <t>Cute Charm</t>
  </si>
  <si>
    <t>Magic Guard</t>
  </si>
  <si>
    <t>Friend Guard</t>
  </si>
  <si>
    <t>Pink</t>
  </si>
  <si>
    <t>36_0</t>
  </si>
  <si>
    <t>Clefable</t>
  </si>
  <si>
    <t>Unaware</t>
  </si>
  <si>
    <t>37_0</t>
  </si>
  <si>
    <t>Vulpix</t>
  </si>
  <si>
    <t>Flash Fire</t>
  </si>
  <si>
    <t>37_1</t>
  </si>
  <si>
    <t>Alolan Vulpix</t>
  </si>
  <si>
    <t>Snow Warning</t>
  </si>
  <si>
    <t>38_0</t>
  </si>
  <si>
    <t>Ninetales</t>
  </si>
  <si>
    <t>38_1</t>
  </si>
  <si>
    <t>Alolan Ninetales</t>
  </si>
  <si>
    <t>39_0</t>
  </si>
  <si>
    <t>Jigglypuff</t>
  </si>
  <si>
    <t>Competitive</t>
  </si>
  <si>
    <t>40_0</t>
  </si>
  <si>
    <t>Wigglytuff</t>
  </si>
  <si>
    <t>Frisk</t>
  </si>
  <si>
    <t>41_0</t>
  </si>
  <si>
    <t>Zubat</t>
  </si>
  <si>
    <t>Inner Focus</t>
  </si>
  <si>
    <t>Infiltrator</t>
  </si>
  <si>
    <t>42_0</t>
  </si>
  <si>
    <t>Golbat</t>
  </si>
  <si>
    <t>43_0</t>
  </si>
  <si>
    <t>Oddish</t>
  </si>
  <si>
    <t>44_0</t>
  </si>
  <si>
    <t>Gloom</t>
  </si>
  <si>
    <t>Stench</t>
  </si>
  <si>
    <t>45_0</t>
  </si>
  <si>
    <t>Vileplume</t>
  </si>
  <si>
    <t>Effect Spore</t>
  </si>
  <si>
    <t>46_0</t>
  </si>
  <si>
    <t>Paras</t>
  </si>
  <si>
    <t>Dry Skin</t>
  </si>
  <si>
    <t>Damp</t>
  </si>
  <si>
    <t>47_0</t>
  </si>
  <si>
    <t>Parasect</t>
  </si>
  <si>
    <t>48_0</t>
  </si>
  <si>
    <t>Venonat</t>
  </si>
  <si>
    <t>49_0</t>
  </si>
  <si>
    <t>Venomoth</t>
  </si>
  <si>
    <t>Wonder Skin</t>
  </si>
  <si>
    <t>50_0</t>
  </si>
  <si>
    <t>Diglett</t>
  </si>
  <si>
    <t>Arena Trap</t>
  </si>
  <si>
    <t>Sand Force</t>
  </si>
  <si>
    <t>50_1</t>
  </si>
  <si>
    <t>Alolan Diglett</t>
  </si>
  <si>
    <t>Tangling Hair</t>
  </si>
  <si>
    <t>51_0</t>
  </si>
  <si>
    <t>Dugtrio</t>
  </si>
  <si>
    <t>51_1</t>
  </si>
  <si>
    <t>Alolan Dugtrio</t>
  </si>
  <si>
    <t>52_0</t>
  </si>
  <si>
    <t>Meowth</t>
  </si>
  <si>
    <t>Pickup</t>
  </si>
  <si>
    <t>Technician</t>
  </si>
  <si>
    <t>52_1</t>
  </si>
  <si>
    <t>Alolan Meowth</t>
  </si>
  <si>
    <t>Rattled</t>
  </si>
  <si>
    <t>52_2</t>
  </si>
  <si>
    <t>Galarian Meowth</t>
  </si>
  <si>
    <t>Galarian</t>
  </si>
  <si>
    <t>53_0</t>
  </si>
  <si>
    <t>Persian</t>
  </si>
  <si>
    <t>Limber</t>
  </si>
  <si>
    <t>53_1</t>
  </si>
  <si>
    <t>Alolan Persian</t>
  </si>
  <si>
    <t>Fur Coat</t>
  </si>
  <si>
    <t>54_0</t>
  </si>
  <si>
    <t>Psyduck</t>
  </si>
  <si>
    <t>Cloud Nine</t>
  </si>
  <si>
    <t>Swift Swim</t>
  </si>
  <si>
    <t>55_0</t>
  </si>
  <si>
    <t>Golduck</t>
  </si>
  <si>
    <t>56_0</t>
  </si>
  <si>
    <t>Mankey</t>
  </si>
  <si>
    <t>Fighting</t>
  </si>
  <si>
    <t>Vital Spirit</t>
  </si>
  <si>
    <t>Anger Point</t>
  </si>
  <si>
    <t>Defiant</t>
  </si>
  <si>
    <t>57_0</t>
  </si>
  <si>
    <t>Primeape</t>
  </si>
  <si>
    <t>58_0</t>
  </si>
  <si>
    <t>Growlithe</t>
  </si>
  <si>
    <t>Justified</t>
  </si>
  <si>
    <t>58_1</t>
  </si>
  <si>
    <t>Hisuian Growlithe</t>
  </si>
  <si>
    <t>Rock</t>
  </si>
  <si>
    <t>Rock Head</t>
  </si>
  <si>
    <t>Hisuian</t>
  </si>
  <si>
    <t>59_0</t>
  </si>
  <si>
    <t>Arcanine</t>
  </si>
  <si>
    <t>59_1</t>
  </si>
  <si>
    <t>Hisuian Arcanine</t>
  </si>
  <si>
    <t>60_0</t>
  </si>
  <si>
    <t>Poliwag</t>
  </si>
  <si>
    <t>Water Absorb</t>
  </si>
  <si>
    <t>61_0</t>
  </si>
  <si>
    <t>Poliwhirl</t>
  </si>
  <si>
    <t>62_0</t>
  </si>
  <si>
    <t>Poliwrath</t>
  </si>
  <si>
    <t>63_0</t>
  </si>
  <si>
    <t>Abra</t>
  </si>
  <si>
    <t>Synchronize</t>
  </si>
  <si>
    <t>Human-Like</t>
  </si>
  <si>
    <t>64_0</t>
  </si>
  <si>
    <t>Kadabra</t>
  </si>
  <si>
    <t>65_0</t>
  </si>
  <si>
    <t>Alakazam</t>
  </si>
  <si>
    <t>65_1</t>
  </si>
  <si>
    <t>Mega Alakazam</t>
  </si>
  <si>
    <t>Trace</t>
  </si>
  <si>
    <t>66_0</t>
  </si>
  <si>
    <t>Machop</t>
  </si>
  <si>
    <t>Steadfast</t>
  </si>
  <si>
    <t>Gray</t>
  </si>
  <si>
    <t>67_0</t>
  </si>
  <si>
    <t>Machoke</t>
  </si>
  <si>
    <t>68_0</t>
  </si>
  <si>
    <t>Machamp</t>
  </si>
  <si>
    <t>69_0</t>
  </si>
  <si>
    <t>Bellsprout</t>
  </si>
  <si>
    <t>70_0</t>
  </si>
  <si>
    <t>Weepinbell</t>
  </si>
  <si>
    <t>71_0</t>
  </si>
  <si>
    <t>Victreebel</t>
  </si>
  <si>
    <t>72_0</t>
  </si>
  <si>
    <t>Tentacool</t>
  </si>
  <si>
    <t>Clear Body</t>
  </si>
  <si>
    <t>Liquid Ooze</t>
  </si>
  <si>
    <t>Water3</t>
  </si>
  <si>
    <t>73_0</t>
  </si>
  <si>
    <t>Tentacruel</t>
  </si>
  <si>
    <t>74_0</t>
  </si>
  <si>
    <t>Geodude</t>
  </si>
  <si>
    <t>Sturdy</t>
  </si>
  <si>
    <t>Mineral</t>
  </si>
  <si>
    <t>74_1</t>
  </si>
  <si>
    <t>Alolan Geodude</t>
  </si>
  <si>
    <t>Magnet Pull</t>
  </si>
  <si>
    <t>Galvanize</t>
  </si>
  <si>
    <t>75_0</t>
  </si>
  <si>
    <t>Graveler</t>
  </si>
  <si>
    <t>75_1</t>
  </si>
  <si>
    <t>Alolan Graveler</t>
  </si>
  <si>
    <t>76_0</t>
  </si>
  <si>
    <t>Golem</t>
  </si>
  <si>
    <t>76_1</t>
  </si>
  <si>
    <t>Alolan Golem</t>
  </si>
  <si>
    <t>77_0</t>
  </si>
  <si>
    <t>Ponyta</t>
  </si>
  <si>
    <t>Flame Body</t>
  </si>
  <si>
    <t>77_1</t>
  </si>
  <si>
    <t>Galarian Ponyta</t>
  </si>
  <si>
    <t>Pastel Veil</t>
  </si>
  <si>
    <t>Anticipation</t>
  </si>
  <si>
    <t>78_0</t>
  </si>
  <si>
    <t>Rapidash</t>
  </si>
  <si>
    <t>78_1</t>
  </si>
  <si>
    <t>Galarian Rapidash</t>
  </si>
  <si>
    <t>79_0</t>
  </si>
  <si>
    <t>Slowpoke</t>
  </si>
  <si>
    <t>Oblivious</t>
  </si>
  <si>
    <t>Own Tempo</t>
  </si>
  <si>
    <t>Regenerator</t>
  </si>
  <si>
    <t>79_1</t>
  </si>
  <si>
    <t>Galarian Slowpoke</t>
  </si>
  <si>
    <t>80_0</t>
  </si>
  <si>
    <t>Slowbro</t>
  </si>
  <si>
    <t>80_1</t>
  </si>
  <si>
    <t>Galarian Slowbro</t>
  </si>
  <si>
    <t>Quick Draw</t>
  </si>
  <si>
    <t>80_2</t>
  </si>
  <si>
    <t>Mega Slowbro</t>
  </si>
  <si>
    <t>Shell Armor</t>
  </si>
  <si>
    <t>81_0</t>
  </si>
  <si>
    <t>Magnemite</t>
  </si>
  <si>
    <t>Analytic</t>
  </si>
  <si>
    <t>82_0</t>
  </si>
  <si>
    <t>Magneton</t>
  </si>
  <si>
    <t>83_0</t>
  </si>
  <si>
    <t>Farfetch'd</t>
  </si>
  <si>
    <t>83_1</t>
  </si>
  <si>
    <t>Galarian Farfetch'd</t>
  </si>
  <si>
    <t>Scrappy</t>
  </si>
  <si>
    <t>84_0</t>
  </si>
  <si>
    <t>Doduo</t>
  </si>
  <si>
    <t>Early Bird</t>
  </si>
  <si>
    <t>85_0</t>
  </si>
  <si>
    <t>Dodrio</t>
  </si>
  <si>
    <t>86_0</t>
  </si>
  <si>
    <t>Seel</t>
  </si>
  <si>
    <t>Hydration</t>
  </si>
  <si>
    <t>Ice Body</t>
  </si>
  <si>
    <t>87_0</t>
  </si>
  <si>
    <t>Dewgong</t>
  </si>
  <si>
    <t>88_0</t>
  </si>
  <si>
    <t>Grimer</t>
  </si>
  <si>
    <t>Sticky Hold</t>
  </si>
  <si>
    <t>Poison Touch</t>
  </si>
  <si>
    <t>Amorphous</t>
  </si>
  <si>
    <t>88_1</t>
  </si>
  <si>
    <t>Alolan Grimer</t>
  </si>
  <si>
    <t>Power of Alchemy</t>
  </si>
  <si>
    <t>89_0</t>
  </si>
  <si>
    <t>Muk</t>
  </si>
  <si>
    <t>89_1</t>
  </si>
  <si>
    <t>Alolan Muk</t>
  </si>
  <si>
    <t>90_0</t>
  </si>
  <si>
    <t>Shellder</t>
  </si>
  <si>
    <t>Skill Link</t>
  </si>
  <si>
    <t>Overcoat</t>
  </si>
  <si>
    <t>91_0</t>
  </si>
  <si>
    <t>Cloyster</t>
  </si>
  <si>
    <t>92_0</t>
  </si>
  <si>
    <t>Gastly</t>
  </si>
  <si>
    <t>Ghost</t>
  </si>
  <si>
    <t>Levitate</t>
  </si>
  <si>
    <t>93_0</t>
  </si>
  <si>
    <t>Haunter</t>
  </si>
  <si>
    <t>94_0</t>
  </si>
  <si>
    <t>Gengar</t>
  </si>
  <si>
    <t>Cursed Body</t>
  </si>
  <si>
    <t>94_1</t>
  </si>
  <si>
    <t>Mega Gengar</t>
  </si>
  <si>
    <t>Shadow Tag</t>
  </si>
  <si>
    <t>95_0</t>
  </si>
  <si>
    <t>Onix</t>
  </si>
  <si>
    <t>Weak Armor</t>
  </si>
  <si>
    <t>96_0</t>
  </si>
  <si>
    <t>Drowzee</t>
  </si>
  <si>
    <t>Insomnia</t>
  </si>
  <si>
    <t>Forewarn</t>
  </si>
  <si>
    <t>97_0</t>
  </si>
  <si>
    <t>Hypno</t>
  </si>
  <si>
    <t>98_0</t>
  </si>
  <si>
    <t>Krabby</t>
  </si>
  <si>
    <t>Hyper Cutter</t>
  </si>
  <si>
    <t>99_0</t>
  </si>
  <si>
    <t>Kingler</t>
  </si>
  <si>
    <t>100_0</t>
  </si>
  <si>
    <t>Voltorb</t>
  </si>
  <si>
    <t>Soundproof</t>
  </si>
  <si>
    <t>Aftermath</t>
  </si>
  <si>
    <t>100_1</t>
  </si>
  <si>
    <t>Hisuian Voltorb</t>
  </si>
  <si>
    <t>101_0</t>
  </si>
  <si>
    <t>Electrode</t>
  </si>
  <si>
    <t>101_1</t>
  </si>
  <si>
    <t>Hisuian Electrode</t>
  </si>
  <si>
    <t>102_0</t>
  </si>
  <si>
    <t>Exeggcute</t>
  </si>
  <si>
    <t>Harvest</t>
  </si>
  <si>
    <t>103_0</t>
  </si>
  <si>
    <t>Exeggutor</t>
  </si>
  <si>
    <t>103_1</t>
  </si>
  <si>
    <t>Alolan Exeggutor</t>
  </si>
  <si>
    <t>104_0</t>
  </si>
  <si>
    <t>Cubone</t>
  </si>
  <si>
    <t>Battle Armor</t>
  </si>
  <si>
    <t>105_0</t>
  </si>
  <si>
    <t>Marowak</t>
  </si>
  <si>
    <t>105_1</t>
  </si>
  <si>
    <t>Alolan Marowak</t>
  </si>
  <si>
    <t>106_0</t>
  </si>
  <si>
    <t>Hitmonlee</t>
  </si>
  <si>
    <t>Reckless</t>
  </si>
  <si>
    <t>Unburden</t>
  </si>
  <si>
    <t>107_0</t>
  </si>
  <si>
    <t>Hitmonchan</t>
  </si>
  <si>
    <t>Iron Fist</t>
  </si>
  <si>
    <t>108_0</t>
  </si>
  <si>
    <t>Lickitung</t>
  </si>
  <si>
    <t>109_0</t>
  </si>
  <si>
    <t>Koffing</t>
  </si>
  <si>
    <t>Neutralizing Gas</t>
  </si>
  <si>
    <t>110_0</t>
  </si>
  <si>
    <t>Weezing</t>
  </si>
  <si>
    <t>110_1</t>
  </si>
  <si>
    <t>Galarian Weezing</t>
  </si>
  <si>
    <t>Misty Surge</t>
  </si>
  <si>
    <t>111_0</t>
  </si>
  <si>
    <t>Rhyhorn</t>
  </si>
  <si>
    <t>112_0</t>
  </si>
  <si>
    <t>Rhydon</t>
  </si>
  <si>
    <t>113_0</t>
  </si>
  <si>
    <t>Chansey</t>
  </si>
  <si>
    <t>Natural Cure</t>
  </si>
  <si>
    <t>Serene Grace</t>
  </si>
  <si>
    <t>Healer</t>
  </si>
  <si>
    <t>114_0</t>
  </si>
  <si>
    <t>Tangela</t>
  </si>
  <si>
    <t>Leaf Guard</t>
  </si>
  <si>
    <t>115_0</t>
  </si>
  <si>
    <t>Kangaskhan</t>
  </si>
  <si>
    <t>115_1</t>
  </si>
  <si>
    <t>Mega Kangaskhan</t>
  </si>
  <si>
    <t>Parental Bond</t>
  </si>
  <si>
    <t>116_0</t>
  </si>
  <si>
    <t>Horsea</t>
  </si>
  <si>
    <t>117_0</t>
  </si>
  <si>
    <t>Seadra</t>
  </si>
  <si>
    <t>118_0</t>
  </si>
  <si>
    <t>Goldeen</t>
  </si>
  <si>
    <t>Water Veil</t>
  </si>
  <si>
    <t>Water2</t>
  </si>
  <si>
    <t>119_0</t>
  </si>
  <si>
    <t>Seaking</t>
  </si>
  <si>
    <t>120_0</t>
  </si>
  <si>
    <t>Staryu</t>
  </si>
  <si>
    <t>Illuminate</t>
  </si>
  <si>
    <t>121_0</t>
  </si>
  <si>
    <t>Starmie</t>
  </si>
  <si>
    <t>122_0</t>
  </si>
  <si>
    <t>Mr. Mime</t>
  </si>
  <si>
    <t>Filter</t>
  </si>
  <si>
    <t>122_1</t>
  </si>
  <si>
    <t>Galarian Mr. Mime</t>
  </si>
  <si>
    <t>Screen Cleaner</t>
  </si>
  <si>
    <t>123_0</t>
  </si>
  <si>
    <t>Scyther</t>
  </si>
  <si>
    <t>124_0</t>
  </si>
  <si>
    <t>Jynx</t>
  </si>
  <si>
    <t>125_0</t>
  </si>
  <si>
    <t>Electabuzz</t>
  </si>
  <si>
    <t>126_0</t>
  </si>
  <si>
    <t>Magmar</t>
  </si>
  <si>
    <t>127_0</t>
  </si>
  <si>
    <t>Pinsir</t>
  </si>
  <si>
    <t>Mold Breaker</t>
  </si>
  <si>
    <t>Moxie</t>
  </si>
  <si>
    <t>127_1</t>
  </si>
  <si>
    <t>Mega Pinsir</t>
  </si>
  <si>
    <t>Aerilate</t>
  </si>
  <si>
    <t>128_0</t>
  </si>
  <si>
    <t>Tauros</t>
  </si>
  <si>
    <t>128_1</t>
  </si>
  <si>
    <t>Paldean Tauros Combat Breed</t>
  </si>
  <si>
    <t>Cud Chew</t>
  </si>
  <si>
    <t>128_2</t>
  </si>
  <si>
    <t>Paldean Tauros Blaze Breed</t>
  </si>
  <si>
    <t>Paldean</t>
  </si>
  <si>
    <t>128_3</t>
  </si>
  <si>
    <t>Paldean Tauros Aqua Breed</t>
  </si>
  <si>
    <t>129_0</t>
  </si>
  <si>
    <t>Magikarp</t>
  </si>
  <si>
    <t>130_0</t>
  </si>
  <si>
    <t>Gyarados</t>
  </si>
  <si>
    <t>130_1</t>
  </si>
  <si>
    <t>Mega Gyarados</t>
  </si>
  <si>
    <t>131_0</t>
  </si>
  <si>
    <t>Lapras</t>
  </si>
  <si>
    <t>132_0</t>
  </si>
  <si>
    <t>Ditto</t>
  </si>
  <si>
    <t>Imposter</t>
  </si>
  <si>
    <t>133_0</t>
  </si>
  <si>
    <t>Eevee</t>
  </si>
  <si>
    <t>134_0</t>
  </si>
  <si>
    <t>Vaporeon</t>
  </si>
  <si>
    <t>135_0</t>
  </si>
  <si>
    <t>Jolteon</t>
  </si>
  <si>
    <t>Volt Absorb</t>
  </si>
  <si>
    <t>Quick Feet</t>
  </si>
  <si>
    <t>136_0</t>
  </si>
  <si>
    <t>Flareon</t>
  </si>
  <si>
    <t>137_0</t>
  </si>
  <si>
    <t>Porygon</t>
  </si>
  <si>
    <t>Download</t>
  </si>
  <si>
    <t>138_0</t>
  </si>
  <si>
    <t>Omanyte</t>
  </si>
  <si>
    <t>139_0</t>
  </si>
  <si>
    <t>Omastar</t>
  </si>
  <si>
    <t>140_0</t>
  </si>
  <si>
    <t>Kabuto</t>
  </si>
  <si>
    <t>141_0</t>
  </si>
  <si>
    <t>Kabutops</t>
  </si>
  <si>
    <t>142_0</t>
  </si>
  <si>
    <t>Aerodactyl</t>
  </si>
  <si>
    <t>Pressure</t>
  </si>
  <si>
    <t>142_1</t>
  </si>
  <si>
    <t>Mega Aerodactyl</t>
  </si>
  <si>
    <t>143_0</t>
  </si>
  <si>
    <t>Snorlax</t>
  </si>
  <si>
    <t>Immunity</t>
  </si>
  <si>
    <t>144_0</t>
  </si>
  <si>
    <t>Articuno</t>
  </si>
  <si>
    <t>Semi-Legendary</t>
  </si>
  <si>
    <t>144_1</t>
  </si>
  <si>
    <t>Galarian Articuno</t>
  </si>
  <si>
    <t>145_0</t>
  </si>
  <si>
    <t>Zapdos</t>
  </si>
  <si>
    <t>145_1</t>
  </si>
  <si>
    <t>Galarian Zapdos</t>
  </si>
  <si>
    <t>146_0</t>
  </si>
  <si>
    <t>Moltres</t>
  </si>
  <si>
    <t>146_1</t>
  </si>
  <si>
    <t>Galarian Moltres</t>
  </si>
  <si>
    <t>Berserk</t>
  </si>
  <si>
    <t>147_0</t>
  </si>
  <si>
    <t>Dratini</t>
  </si>
  <si>
    <t>Marvel Scale</t>
  </si>
  <si>
    <t>148_0</t>
  </si>
  <si>
    <t>Dragonair</t>
  </si>
  <si>
    <t>149_0</t>
  </si>
  <si>
    <t>Dragonite</t>
  </si>
  <si>
    <t>Multiscale</t>
  </si>
  <si>
    <t>150_0</t>
  </si>
  <si>
    <t>Mewtwo</t>
  </si>
  <si>
    <t>Legendary</t>
  </si>
  <si>
    <t>150_1</t>
  </si>
  <si>
    <t>Mega Mewtwo X</t>
  </si>
  <si>
    <t>150_2</t>
  </si>
  <si>
    <t>Mega Mewtwo Y</t>
  </si>
  <si>
    <t>151_0</t>
  </si>
  <si>
    <t>Mew</t>
  </si>
  <si>
    <t>Mythical</t>
  </si>
  <si>
    <t>152_0</t>
  </si>
  <si>
    <t>Chikorita</t>
  </si>
  <si>
    <t>153_0</t>
  </si>
  <si>
    <t>Bayleef</t>
  </si>
  <si>
    <t>154_0</t>
  </si>
  <si>
    <t>Meganium</t>
  </si>
  <si>
    <t>155_0</t>
  </si>
  <si>
    <t>Cyndaquil</t>
  </si>
  <si>
    <t>156_0</t>
  </si>
  <si>
    <t>Quilava</t>
  </si>
  <si>
    <t>157_0</t>
  </si>
  <si>
    <t>Typhlosion</t>
  </si>
  <si>
    <t>157_1</t>
  </si>
  <si>
    <t>Hisuian Typhlosion</t>
  </si>
  <si>
    <t>158_0</t>
  </si>
  <si>
    <t>Totodile</t>
  </si>
  <si>
    <t>159_0</t>
  </si>
  <si>
    <t>Croconaw</t>
  </si>
  <si>
    <t>160_0</t>
  </si>
  <si>
    <t>Feraligatr</t>
  </si>
  <si>
    <t>161_0</t>
  </si>
  <si>
    <t>Sentret</t>
  </si>
  <si>
    <t>162_0</t>
  </si>
  <si>
    <t>Furret</t>
  </si>
  <si>
    <t>163_0</t>
  </si>
  <si>
    <t>Hoothoot</t>
  </si>
  <si>
    <t>164_0</t>
  </si>
  <si>
    <t>Noctowl</t>
  </si>
  <si>
    <t>165_0</t>
  </si>
  <si>
    <t>Ledyba</t>
  </si>
  <si>
    <t>166_0</t>
  </si>
  <si>
    <t>Ledian</t>
  </si>
  <si>
    <t>167_0</t>
  </si>
  <si>
    <t>Spinarak</t>
  </si>
  <si>
    <t>168_0</t>
  </si>
  <si>
    <t>Ariados</t>
  </si>
  <si>
    <t>169_0</t>
  </si>
  <si>
    <t>Crobat</t>
  </si>
  <si>
    <t>170_0</t>
  </si>
  <si>
    <t>Chinchou</t>
  </si>
  <si>
    <t>171_0</t>
  </si>
  <si>
    <t>Lanturn</t>
  </si>
  <si>
    <t>172_0</t>
  </si>
  <si>
    <t>Pichu</t>
  </si>
  <si>
    <t>173_0</t>
  </si>
  <si>
    <t>Cleffa</t>
  </si>
  <si>
    <t>174_0</t>
  </si>
  <si>
    <t>Igglybuff</t>
  </si>
  <si>
    <t>175_0</t>
  </si>
  <si>
    <t>Togepi</t>
  </si>
  <si>
    <t>Super Luck</t>
  </si>
  <si>
    <t>176_0</t>
  </si>
  <si>
    <t>Togetic</t>
  </si>
  <si>
    <t>177_0</t>
  </si>
  <si>
    <t>Natu</t>
  </si>
  <si>
    <t>Magic Bounce</t>
  </si>
  <si>
    <t>178_0</t>
  </si>
  <si>
    <t>Xatu</t>
  </si>
  <si>
    <t>179_0</t>
  </si>
  <si>
    <t>Mareep</t>
  </si>
  <si>
    <t>Plus</t>
  </si>
  <si>
    <t>180_0</t>
  </si>
  <si>
    <t>Flaaffy</t>
  </si>
  <si>
    <t>181_0</t>
  </si>
  <si>
    <t>Ampharos</t>
  </si>
  <si>
    <t>181_1</t>
  </si>
  <si>
    <t>Mega Ampharos</t>
  </si>
  <si>
    <t>182_0</t>
  </si>
  <si>
    <t>Bellossom</t>
  </si>
  <si>
    <t>183_0</t>
  </si>
  <si>
    <t>Marill</t>
  </si>
  <si>
    <t>Huge Power</t>
  </si>
  <si>
    <t>Sap Sipper</t>
  </si>
  <si>
    <t>184_0</t>
  </si>
  <si>
    <t>Azumarill</t>
  </si>
  <si>
    <t>185_0</t>
  </si>
  <si>
    <t>Sudowoodo</t>
  </si>
  <si>
    <t>186_0</t>
  </si>
  <si>
    <t>Politoed</t>
  </si>
  <si>
    <t>Drizzle</t>
  </si>
  <si>
    <t>187_0</t>
  </si>
  <si>
    <t>Hoppip</t>
  </si>
  <si>
    <t>188_0</t>
  </si>
  <si>
    <t>Skiploom</t>
  </si>
  <si>
    <t>189_0</t>
  </si>
  <si>
    <t>Jumpluff</t>
  </si>
  <si>
    <t>190_0</t>
  </si>
  <si>
    <t>Aipom</t>
  </si>
  <si>
    <t>191_0</t>
  </si>
  <si>
    <t>Sunkern</t>
  </si>
  <si>
    <t>192_0</t>
  </si>
  <si>
    <t>Sunflora</t>
  </si>
  <si>
    <t>193_0</t>
  </si>
  <si>
    <t>Yanma</t>
  </si>
  <si>
    <t>Speed Boost</t>
  </si>
  <si>
    <t>194_0</t>
  </si>
  <si>
    <t>Wooper</t>
  </si>
  <si>
    <t>Paldean Wooper</t>
  </si>
  <si>
    <t>194_1</t>
  </si>
  <si>
    <t>195_0</t>
  </si>
  <si>
    <t>Quagsire</t>
  </si>
  <si>
    <t>196_0</t>
  </si>
  <si>
    <t>Espeon</t>
  </si>
  <si>
    <t>197_0</t>
  </si>
  <si>
    <t>Umbreon</t>
  </si>
  <si>
    <t>198_0</t>
  </si>
  <si>
    <t>Murkrow</t>
  </si>
  <si>
    <t>Prankster</t>
  </si>
  <si>
    <t>199_0</t>
  </si>
  <si>
    <t>Slowking</t>
  </si>
  <si>
    <t>199_1</t>
  </si>
  <si>
    <t>Galarian Slowking</t>
  </si>
  <si>
    <t>Curious Medicine</t>
  </si>
  <si>
    <t>200_0</t>
  </si>
  <si>
    <t>Misdreavus</t>
  </si>
  <si>
    <t>201_0</t>
  </si>
  <si>
    <t>Unown</t>
  </si>
  <si>
    <t>202_0</t>
  </si>
  <si>
    <t>Wobbuffet</t>
  </si>
  <si>
    <t>Telepathy</t>
  </si>
  <si>
    <t>203_0</t>
  </si>
  <si>
    <t>Girafarig</t>
  </si>
  <si>
    <t>204_0</t>
  </si>
  <si>
    <t>Pineco</t>
  </si>
  <si>
    <t>205_0</t>
  </si>
  <si>
    <t>Forretress</t>
  </si>
  <si>
    <t>206_0</t>
  </si>
  <si>
    <t>Dunsparce</t>
  </si>
  <si>
    <t>207_0</t>
  </si>
  <si>
    <t>Gligar</t>
  </si>
  <si>
    <t>208_0</t>
  </si>
  <si>
    <t>Steelix</t>
  </si>
  <si>
    <t>208_1</t>
  </si>
  <si>
    <t>Mega Steelix</t>
  </si>
  <si>
    <t>209_0</t>
  </si>
  <si>
    <t>Snubbull</t>
  </si>
  <si>
    <t>210_0</t>
  </si>
  <si>
    <t>Granbull</t>
  </si>
  <si>
    <t>211_0</t>
  </si>
  <si>
    <t>Qwilfish</t>
  </si>
  <si>
    <t>211_1</t>
  </si>
  <si>
    <t>Hisuian Qwilfish</t>
  </si>
  <si>
    <t>212_0</t>
  </si>
  <si>
    <t>Scizor</t>
  </si>
  <si>
    <t>Light Metal</t>
  </si>
  <si>
    <t>212_1</t>
  </si>
  <si>
    <t>Mega Scizor</t>
  </si>
  <si>
    <t>213_0</t>
  </si>
  <si>
    <t>Shuckle</t>
  </si>
  <si>
    <t>Contrary</t>
  </si>
  <si>
    <t>214_0</t>
  </si>
  <si>
    <t>Heracross</t>
  </si>
  <si>
    <t>214_1</t>
  </si>
  <si>
    <t>Mega Heracross</t>
  </si>
  <si>
    <t>215_0</t>
  </si>
  <si>
    <t>Sneasel</t>
  </si>
  <si>
    <t>Pickpocket</t>
  </si>
  <si>
    <t>215_1</t>
  </si>
  <si>
    <t>Hisuian Sneasel</t>
  </si>
  <si>
    <t>216_0</t>
  </si>
  <si>
    <t>Teddiursa</t>
  </si>
  <si>
    <t>Honey Gather</t>
  </si>
  <si>
    <t>217_0</t>
  </si>
  <si>
    <t>Ursaring</t>
  </si>
  <si>
    <t>218_0</t>
  </si>
  <si>
    <t>Slugma</t>
  </si>
  <si>
    <t>Magma Armor</t>
  </si>
  <si>
    <t>219_0</t>
  </si>
  <si>
    <t>Magcargo</t>
  </si>
  <si>
    <t>220_0</t>
  </si>
  <si>
    <t>Swinub</t>
  </si>
  <si>
    <t>221_0</t>
  </si>
  <si>
    <t>Piloswine</t>
  </si>
  <si>
    <t>222_0</t>
  </si>
  <si>
    <t>Corsola</t>
  </si>
  <si>
    <t>222_1</t>
  </si>
  <si>
    <t>Galarian Corsola</t>
  </si>
  <si>
    <t>223_0</t>
  </si>
  <si>
    <t>Remoraid</t>
  </si>
  <si>
    <t>Moody</t>
  </si>
  <si>
    <t>224_0</t>
  </si>
  <si>
    <t>Octillery</t>
  </si>
  <si>
    <t>Suction Cups</t>
  </si>
  <si>
    <t>225_0</t>
  </si>
  <si>
    <t>Delibird</t>
  </si>
  <si>
    <t>226_0</t>
  </si>
  <si>
    <t>Mantine</t>
  </si>
  <si>
    <t>227_0</t>
  </si>
  <si>
    <t>Skarmory</t>
  </si>
  <si>
    <t>228_0</t>
  </si>
  <si>
    <t>Houndour</t>
  </si>
  <si>
    <t>229_0</t>
  </si>
  <si>
    <t>Houndoom</t>
  </si>
  <si>
    <t>229_1</t>
  </si>
  <si>
    <t>Mega Houndoom</t>
  </si>
  <si>
    <t>230_0</t>
  </si>
  <si>
    <t>Kingdra</t>
  </si>
  <si>
    <t>231_0</t>
  </si>
  <si>
    <t>Phanpy</t>
  </si>
  <si>
    <t>232_0</t>
  </si>
  <si>
    <t>Donphan</t>
  </si>
  <si>
    <t>233_0</t>
  </si>
  <si>
    <t>Porygon2</t>
  </si>
  <si>
    <t>234_0</t>
  </si>
  <si>
    <t>Stantler</t>
  </si>
  <si>
    <t>235_0</t>
  </si>
  <si>
    <t>Smeargle</t>
  </si>
  <si>
    <t>236_0</t>
  </si>
  <si>
    <t>Tyrogue</t>
  </si>
  <si>
    <t>237_0</t>
  </si>
  <si>
    <t>Hitmontop</t>
  </si>
  <si>
    <t>238_0</t>
  </si>
  <si>
    <t>Smoochum</t>
  </si>
  <si>
    <t>239_0</t>
  </si>
  <si>
    <t>Elekid</t>
  </si>
  <si>
    <t>240_0</t>
  </si>
  <si>
    <t>Magby</t>
  </si>
  <si>
    <t>241_0</t>
  </si>
  <si>
    <t>Miltank</t>
  </si>
  <si>
    <t>242_0</t>
  </si>
  <si>
    <t>Blissey</t>
  </si>
  <si>
    <t>243_0</t>
  </si>
  <si>
    <t>Raikou</t>
  </si>
  <si>
    <t>244_0</t>
  </si>
  <si>
    <t>Entei</t>
  </si>
  <si>
    <t>245_0</t>
  </si>
  <si>
    <t>Suicune</t>
  </si>
  <si>
    <t>246_0</t>
  </si>
  <si>
    <t>Larvitar</t>
  </si>
  <si>
    <t>247_0</t>
  </si>
  <si>
    <t>Pupitar</t>
  </si>
  <si>
    <t>248_0</t>
  </si>
  <si>
    <t>Tyranitar</t>
  </si>
  <si>
    <t>Sand Stream</t>
  </si>
  <si>
    <t>248_1</t>
  </si>
  <si>
    <t>Mega Tyranitar</t>
  </si>
  <si>
    <t>249_0</t>
  </si>
  <si>
    <t>Lugia</t>
  </si>
  <si>
    <t>250_0</t>
  </si>
  <si>
    <t>Ho-Oh</t>
  </si>
  <si>
    <t>251_0</t>
  </si>
  <si>
    <t>Celebi</t>
  </si>
  <si>
    <t>252_0</t>
  </si>
  <si>
    <t>Treecko</t>
  </si>
  <si>
    <t>253_0</t>
  </si>
  <si>
    <t>Grovyle</t>
  </si>
  <si>
    <t>254_0</t>
  </si>
  <si>
    <t>Sceptile</t>
  </si>
  <si>
    <t>254_1</t>
  </si>
  <si>
    <t>Mega Sceptile</t>
  </si>
  <si>
    <t>255_0</t>
  </si>
  <si>
    <t>Torchic</t>
  </si>
  <si>
    <t>256_0</t>
  </si>
  <si>
    <t>Combusken</t>
  </si>
  <si>
    <t>257_0</t>
  </si>
  <si>
    <t>Blaziken</t>
  </si>
  <si>
    <t>257_1</t>
  </si>
  <si>
    <t>Mega Blaziken</t>
  </si>
  <si>
    <t>258_0</t>
  </si>
  <si>
    <t>Mudkip</t>
  </si>
  <si>
    <t>259_0</t>
  </si>
  <si>
    <t>Marshtomp</t>
  </si>
  <si>
    <t>260_0</t>
  </si>
  <si>
    <t>Swampert</t>
  </si>
  <si>
    <t>260_1</t>
  </si>
  <si>
    <t>Mega Swampert</t>
  </si>
  <si>
    <t>261_0</t>
  </si>
  <si>
    <t>Poochyena</t>
  </si>
  <si>
    <t>262_0</t>
  </si>
  <si>
    <t>Mightyena</t>
  </si>
  <si>
    <t>263_0</t>
  </si>
  <si>
    <t>Zigzagoon</t>
  </si>
  <si>
    <t>263_1</t>
  </si>
  <si>
    <t>Galarian Zigzagoon</t>
  </si>
  <si>
    <t>264_0</t>
  </si>
  <si>
    <t>Linoone</t>
  </si>
  <si>
    <t>264_1</t>
  </si>
  <si>
    <t>Galarian Linoone</t>
  </si>
  <si>
    <t>265_0</t>
  </si>
  <si>
    <t>Wurmple</t>
  </si>
  <si>
    <t>266_0</t>
  </si>
  <si>
    <t>Silcoon</t>
  </si>
  <si>
    <t>267_0</t>
  </si>
  <si>
    <t>Beautifly</t>
  </si>
  <si>
    <t>268_0</t>
  </si>
  <si>
    <t>Cascoon</t>
  </si>
  <si>
    <t>269_0</t>
  </si>
  <si>
    <t>Dustox</t>
  </si>
  <si>
    <t>270_0</t>
  </si>
  <si>
    <t>Lotad</t>
  </si>
  <si>
    <t>271_0</t>
  </si>
  <si>
    <t>Lombre</t>
  </si>
  <si>
    <t>272_0</t>
  </si>
  <si>
    <t>Ludicolo</t>
  </si>
  <si>
    <t>273_0</t>
  </si>
  <si>
    <t>Seedot</t>
  </si>
  <si>
    <t>274_0</t>
  </si>
  <si>
    <t>Nuzleaf</t>
  </si>
  <si>
    <t>275_0</t>
  </si>
  <si>
    <t>Shiftry</t>
  </si>
  <si>
    <t>276_0</t>
  </si>
  <si>
    <t>Taillow</t>
  </si>
  <si>
    <t>277_0</t>
  </si>
  <si>
    <t>Swellow</t>
  </si>
  <si>
    <t>278_0</t>
  </si>
  <si>
    <t>Wingull</t>
  </si>
  <si>
    <t>279_0</t>
  </si>
  <si>
    <t>Pelipper</t>
  </si>
  <si>
    <t>280_0</t>
  </si>
  <si>
    <t>Ralts</t>
  </si>
  <si>
    <t>281_0</t>
  </si>
  <si>
    <t>Kirlia</t>
  </si>
  <si>
    <t>282_0</t>
  </si>
  <si>
    <t>Gardevoir</t>
  </si>
  <si>
    <t>282_1</t>
  </si>
  <si>
    <t>Mega Gardevoir</t>
  </si>
  <si>
    <t>Pixilate</t>
  </si>
  <si>
    <t>283_0</t>
  </si>
  <si>
    <t>Surskit</t>
  </si>
  <si>
    <t>284_0</t>
  </si>
  <si>
    <t>Masquerain</t>
  </si>
  <si>
    <t>285_0</t>
  </si>
  <si>
    <t>Shroomish</t>
  </si>
  <si>
    <t>Poison Heal</t>
  </si>
  <si>
    <t>286_0</t>
  </si>
  <si>
    <t>Breloom</t>
  </si>
  <si>
    <t>287_0</t>
  </si>
  <si>
    <t>Slakoth</t>
  </si>
  <si>
    <t>Truant</t>
  </si>
  <si>
    <t>288_0</t>
  </si>
  <si>
    <t>Vigoroth</t>
  </si>
  <si>
    <t>289_0</t>
  </si>
  <si>
    <t>Slaking</t>
  </si>
  <si>
    <t>290_0</t>
  </si>
  <si>
    <t>Nincada</t>
  </si>
  <si>
    <t>291_0</t>
  </si>
  <si>
    <t>Ninjask</t>
  </si>
  <si>
    <t>292_0</t>
  </si>
  <si>
    <t>Shedinja</t>
  </si>
  <si>
    <t>Wonder Guard</t>
  </si>
  <si>
    <t>293_0</t>
  </si>
  <si>
    <t>Whismur</t>
  </si>
  <si>
    <t>294_0</t>
  </si>
  <si>
    <t>Loudred</t>
  </si>
  <si>
    <t>295_0</t>
  </si>
  <si>
    <t>Exploud</t>
  </si>
  <si>
    <t>296_0</t>
  </si>
  <si>
    <t>Makuhita</t>
  </si>
  <si>
    <t>297_0</t>
  </si>
  <si>
    <t>Hariyama</t>
  </si>
  <si>
    <t>298_0</t>
  </si>
  <si>
    <t>Azurill</t>
  </si>
  <si>
    <t>299_0</t>
  </si>
  <si>
    <t>Nosepass</t>
  </si>
  <si>
    <t>300_0</t>
  </si>
  <si>
    <t>Skitty</t>
  </si>
  <si>
    <t>Normalize</t>
  </si>
  <si>
    <t>301_0</t>
  </si>
  <si>
    <t>Delcatty</t>
  </si>
  <si>
    <t>302_0</t>
  </si>
  <si>
    <t>Sableye</t>
  </si>
  <si>
    <t>Stall</t>
  </si>
  <si>
    <t>302_1</t>
  </si>
  <si>
    <t>Mega Sableye</t>
  </si>
  <si>
    <t>303_0</t>
  </si>
  <si>
    <t>Mawile</t>
  </si>
  <si>
    <t>303_1</t>
  </si>
  <si>
    <t>Mega Mawile</t>
  </si>
  <si>
    <t>304_0</t>
  </si>
  <si>
    <t>Aron</t>
  </si>
  <si>
    <t>Heavy Metal</t>
  </si>
  <si>
    <t>305_0</t>
  </si>
  <si>
    <t>Lairon</t>
  </si>
  <si>
    <t>306_0</t>
  </si>
  <si>
    <t>Aggron</t>
  </si>
  <si>
    <t>306_1</t>
  </si>
  <si>
    <t>Mega Aggron</t>
  </si>
  <si>
    <t>307_0</t>
  </si>
  <si>
    <t>Meditite</t>
  </si>
  <si>
    <t>Pure Power</t>
  </si>
  <si>
    <t>308_0</t>
  </si>
  <si>
    <t>Medicham</t>
  </si>
  <si>
    <t>308_1</t>
  </si>
  <si>
    <t>Mega Medicham</t>
  </si>
  <si>
    <t>309_0</t>
  </si>
  <si>
    <t>Electrike</t>
  </si>
  <si>
    <t>Minus</t>
  </si>
  <si>
    <t>310_0</t>
  </si>
  <si>
    <t>Manectric</t>
  </si>
  <si>
    <t>310_1</t>
  </si>
  <si>
    <t>Mega Manectric</t>
  </si>
  <si>
    <t>311_0</t>
  </si>
  <si>
    <t>Plusle</t>
  </si>
  <si>
    <t>312_0</t>
  </si>
  <si>
    <t>Minun</t>
  </si>
  <si>
    <t>313_0</t>
  </si>
  <si>
    <t>Volbeat</t>
  </si>
  <si>
    <t>314_0</t>
  </si>
  <si>
    <t>Illumise</t>
  </si>
  <si>
    <t>315_0</t>
  </si>
  <si>
    <t>Roselia</t>
  </si>
  <si>
    <t>316_0</t>
  </si>
  <si>
    <t>Gulpin</t>
  </si>
  <si>
    <t>317_0</t>
  </si>
  <si>
    <t>Swalot</t>
  </si>
  <si>
    <t>318_0</t>
  </si>
  <si>
    <t>Carvanha</t>
  </si>
  <si>
    <t>Rough Skin</t>
  </si>
  <si>
    <t>319_0</t>
  </si>
  <si>
    <t>Sharpedo</t>
  </si>
  <si>
    <t>319_1</t>
  </si>
  <si>
    <t>Mega Sharpedo</t>
  </si>
  <si>
    <t>Strong Jaw</t>
  </si>
  <si>
    <t>320_0</t>
  </si>
  <si>
    <t>Wailmer</t>
  </si>
  <si>
    <t>321_0</t>
  </si>
  <si>
    <t>Wailord</t>
  </si>
  <si>
    <t>322_0</t>
  </si>
  <si>
    <t>Numel</t>
  </si>
  <si>
    <t>Simple</t>
  </si>
  <si>
    <t>323_0</t>
  </si>
  <si>
    <t>Camerupt</t>
  </si>
  <si>
    <t>Solid Rock</t>
  </si>
  <si>
    <t>323_1</t>
  </si>
  <si>
    <t>Mega Camerupt</t>
  </si>
  <si>
    <t>324_0</t>
  </si>
  <si>
    <t>Torkoal</t>
  </si>
  <si>
    <t>White Smoke</t>
  </si>
  <si>
    <t>325_0</t>
  </si>
  <si>
    <t>Spoink</t>
  </si>
  <si>
    <t>326_0</t>
  </si>
  <si>
    <t>Grumpig</t>
  </si>
  <si>
    <t>327_0</t>
  </si>
  <si>
    <t>Spinda</t>
  </si>
  <si>
    <t>328_0</t>
  </si>
  <si>
    <t>Trapinch</t>
  </si>
  <si>
    <t>329_0</t>
  </si>
  <si>
    <t>Vibrava</t>
  </si>
  <si>
    <t>330_0</t>
  </si>
  <si>
    <t>Flygon</t>
  </si>
  <si>
    <t>331_0</t>
  </si>
  <si>
    <t>Cacnea</t>
  </si>
  <si>
    <t>332_0</t>
  </si>
  <si>
    <t>Cacturne</t>
  </si>
  <si>
    <t>333_0</t>
  </si>
  <si>
    <t>Swablu</t>
  </si>
  <si>
    <t>334_0</t>
  </si>
  <si>
    <t>Altaria</t>
  </si>
  <si>
    <t>334_1</t>
  </si>
  <si>
    <t>Mega Altaria</t>
  </si>
  <si>
    <t>335_0</t>
  </si>
  <si>
    <t>Zangoose</t>
  </si>
  <si>
    <t>Toxic Boost</t>
  </si>
  <si>
    <t>336_0</t>
  </si>
  <si>
    <t>Seviper</t>
  </si>
  <si>
    <t>337_0</t>
  </si>
  <si>
    <t>Lunatone</t>
  </si>
  <si>
    <t>338_0</t>
  </si>
  <si>
    <t>Solrock</t>
  </si>
  <si>
    <t>339_0</t>
  </si>
  <si>
    <t>Barboach</t>
  </si>
  <si>
    <t>340_0</t>
  </si>
  <si>
    <t>Whiscash</t>
  </si>
  <si>
    <t>341_0</t>
  </si>
  <si>
    <t>Corphish</t>
  </si>
  <si>
    <t>342_0</t>
  </si>
  <si>
    <t>Crawdaunt</t>
  </si>
  <si>
    <t>343_0</t>
  </si>
  <si>
    <t>Baltoy</t>
  </si>
  <si>
    <t>344_0</t>
  </si>
  <si>
    <t>Claydol</t>
  </si>
  <si>
    <t>345_0</t>
  </si>
  <si>
    <t>Lileep</t>
  </si>
  <si>
    <t>Storm Drain</t>
  </si>
  <si>
    <t>346_0</t>
  </si>
  <si>
    <t>Cradily</t>
  </si>
  <si>
    <t>347_0</t>
  </si>
  <si>
    <t>Anorith</t>
  </si>
  <si>
    <t>348_0</t>
  </si>
  <si>
    <t>Armaldo</t>
  </si>
  <si>
    <t>349_0</t>
  </si>
  <si>
    <t>Feebas</t>
  </si>
  <si>
    <t>350_0</t>
  </si>
  <si>
    <t>Milotic</t>
  </si>
  <si>
    <t>351_0</t>
  </si>
  <si>
    <t>Castform</t>
  </si>
  <si>
    <t>Forecast</t>
  </si>
  <si>
    <t>351_1</t>
  </si>
  <si>
    <t>Castform Sunny Form</t>
  </si>
  <si>
    <t>351_2</t>
  </si>
  <si>
    <t>Castform Rainy Form</t>
  </si>
  <si>
    <t>351_3</t>
  </si>
  <si>
    <t>Castform Snowy Form</t>
  </si>
  <si>
    <t>352_0</t>
  </si>
  <si>
    <t>Kecleon</t>
  </si>
  <si>
    <t>Color Change</t>
  </si>
  <si>
    <t>Protean</t>
  </si>
  <si>
    <t>353_0</t>
  </si>
  <si>
    <t>Shuppet</t>
  </si>
  <si>
    <t>354_0</t>
  </si>
  <si>
    <t>Banette</t>
  </si>
  <si>
    <t>354_1</t>
  </si>
  <si>
    <t>Mega Banette</t>
  </si>
  <si>
    <t>355_0</t>
  </si>
  <si>
    <t>Duskull</t>
  </si>
  <si>
    <t>356_0</t>
  </si>
  <si>
    <t>Dusclops</t>
  </si>
  <si>
    <t>357_0</t>
  </si>
  <si>
    <t>Tropius</t>
  </si>
  <si>
    <t>358_0</t>
  </si>
  <si>
    <t>Chimecho</t>
  </si>
  <si>
    <t>359_0</t>
  </si>
  <si>
    <t>Absol</t>
  </si>
  <si>
    <t>359_1</t>
  </si>
  <si>
    <t>Mega Absol</t>
  </si>
  <si>
    <t>360_0</t>
  </si>
  <si>
    <t>Wynaut</t>
  </si>
  <si>
    <t>361_0</t>
  </si>
  <si>
    <t>Snorunt</t>
  </si>
  <si>
    <t>362_0</t>
  </si>
  <si>
    <t>Glalie</t>
  </si>
  <si>
    <t>362_1</t>
  </si>
  <si>
    <t>Mega Glalie</t>
  </si>
  <si>
    <t>Refrigerate</t>
  </si>
  <si>
    <t>363_0</t>
  </si>
  <si>
    <t>Spheal</t>
  </si>
  <si>
    <t>364_0</t>
  </si>
  <si>
    <t>Sealeo</t>
  </si>
  <si>
    <t>365_0</t>
  </si>
  <si>
    <t>Walrein</t>
  </si>
  <si>
    <t>366_0</t>
  </si>
  <si>
    <t>Clamperl</t>
  </si>
  <si>
    <t>367_0</t>
  </si>
  <si>
    <t>Huntail</t>
  </si>
  <si>
    <t>368_0</t>
  </si>
  <si>
    <t>Gorebyss</t>
  </si>
  <si>
    <t>369_0</t>
  </si>
  <si>
    <t>Relicanth</t>
  </si>
  <si>
    <t>370_0</t>
  </si>
  <si>
    <t>Luvdisc</t>
  </si>
  <si>
    <t>371_0</t>
  </si>
  <si>
    <t>Bagon</t>
  </si>
  <si>
    <t>372_0</t>
  </si>
  <si>
    <t>Shelgon</t>
  </si>
  <si>
    <t>373_0</t>
  </si>
  <si>
    <t>Salamence</t>
  </si>
  <si>
    <t>373_1</t>
  </si>
  <si>
    <t>Mega Salamence</t>
  </si>
  <si>
    <t>374_0</t>
  </si>
  <si>
    <t>Beldum</t>
  </si>
  <si>
    <t>375_0</t>
  </si>
  <si>
    <t>Metang</t>
  </si>
  <si>
    <t>376_0</t>
  </si>
  <si>
    <t>Metagross</t>
  </si>
  <si>
    <t>376_1</t>
  </si>
  <si>
    <t>Mega Metagross</t>
  </si>
  <si>
    <t>377_0</t>
  </si>
  <si>
    <t>Regirock</t>
  </si>
  <si>
    <t>378_0</t>
  </si>
  <si>
    <t>Regice</t>
  </si>
  <si>
    <t>379_0</t>
  </si>
  <si>
    <t>Registeel</t>
  </si>
  <si>
    <t>380_0</t>
  </si>
  <si>
    <t>Latias</t>
  </si>
  <si>
    <t>380_1</t>
  </si>
  <si>
    <t>Mega Latias</t>
  </si>
  <si>
    <t>381_0</t>
  </si>
  <si>
    <t>Latios</t>
  </si>
  <si>
    <t>381_1</t>
  </si>
  <si>
    <t>Mega Latios</t>
  </si>
  <si>
    <t>382_0</t>
  </si>
  <si>
    <t>Kyogre</t>
  </si>
  <si>
    <t>382_1</t>
  </si>
  <si>
    <t>Primal Kyogre</t>
  </si>
  <si>
    <t>Primordial Sea</t>
  </si>
  <si>
    <t>383_0</t>
  </si>
  <si>
    <t>Groudon</t>
  </si>
  <si>
    <t>383_1</t>
  </si>
  <si>
    <t>Primal Groudon</t>
  </si>
  <si>
    <t>Desolate Land</t>
  </si>
  <si>
    <t>384_0</t>
  </si>
  <si>
    <t>Rayquaza</t>
  </si>
  <si>
    <t>Air Lock</t>
  </si>
  <si>
    <t>384_1</t>
  </si>
  <si>
    <t>Mega Rayquaza</t>
  </si>
  <si>
    <t>Delta Stream</t>
  </si>
  <si>
    <t>385_0</t>
  </si>
  <si>
    <t>Jirachi</t>
  </si>
  <si>
    <t>386_0</t>
  </si>
  <si>
    <t>Deoxys</t>
  </si>
  <si>
    <t>386_1</t>
  </si>
  <si>
    <t>Deoxys Attack Form</t>
  </si>
  <si>
    <t>386_2</t>
  </si>
  <si>
    <t>Deoxys Defense Form</t>
  </si>
  <si>
    <t>386_3</t>
  </si>
  <si>
    <t>Deoxys Speed Form</t>
  </si>
  <si>
    <t>387_0</t>
  </si>
  <si>
    <t>Turtwig</t>
  </si>
  <si>
    <t>388_0</t>
  </si>
  <si>
    <t>Grotle</t>
  </si>
  <si>
    <t>389_0</t>
  </si>
  <si>
    <t>Torterra</t>
  </si>
  <si>
    <t>390_0</t>
  </si>
  <si>
    <t>Chimchar</t>
  </si>
  <si>
    <t>391_0</t>
  </si>
  <si>
    <t>Monferno</t>
  </si>
  <si>
    <t>392_0</t>
  </si>
  <si>
    <t>Infernape</t>
  </si>
  <si>
    <t>393_0</t>
  </si>
  <si>
    <t>Piplup</t>
  </si>
  <si>
    <t>394_0</t>
  </si>
  <si>
    <t>Prinplup</t>
  </si>
  <si>
    <t>395_0</t>
  </si>
  <si>
    <t>Empoleon</t>
  </si>
  <si>
    <t>396_0</t>
  </si>
  <si>
    <t>Starly</t>
  </si>
  <si>
    <t>397_0</t>
  </si>
  <si>
    <t>Staravia</t>
  </si>
  <si>
    <t>398_0</t>
  </si>
  <si>
    <t>Staraptor</t>
  </si>
  <si>
    <t>399_0</t>
  </si>
  <si>
    <t>Bidoof</t>
  </si>
  <si>
    <t>400_0</t>
  </si>
  <si>
    <t>Bibarel</t>
  </si>
  <si>
    <t>401_0</t>
  </si>
  <si>
    <t>Kricketot</t>
  </si>
  <si>
    <t>402_0</t>
  </si>
  <si>
    <t>Kricketune</t>
  </si>
  <si>
    <t>403_0</t>
  </si>
  <si>
    <t>Shinx</t>
  </si>
  <si>
    <t>404_0</t>
  </si>
  <si>
    <t>Luxio</t>
  </si>
  <si>
    <t>405_0</t>
  </si>
  <si>
    <t>Luxray</t>
  </si>
  <si>
    <t>406_0</t>
  </si>
  <si>
    <t>Budew</t>
  </si>
  <si>
    <t>407_0</t>
  </si>
  <si>
    <t>Roserade</t>
  </si>
  <si>
    <t>408_0</t>
  </si>
  <si>
    <t>Cranidos</t>
  </si>
  <si>
    <t>409_0</t>
  </si>
  <si>
    <t>Rampardos</t>
  </si>
  <si>
    <t>410_0</t>
  </si>
  <si>
    <t>Shieldon</t>
  </si>
  <si>
    <t>411_0</t>
  </si>
  <si>
    <t>Bastiodon</t>
  </si>
  <si>
    <t>412_0</t>
  </si>
  <si>
    <t>Burmy</t>
  </si>
  <si>
    <t>Burmy Plant Form</t>
  </si>
  <si>
    <t>412_1</t>
  </si>
  <si>
    <t>Burmy Sandy Form</t>
  </si>
  <si>
    <t>412_2</t>
  </si>
  <si>
    <t>Burmy Trash Form</t>
  </si>
  <si>
    <t>413_0</t>
  </si>
  <si>
    <t>Wormadam</t>
  </si>
  <si>
    <t>Wormadam Plant Form</t>
  </si>
  <si>
    <t>413_1</t>
  </si>
  <si>
    <t>Wormadam Sandy Form</t>
  </si>
  <si>
    <t>413_2</t>
  </si>
  <si>
    <t>Wormadam Trash Form</t>
  </si>
  <si>
    <t>414_0</t>
  </si>
  <si>
    <t>Mothim</t>
  </si>
  <si>
    <t>415_0</t>
  </si>
  <si>
    <t>Combee</t>
  </si>
  <si>
    <t>416_0</t>
  </si>
  <si>
    <t>Vespiquen</t>
  </si>
  <si>
    <t>417_0</t>
  </si>
  <si>
    <t>Pachirisu</t>
  </si>
  <si>
    <t>418_0</t>
  </si>
  <si>
    <t>Buizel</t>
  </si>
  <si>
    <t>419_0</t>
  </si>
  <si>
    <t>Floatzel</t>
  </si>
  <si>
    <t>420_0</t>
  </si>
  <si>
    <t>Cherubi</t>
  </si>
  <si>
    <t>421_0</t>
  </si>
  <si>
    <t>Cherrim</t>
  </si>
  <si>
    <t>Flower Gift</t>
  </si>
  <si>
    <t>421_1</t>
  </si>
  <si>
    <t>Cherrim Sunshine Form</t>
  </si>
  <si>
    <t>422_0</t>
  </si>
  <si>
    <t>Shellos</t>
  </si>
  <si>
    <t>Shellos East-Sea Form</t>
  </si>
  <si>
    <t>422_1</t>
  </si>
  <si>
    <t>Shellos West-Sea Form</t>
  </si>
  <si>
    <t>423_0</t>
  </si>
  <si>
    <t>Gastrodon</t>
  </si>
  <si>
    <t>Gastrodon East-Sea Form</t>
  </si>
  <si>
    <t>423_1</t>
  </si>
  <si>
    <t>Gastrodon West-Sea Form</t>
  </si>
  <si>
    <t>424_0</t>
  </si>
  <si>
    <t>Ambipom</t>
  </si>
  <si>
    <t>425_0</t>
  </si>
  <si>
    <t>Drifloon</t>
  </si>
  <si>
    <t>Flare Boost</t>
  </si>
  <si>
    <t>426_0</t>
  </si>
  <si>
    <t>Drifblim</t>
  </si>
  <si>
    <t>427_0</t>
  </si>
  <si>
    <t>Buneary</t>
  </si>
  <si>
    <t>Klutz</t>
  </si>
  <si>
    <t>428_0</t>
  </si>
  <si>
    <t>Lopunny</t>
  </si>
  <si>
    <t>428_1</t>
  </si>
  <si>
    <t>Mega Lopunny</t>
  </si>
  <si>
    <t>429_0</t>
  </si>
  <si>
    <t>Mismagius</t>
  </si>
  <si>
    <t>430_0</t>
  </si>
  <si>
    <t>Honchkrow</t>
  </si>
  <si>
    <t>431_0</t>
  </si>
  <si>
    <t>Glameow</t>
  </si>
  <si>
    <t>432_0</t>
  </si>
  <si>
    <t>Purugly</t>
  </si>
  <si>
    <t>433_0</t>
  </si>
  <si>
    <t>Chingling</t>
  </si>
  <si>
    <t>434_0</t>
  </si>
  <si>
    <t>Stunky</t>
  </si>
  <si>
    <t>435_0</t>
  </si>
  <si>
    <t>Skuntank</t>
  </si>
  <si>
    <t>436_0</t>
  </si>
  <si>
    <t>Bronzor</t>
  </si>
  <si>
    <t>Heatproof</t>
  </si>
  <si>
    <t>437_0</t>
  </si>
  <si>
    <t>Bronzong</t>
  </si>
  <si>
    <t>438_0</t>
  </si>
  <si>
    <t>Bonsly</t>
  </si>
  <si>
    <t>439_0</t>
  </si>
  <si>
    <t>Mime Jr.</t>
  </si>
  <si>
    <t>440_0</t>
  </si>
  <si>
    <t>Happiny</t>
  </si>
  <si>
    <t>441_0</t>
  </si>
  <si>
    <t>Chatot</t>
  </si>
  <si>
    <t>442_0</t>
  </si>
  <si>
    <t>Spiritomb</t>
  </si>
  <si>
    <t>443_0</t>
  </si>
  <si>
    <t>Gible</t>
  </si>
  <si>
    <t>444_0</t>
  </si>
  <si>
    <t>Gabite</t>
  </si>
  <si>
    <t>445_0</t>
  </si>
  <si>
    <t>Garchomp</t>
  </si>
  <si>
    <t>445_1</t>
  </si>
  <si>
    <t>Mega Garchomp</t>
  </si>
  <si>
    <t>446_0</t>
  </si>
  <si>
    <t>Munchlax</t>
  </si>
  <si>
    <t>447_0</t>
  </si>
  <si>
    <t>Riolu</t>
  </si>
  <si>
    <t>448_0</t>
  </si>
  <si>
    <t>Lucario</t>
  </si>
  <si>
    <t>448_1</t>
  </si>
  <si>
    <t>Mega Lucario</t>
  </si>
  <si>
    <t>449_0</t>
  </si>
  <si>
    <t>Hippopotas</t>
  </si>
  <si>
    <t>450_0</t>
  </si>
  <si>
    <t>Hippowdon</t>
  </si>
  <si>
    <t>451_0</t>
  </si>
  <si>
    <t>Skorupi</t>
  </si>
  <si>
    <t>452_0</t>
  </si>
  <si>
    <t>Drapion</t>
  </si>
  <si>
    <t>453_0</t>
  </si>
  <si>
    <t>Croagunk</t>
  </si>
  <si>
    <t>454_0</t>
  </si>
  <si>
    <t>Toxicroak</t>
  </si>
  <si>
    <t>455_0</t>
  </si>
  <si>
    <t>Carnivine</t>
  </si>
  <si>
    <t>456_0</t>
  </si>
  <si>
    <t>Finneon</t>
  </si>
  <si>
    <t>457_0</t>
  </si>
  <si>
    <t>Lumineon</t>
  </si>
  <si>
    <t>458_0</t>
  </si>
  <si>
    <t>Mantyke</t>
  </si>
  <si>
    <t>459_0</t>
  </si>
  <si>
    <t>Snover</t>
  </si>
  <si>
    <t>460_0</t>
  </si>
  <si>
    <t>Abomasnow</t>
  </si>
  <si>
    <t>460_1</t>
  </si>
  <si>
    <t>Mega Abomasnow</t>
  </si>
  <si>
    <t>461_0</t>
  </si>
  <si>
    <t>Weavile</t>
  </si>
  <si>
    <t>462_0</t>
  </si>
  <si>
    <t>Magnezone</t>
  </si>
  <si>
    <t>463_0</t>
  </si>
  <si>
    <t>Lickilicky</t>
  </si>
  <si>
    <t>464_0</t>
  </si>
  <si>
    <t>Rhyperior</t>
  </si>
  <si>
    <t>465_0</t>
  </si>
  <si>
    <t>Tangrowth</t>
  </si>
  <si>
    <t>466_0</t>
  </si>
  <si>
    <t>Electivire</t>
  </si>
  <si>
    <t>Motor Drive</t>
  </si>
  <si>
    <t>467_0</t>
  </si>
  <si>
    <t>Magmortar</t>
  </si>
  <si>
    <t>468_0</t>
  </si>
  <si>
    <t>Togekiss</t>
  </si>
  <si>
    <t>469_0</t>
  </si>
  <si>
    <t>Yanmega</t>
  </si>
  <si>
    <t>470_0</t>
  </si>
  <si>
    <t>Leafeon</t>
  </si>
  <si>
    <t>471_0</t>
  </si>
  <si>
    <t>Glaceon</t>
  </si>
  <si>
    <t>472_0</t>
  </si>
  <si>
    <t>Gliscor</t>
  </si>
  <si>
    <t>473_0</t>
  </si>
  <si>
    <t>Mamoswine</t>
  </si>
  <si>
    <t>474_0</t>
  </si>
  <si>
    <t>Porygon-Z</t>
  </si>
  <si>
    <t>475_0</t>
  </si>
  <si>
    <t>Gallade</t>
  </si>
  <si>
    <t>Sharpness</t>
  </si>
  <si>
    <t>475_1</t>
  </si>
  <si>
    <t>Mega Gallade</t>
  </si>
  <si>
    <t>476_0</t>
  </si>
  <si>
    <t>Probopass</t>
  </si>
  <si>
    <t>477_0</t>
  </si>
  <si>
    <t>Dusknoir</t>
  </si>
  <si>
    <t>478_0</t>
  </si>
  <si>
    <t>Froslass</t>
  </si>
  <si>
    <t>479_0</t>
  </si>
  <si>
    <t>Rotom</t>
  </si>
  <si>
    <t>479_1</t>
  </si>
  <si>
    <t>Heat Rotom</t>
  </si>
  <si>
    <t>479_2</t>
  </si>
  <si>
    <t>Wash Rotom</t>
  </si>
  <si>
    <t>479_3</t>
  </si>
  <si>
    <t>Frost Rotom</t>
  </si>
  <si>
    <t>479_4</t>
  </si>
  <si>
    <t>Fan Rotom</t>
  </si>
  <si>
    <t>479_5</t>
  </si>
  <si>
    <t>Mow Rotom</t>
  </si>
  <si>
    <t>480_0</t>
  </si>
  <si>
    <t>Uxie</t>
  </si>
  <si>
    <t>481_0</t>
  </si>
  <si>
    <t>Mesprit</t>
  </si>
  <si>
    <t>482_0</t>
  </si>
  <si>
    <t>Azelf</t>
  </si>
  <si>
    <t>483_0</t>
  </si>
  <si>
    <t>Dialga</t>
  </si>
  <si>
    <t>483_1</t>
  </si>
  <si>
    <t>Dialga Origin Form</t>
  </si>
  <si>
    <t>484_0</t>
  </si>
  <si>
    <t>Palkia</t>
  </si>
  <si>
    <t>484_1</t>
  </si>
  <si>
    <t>Palkia Origin Form</t>
  </si>
  <si>
    <t>485_0</t>
  </si>
  <si>
    <t>Heatran</t>
  </si>
  <si>
    <t>486_0</t>
  </si>
  <si>
    <t>Regigigas</t>
  </si>
  <si>
    <t>Slow Start</t>
  </si>
  <si>
    <t>487_0</t>
  </si>
  <si>
    <t>Giratina</t>
  </si>
  <si>
    <t>487_1</t>
  </si>
  <si>
    <t>Giratina Origin Form</t>
  </si>
  <si>
    <t>488_0</t>
  </si>
  <si>
    <t>Cresselia</t>
  </si>
  <si>
    <t>489_0</t>
  </si>
  <si>
    <t>Phione</t>
  </si>
  <si>
    <t>490_0</t>
  </si>
  <si>
    <t>Manaphy</t>
  </si>
  <si>
    <t>491_0</t>
  </si>
  <si>
    <t>Darkrai</t>
  </si>
  <si>
    <t>Bad Dreams</t>
  </si>
  <si>
    <t>492_0</t>
  </si>
  <si>
    <t>Shaymin</t>
  </si>
  <si>
    <t>Shaymin Land Form</t>
  </si>
  <si>
    <t>492_1</t>
  </si>
  <si>
    <t>Shaymin Sky Form</t>
  </si>
  <si>
    <t>493_0</t>
  </si>
  <si>
    <t>Arceus</t>
  </si>
  <si>
    <t>Multitype</t>
  </si>
  <si>
    <t>494_0</t>
  </si>
  <si>
    <t>Victini</t>
  </si>
  <si>
    <t>Victory Star</t>
  </si>
  <si>
    <t>495_0</t>
  </si>
  <si>
    <t>Snivy</t>
  </si>
  <si>
    <t>496_0</t>
  </si>
  <si>
    <t>Servine</t>
  </si>
  <si>
    <t>497_0</t>
  </si>
  <si>
    <t>Serperior</t>
  </si>
  <si>
    <t>498_0</t>
  </si>
  <si>
    <t>Tepig</t>
  </si>
  <si>
    <t>499_0</t>
  </si>
  <si>
    <t>Pignite</t>
  </si>
  <si>
    <t>500_0</t>
  </si>
  <si>
    <t>Emboar</t>
  </si>
  <si>
    <t>501_0</t>
  </si>
  <si>
    <t>Oshawott</t>
  </si>
  <si>
    <t>502_0</t>
  </si>
  <si>
    <t>Dewott</t>
  </si>
  <si>
    <t>503_0</t>
  </si>
  <si>
    <t>Samurott</t>
  </si>
  <si>
    <t>503_1</t>
  </si>
  <si>
    <t>Hisuian Samurott</t>
  </si>
  <si>
    <t>504_0</t>
  </si>
  <si>
    <t>Patrat</t>
  </si>
  <si>
    <t>505_0</t>
  </si>
  <si>
    <t>Watchog</t>
  </si>
  <si>
    <t>506_0</t>
  </si>
  <si>
    <t>Lillipup</t>
  </si>
  <si>
    <t>507_0</t>
  </si>
  <si>
    <t>Herdier</t>
  </si>
  <si>
    <t>508_0</t>
  </si>
  <si>
    <t>Stoutland</t>
  </si>
  <si>
    <t>509_0</t>
  </si>
  <si>
    <t>Purrloin</t>
  </si>
  <si>
    <t>510_0</t>
  </si>
  <si>
    <t>Liepard</t>
  </si>
  <si>
    <t>511_0</t>
  </si>
  <si>
    <t>Pansage</t>
  </si>
  <si>
    <t>512_0</t>
  </si>
  <si>
    <t>Simisage</t>
  </si>
  <si>
    <t>513_0</t>
  </si>
  <si>
    <t>Pansear</t>
  </si>
  <si>
    <t>514_0</t>
  </si>
  <si>
    <t>Simisear</t>
  </si>
  <si>
    <t>515_0</t>
  </si>
  <si>
    <t>Panpour</t>
  </si>
  <si>
    <t>516_0</t>
  </si>
  <si>
    <t>Simipour</t>
  </si>
  <si>
    <t>517_0</t>
  </si>
  <si>
    <t>Munna</t>
  </si>
  <si>
    <t>518_0</t>
  </si>
  <si>
    <t>Musharna</t>
  </si>
  <si>
    <t>519_0</t>
  </si>
  <si>
    <t>Pidove</t>
  </si>
  <si>
    <t>520_0</t>
  </si>
  <si>
    <t>Tranquill</t>
  </si>
  <si>
    <t>521_0</t>
  </si>
  <si>
    <t>Unfezant</t>
  </si>
  <si>
    <t>522_0</t>
  </si>
  <si>
    <t>Blitzle</t>
  </si>
  <si>
    <t>523_0</t>
  </si>
  <si>
    <t>Zebstrika</t>
  </si>
  <si>
    <t>524_0</t>
  </si>
  <si>
    <t>Roggenrola</t>
  </si>
  <si>
    <t>525_0</t>
  </si>
  <si>
    <t>Boldore</t>
  </si>
  <si>
    <t>526_0</t>
  </si>
  <si>
    <t>Gigalith</t>
  </si>
  <si>
    <t>527_0</t>
  </si>
  <si>
    <t>Woobat</t>
  </si>
  <si>
    <t>528_0</t>
  </si>
  <si>
    <t>Swoobat</t>
  </si>
  <si>
    <t>529_0</t>
  </si>
  <si>
    <t>Drilbur</t>
  </si>
  <si>
    <t>530_0</t>
  </si>
  <si>
    <t>Excadrill</t>
  </si>
  <si>
    <t>531_0</t>
  </si>
  <si>
    <t>Audino</t>
  </si>
  <si>
    <t>531_1</t>
  </si>
  <si>
    <t>Mega Audino</t>
  </si>
  <si>
    <t>532_0</t>
  </si>
  <si>
    <t>Timburr</t>
  </si>
  <si>
    <t>533_0</t>
  </si>
  <si>
    <t>Gurdurr</t>
  </si>
  <si>
    <t>534_0</t>
  </si>
  <si>
    <t>Conkeldurr</t>
  </si>
  <si>
    <t>535_0</t>
  </si>
  <si>
    <t>Tympole</t>
  </si>
  <si>
    <t>536_0</t>
  </si>
  <si>
    <t>Palpitoad</t>
  </si>
  <si>
    <t>537_0</t>
  </si>
  <si>
    <t>Seismitoad</t>
  </si>
  <si>
    <t>538_0</t>
  </si>
  <si>
    <t>Throh</t>
  </si>
  <si>
    <t>539_0</t>
  </si>
  <si>
    <t>Sawk</t>
  </si>
  <si>
    <t>540_0</t>
  </si>
  <si>
    <t>Sewaddle</t>
  </si>
  <si>
    <t>541_0</t>
  </si>
  <si>
    <t>Swadloon</t>
  </si>
  <si>
    <t>542_0</t>
  </si>
  <si>
    <t>Leavanny</t>
  </si>
  <si>
    <t>543_0</t>
  </si>
  <si>
    <t>Venipede</t>
  </si>
  <si>
    <t>544_0</t>
  </si>
  <si>
    <t>Whirlipede</t>
  </si>
  <si>
    <t>545_0</t>
  </si>
  <si>
    <t>Scolipede</t>
  </si>
  <si>
    <t>546_0</t>
  </si>
  <si>
    <t>Cottonee</t>
  </si>
  <si>
    <t>547_0</t>
  </si>
  <si>
    <t>Whimsicott</t>
  </si>
  <si>
    <t>548_0</t>
  </si>
  <si>
    <t>Petilil</t>
  </si>
  <si>
    <t>549_0</t>
  </si>
  <si>
    <t>Lilligant</t>
  </si>
  <si>
    <t>549_1</t>
  </si>
  <si>
    <t>Hisuian Lilligant</t>
  </si>
  <si>
    <t>550_0</t>
  </si>
  <si>
    <t>Basculin</t>
  </si>
  <si>
    <t>Basculin Red Stripe</t>
  </si>
  <si>
    <t>550_1</t>
  </si>
  <si>
    <t>Basculin Blue Stripe</t>
  </si>
  <si>
    <t>550_2</t>
  </si>
  <si>
    <t>Hisuian Basculin</t>
  </si>
  <si>
    <t>551_0</t>
  </si>
  <si>
    <t>Sandile</t>
  </si>
  <si>
    <t>552_0</t>
  </si>
  <si>
    <t>Krokorok</t>
  </si>
  <si>
    <t>553_0</t>
  </si>
  <si>
    <t>Krookodile</t>
  </si>
  <si>
    <t>554_0</t>
  </si>
  <si>
    <t>Darumaka</t>
  </si>
  <si>
    <t>554_1</t>
  </si>
  <si>
    <t>Galarian Darumaka</t>
  </si>
  <si>
    <t>555_0</t>
  </si>
  <si>
    <t>Darmanitan</t>
  </si>
  <si>
    <t>Zen Mode</t>
  </si>
  <si>
    <t>555_1</t>
  </si>
  <si>
    <t>Darmanitan Zen-Mode</t>
  </si>
  <si>
    <t>555_2</t>
  </si>
  <si>
    <t>Galarian Darmanitan</t>
  </si>
  <si>
    <t>Gorilla Tactics</t>
  </si>
  <si>
    <t>555_3</t>
  </si>
  <si>
    <t>Galarian Darmanitan Zen-Mode</t>
  </si>
  <si>
    <t>556_0</t>
  </si>
  <si>
    <t>Maractus</t>
  </si>
  <si>
    <t>557_0</t>
  </si>
  <si>
    <t>Dwebble</t>
  </si>
  <si>
    <t>558_0</t>
  </si>
  <si>
    <t>Crustle</t>
  </si>
  <si>
    <t>559_0</t>
  </si>
  <si>
    <t>Scraggy</t>
  </si>
  <si>
    <t>560_0</t>
  </si>
  <si>
    <t>Scrafty</t>
  </si>
  <si>
    <t>561_0</t>
  </si>
  <si>
    <t>Sigilyph</t>
  </si>
  <si>
    <t>562_0</t>
  </si>
  <si>
    <t>Yamask</t>
  </si>
  <si>
    <t>Mummy</t>
  </si>
  <si>
    <t>562_1</t>
  </si>
  <si>
    <t>Galarian Yamask</t>
  </si>
  <si>
    <t>Wandering Spirit</t>
  </si>
  <si>
    <t>563_0</t>
  </si>
  <si>
    <t>Cofagrigus</t>
  </si>
  <si>
    <t>564_0</t>
  </si>
  <si>
    <t>Tirtouga</t>
  </si>
  <si>
    <t>565_0</t>
  </si>
  <si>
    <t>Carracosta</t>
  </si>
  <si>
    <t>566_0</t>
  </si>
  <si>
    <t>Archen</t>
  </si>
  <si>
    <t>Defeatist</t>
  </si>
  <si>
    <t>567_0</t>
  </si>
  <si>
    <t>Archeops</t>
  </si>
  <si>
    <t>568_0</t>
  </si>
  <si>
    <t>Trubbish</t>
  </si>
  <si>
    <t>569_0</t>
  </si>
  <si>
    <t>Garbodor</t>
  </si>
  <si>
    <t>570_0</t>
  </si>
  <si>
    <t>Zorua</t>
  </si>
  <si>
    <t>Illusion</t>
  </si>
  <si>
    <t>570_1</t>
  </si>
  <si>
    <t>Hisuian Zorua</t>
  </si>
  <si>
    <t>571_0</t>
  </si>
  <si>
    <t>Zoroark</t>
  </si>
  <si>
    <t>571_1</t>
  </si>
  <si>
    <t>Hisuian Zoroark</t>
  </si>
  <si>
    <t>572_0</t>
  </si>
  <si>
    <t>Minccino</t>
  </si>
  <si>
    <t>573_0</t>
  </si>
  <si>
    <t>Cinccino</t>
  </si>
  <si>
    <t>574_0</t>
  </si>
  <si>
    <t>Gothita</t>
  </si>
  <si>
    <t>575_0</t>
  </si>
  <si>
    <t>Gothorita</t>
  </si>
  <si>
    <t>576_0</t>
  </si>
  <si>
    <t>Gothitelle</t>
  </si>
  <si>
    <t>577_0</t>
  </si>
  <si>
    <t>Solosis</t>
  </si>
  <si>
    <t>578_0</t>
  </si>
  <si>
    <t>Duosion</t>
  </si>
  <si>
    <t>579_0</t>
  </si>
  <si>
    <t>Reuniclus</t>
  </si>
  <si>
    <t>580_0</t>
  </si>
  <si>
    <t>Ducklett</t>
  </si>
  <si>
    <t>581_0</t>
  </si>
  <si>
    <t>Swanna</t>
  </si>
  <si>
    <t>582_0</t>
  </si>
  <si>
    <t>Vanillite</t>
  </si>
  <si>
    <t>583_0</t>
  </si>
  <si>
    <t>Vanillish</t>
  </si>
  <si>
    <t>584_0</t>
  </si>
  <si>
    <t>Vanilluxe</t>
  </si>
  <si>
    <t>585_0</t>
  </si>
  <si>
    <t>Deerling</t>
  </si>
  <si>
    <t>Deerling Spring Form</t>
  </si>
  <si>
    <t>585_1</t>
  </si>
  <si>
    <t>Deerling Summer Form</t>
  </si>
  <si>
    <t>585_2</t>
  </si>
  <si>
    <t>Deerling Autumn Form</t>
  </si>
  <si>
    <t>585_3</t>
  </si>
  <si>
    <t>Deerling Winter Form</t>
  </si>
  <si>
    <t>586_0</t>
  </si>
  <si>
    <t>Sawsbuck</t>
  </si>
  <si>
    <t>587_0</t>
  </si>
  <si>
    <t>Emolga</t>
  </si>
  <si>
    <t>588_0</t>
  </si>
  <si>
    <t>Karrablast</t>
  </si>
  <si>
    <t>589_0</t>
  </si>
  <si>
    <t>Escavalier</t>
  </si>
  <si>
    <t>590_0</t>
  </si>
  <si>
    <t>Foongus</t>
  </si>
  <si>
    <t>591_0</t>
  </si>
  <si>
    <t>Amoonguss</t>
  </si>
  <si>
    <t>592_0</t>
  </si>
  <si>
    <t>Frillish</t>
  </si>
  <si>
    <t>593_0</t>
  </si>
  <si>
    <t>Jellicent</t>
  </si>
  <si>
    <t>594_0</t>
  </si>
  <si>
    <t>Alomomola</t>
  </si>
  <si>
    <t>595_0</t>
  </si>
  <si>
    <t>Joltik</t>
  </si>
  <si>
    <t>596_0</t>
  </si>
  <si>
    <t>Galvantula</t>
  </si>
  <si>
    <t>597_0</t>
  </si>
  <si>
    <t>Ferroseed</t>
  </si>
  <si>
    <t>Iron Barbs</t>
  </si>
  <si>
    <t>598_0</t>
  </si>
  <si>
    <t>Ferrothorn</t>
  </si>
  <si>
    <t>599_0</t>
  </si>
  <si>
    <t>Klink</t>
  </si>
  <si>
    <t>600_0</t>
  </si>
  <si>
    <t>Klang</t>
  </si>
  <si>
    <t>601_0</t>
  </si>
  <si>
    <t>Klinklang</t>
  </si>
  <si>
    <t>602_0</t>
  </si>
  <si>
    <t>Tynamo</t>
  </si>
  <si>
    <t>603_0</t>
  </si>
  <si>
    <t>Eelektrik</t>
  </si>
  <si>
    <t>604_0</t>
  </si>
  <si>
    <t>Eelektross</t>
  </si>
  <si>
    <t>605_0</t>
  </si>
  <si>
    <t>Elgyem</t>
  </si>
  <si>
    <t>606_0</t>
  </si>
  <si>
    <t>Beheeyem</t>
  </si>
  <si>
    <t>607_0</t>
  </si>
  <si>
    <t>Litwick</t>
  </si>
  <si>
    <t>608_0</t>
  </si>
  <si>
    <t>Lampent</t>
  </si>
  <si>
    <t>609_0</t>
  </si>
  <si>
    <t>Chandelure</t>
  </si>
  <si>
    <t>610_0</t>
  </si>
  <si>
    <t>Axew</t>
  </si>
  <si>
    <t>611_0</t>
  </si>
  <si>
    <t>Fraxure</t>
  </si>
  <si>
    <t>612_0</t>
  </si>
  <si>
    <t>Haxorus</t>
  </si>
  <si>
    <t>613_0</t>
  </si>
  <si>
    <t>Cubchoo</t>
  </si>
  <si>
    <t>614_0</t>
  </si>
  <si>
    <t>Beartic</t>
  </si>
  <si>
    <t>615_0</t>
  </si>
  <si>
    <t>Cryogonal</t>
  </si>
  <si>
    <t>616_0</t>
  </si>
  <si>
    <t>Shelmet</t>
  </si>
  <si>
    <t>617_0</t>
  </si>
  <si>
    <t>Accelgor</t>
  </si>
  <si>
    <t>618_0</t>
  </si>
  <si>
    <t>Stunfisk</t>
  </si>
  <si>
    <t>618_1</t>
  </si>
  <si>
    <t>Galarian Stunfisk</t>
  </si>
  <si>
    <t>Mimicry</t>
  </si>
  <si>
    <t>619_0</t>
  </si>
  <si>
    <t>Mienfoo</t>
  </si>
  <si>
    <t>620_0</t>
  </si>
  <si>
    <t>Mienshao</t>
  </si>
  <si>
    <t>621_0</t>
  </si>
  <si>
    <t>Druddigon</t>
  </si>
  <si>
    <t>622_0</t>
  </si>
  <si>
    <t>Golett</t>
  </si>
  <si>
    <t>623_0</t>
  </si>
  <si>
    <t>Golurk</t>
  </si>
  <si>
    <t>624_0</t>
  </si>
  <si>
    <t>Pawniard</t>
  </si>
  <si>
    <t>625_0</t>
  </si>
  <si>
    <t>Bisharp</t>
  </si>
  <si>
    <t>626_0</t>
  </si>
  <si>
    <t>Bouffalant</t>
  </si>
  <si>
    <t>627_0</t>
  </si>
  <si>
    <t>Rufflet</t>
  </si>
  <si>
    <t>628_0</t>
  </si>
  <si>
    <t>Braviary</t>
  </si>
  <si>
    <t>628_1</t>
  </si>
  <si>
    <t>Hisuian Braviary</t>
  </si>
  <si>
    <t>629_0</t>
  </si>
  <si>
    <t>Vullaby</t>
  </si>
  <si>
    <t>630_0</t>
  </si>
  <si>
    <t>Mandibuzz</t>
  </si>
  <si>
    <t>631_0</t>
  </si>
  <si>
    <t>Heatmor</t>
  </si>
  <si>
    <t>632_0</t>
  </si>
  <si>
    <t>Durant</t>
  </si>
  <si>
    <t>633_0</t>
  </si>
  <si>
    <t>Deino</t>
  </si>
  <si>
    <t>634_0</t>
  </si>
  <si>
    <t>Zweilous</t>
  </si>
  <si>
    <t>635_0</t>
  </si>
  <si>
    <t>Hydreigon</t>
  </si>
  <si>
    <t>636_0</t>
  </si>
  <si>
    <t>Larvesta</t>
  </si>
  <si>
    <t>637_0</t>
  </si>
  <si>
    <t>Volcarona</t>
  </si>
  <si>
    <t>638_0</t>
  </si>
  <si>
    <t>Cobalion</t>
  </si>
  <si>
    <t>639_0</t>
  </si>
  <si>
    <t>Terrakion</t>
  </si>
  <si>
    <t>640_0</t>
  </si>
  <si>
    <t>Virizion</t>
  </si>
  <si>
    <t>641_0</t>
  </si>
  <si>
    <t>Tornadus</t>
  </si>
  <si>
    <t>Tornadus Incarnate Form</t>
  </si>
  <si>
    <t>641_1</t>
  </si>
  <si>
    <t>Tornadus Therian Form</t>
  </si>
  <si>
    <t>642_0</t>
  </si>
  <si>
    <t>Thundurus</t>
  </si>
  <si>
    <t>Thundurus Incarnate Form</t>
  </si>
  <si>
    <t>642_1</t>
  </si>
  <si>
    <t>Thundurus Therian Form</t>
  </si>
  <si>
    <t>643_0</t>
  </si>
  <si>
    <t>Reshiram</t>
  </si>
  <si>
    <t>Turboblaze</t>
  </si>
  <si>
    <t>644_0</t>
  </si>
  <si>
    <t>Zekrom</t>
  </si>
  <si>
    <t>Teravolt</t>
  </si>
  <si>
    <t>645_0</t>
  </si>
  <si>
    <t>Landorus</t>
  </si>
  <si>
    <t>Landorus Incarnate Form</t>
  </si>
  <si>
    <t>645_1</t>
  </si>
  <si>
    <t>Landorus Therian Form</t>
  </si>
  <si>
    <t>646_0</t>
  </si>
  <si>
    <t>Kyurem</t>
  </si>
  <si>
    <t>646_1</t>
  </si>
  <si>
    <t>White Kyurem</t>
  </si>
  <si>
    <t>646_2</t>
  </si>
  <si>
    <t>Black Kyurem</t>
  </si>
  <si>
    <t>647_0</t>
  </si>
  <si>
    <t>Keldeo</t>
  </si>
  <si>
    <t>Keldeo Ordinary Form</t>
  </si>
  <si>
    <t>647_1</t>
  </si>
  <si>
    <t>Keldeo Resolute Form</t>
  </si>
  <si>
    <t>648_0</t>
  </si>
  <si>
    <t>Meloetta</t>
  </si>
  <si>
    <t>Meloetta Aria Form</t>
  </si>
  <si>
    <t>648_1</t>
  </si>
  <si>
    <t>Meloetta Pirouette Form</t>
  </si>
  <si>
    <t>649_0</t>
  </si>
  <si>
    <t>Genesect</t>
  </si>
  <si>
    <t>650_0</t>
  </si>
  <si>
    <t>Chespin</t>
  </si>
  <si>
    <t>Bulletproof</t>
  </si>
  <si>
    <t>651_0</t>
  </si>
  <si>
    <t>Quilladin</t>
  </si>
  <si>
    <t>652_0</t>
  </si>
  <si>
    <t>Chesnaught</t>
  </si>
  <si>
    <t>653_0</t>
  </si>
  <si>
    <t>Fennekin</t>
  </si>
  <si>
    <t>Magician</t>
  </si>
  <si>
    <t>654_0</t>
  </si>
  <si>
    <t>Braixen</t>
  </si>
  <si>
    <t>655_0</t>
  </si>
  <si>
    <t>Delphox</t>
  </si>
  <si>
    <t>656_0</t>
  </si>
  <si>
    <t>Froakie</t>
  </si>
  <si>
    <t>657_0</t>
  </si>
  <si>
    <t>Frogadier</t>
  </si>
  <si>
    <t>658_0</t>
  </si>
  <si>
    <t>Greninja</t>
  </si>
  <si>
    <t>658_1</t>
  </si>
  <si>
    <t>Ash Greninja</t>
  </si>
  <si>
    <t>Battle Bond</t>
  </si>
  <si>
    <t>659_0</t>
  </si>
  <si>
    <t>Bunnelby</t>
  </si>
  <si>
    <t>Cheek Pouch</t>
  </si>
  <si>
    <t>660_0</t>
  </si>
  <si>
    <t>Diggersby</t>
  </si>
  <si>
    <t>661_0</t>
  </si>
  <si>
    <t>Fletchling</t>
  </si>
  <si>
    <t>Gale Wings</t>
  </si>
  <si>
    <t>662_0</t>
  </si>
  <si>
    <t>Fletchinder</t>
  </si>
  <si>
    <t>663_0</t>
  </si>
  <si>
    <t>Talonflame</t>
  </si>
  <si>
    <t>664_0</t>
  </si>
  <si>
    <t>Scatterbug</t>
  </si>
  <si>
    <t>665_0</t>
  </si>
  <si>
    <t>Spewpa</t>
  </si>
  <si>
    <t>666_0</t>
  </si>
  <si>
    <t>Vivillon</t>
  </si>
  <si>
    <t>667_0</t>
  </si>
  <si>
    <t>Litleo</t>
  </si>
  <si>
    <t>668_0</t>
  </si>
  <si>
    <t>Pyroar</t>
  </si>
  <si>
    <t>669_0</t>
  </si>
  <si>
    <t>Flabebe</t>
  </si>
  <si>
    <t>Flower Veil</t>
  </si>
  <si>
    <t>Symbiosis</t>
  </si>
  <si>
    <t>670_0</t>
  </si>
  <si>
    <t>Floette</t>
  </si>
  <si>
    <t>671_0</t>
  </si>
  <si>
    <t>Florges</t>
  </si>
  <si>
    <t>672_0</t>
  </si>
  <si>
    <t>Skiddo</t>
  </si>
  <si>
    <t>Grass Pelt</t>
  </si>
  <si>
    <t>673_0</t>
  </si>
  <si>
    <t>Gogoat</t>
  </si>
  <si>
    <t>674_0</t>
  </si>
  <si>
    <t>Pancham</t>
  </si>
  <si>
    <t>675_0</t>
  </si>
  <si>
    <t>Pangoro</t>
  </si>
  <si>
    <t>676_0</t>
  </si>
  <si>
    <t>Furfrou</t>
  </si>
  <si>
    <t>677_0</t>
  </si>
  <si>
    <t>Espurr</t>
  </si>
  <si>
    <t>678_0</t>
  </si>
  <si>
    <t>Meowstic</t>
  </si>
  <si>
    <t>Meowstic Male</t>
  </si>
  <si>
    <t>678_1</t>
  </si>
  <si>
    <t>Meowstic Female</t>
  </si>
  <si>
    <t>679_0</t>
  </si>
  <si>
    <t>Honedge</t>
  </si>
  <si>
    <t>680_0</t>
  </si>
  <si>
    <t>Doublade</t>
  </si>
  <si>
    <t>681_0</t>
  </si>
  <si>
    <t>Aegislash</t>
  </si>
  <si>
    <t>Aegislash Shield Form</t>
  </si>
  <si>
    <t>Stance Change</t>
  </si>
  <si>
    <t>681_1</t>
  </si>
  <si>
    <t>Aegislash Blade Form</t>
  </si>
  <si>
    <t>682_0</t>
  </si>
  <si>
    <t>Spritzee</t>
  </si>
  <si>
    <t>Aroma Veil</t>
  </si>
  <si>
    <t>683_0</t>
  </si>
  <si>
    <t>Aromatisse</t>
  </si>
  <si>
    <t>684_0</t>
  </si>
  <si>
    <t>Swirlix</t>
  </si>
  <si>
    <t>Sweet Veil</t>
  </si>
  <si>
    <t>685_0</t>
  </si>
  <si>
    <t>Slurpuff</t>
  </si>
  <si>
    <t>686_0</t>
  </si>
  <si>
    <t>Inkay</t>
  </si>
  <si>
    <t>687_0</t>
  </si>
  <si>
    <t>Malamar</t>
  </si>
  <si>
    <t>688_0</t>
  </si>
  <si>
    <t>Binacle</t>
  </si>
  <si>
    <t>689_0</t>
  </si>
  <si>
    <t>Barbaracle</t>
  </si>
  <si>
    <t>690_0</t>
  </si>
  <si>
    <t>Skrelp</t>
  </si>
  <si>
    <t>691_0</t>
  </si>
  <si>
    <t>Dragalge</t>
  </si>
  <si>
    <t>692_0</t>
  </si>
  <si>
    <t>Clauncher</t>
  </si>
  <si>
    <t>693_0</t>
  </si>
  <si>
    <t>Clawitzer</t>
  </si>
  <si>
    <t>694_0</t>
  </si>
  <si>
    <t>Helioptile</t>
  </si>
  <si>
    <t>695_0</t>
  </si>
  <si>
    <t>Heliolisk</t>
  </si>
  <si>
    <t>696_0</t>
  </si>
  <si>
    <t>Tyrunt</t>
  </si>
  <si>
    <t>697_0</t>
  </si>
  <si>
    <t>Tyrantrum</t>
  </si>
  <si>
    <t>698_0</t>
  </si>
  <si>
    <t>Amaura</t>
  </si>
  <si>
    <t>699_0</t>
  </si>
  <si>
    <t>Aurorus</t>
  </si>
  <si>
    <t>700_0</t>
  </si>
  <si>
    <t>Sylveon</t>
  </si>
  <si>
    <t>701_0</t>
  </si>
  <si>
    <t>Hawlucha</t>
  </si>
  <si>
    <t>702_0</t>
  </si>
  <si>
    <t>Dedenne</t>
  </si>
  <si>
    <t>703_0</t>
  </si>
  <si>
    <t>Carbink</t>
  </si>
  <si>
    <t>704_0</t>
  </si>
  <si>
    <t>Goomy</t>
  </si>
  <si>
    <t>Gooey</t>
  </si>
  <si>
    <t>705_0</t>
  </si>
  <si>
    <t>Sliggoo</t>
  </si>
  <si>
    <t>705_1</t>
  </si>
  <si>
    <t>Hisuian Sliggoo</t>
  </si>
  <si>
    <t>706_0</t>
  </si>
  <si>
    <t>Goodra</t>
  </si>
  <si>
    <t>706_1</t>
  </si>
  <si>
    <t>Hisuian Goodra</t>
  </si>
  <si>
    <t>707_0</t>
  </si>
  <si>
    <t>Klefki</t>
  </si>
  <si>
    <t>708_0</t>
  </si>
  <si>
    <t>Phantump</t>
  </si>
  <si>
    <t>709_0</t>
  </si>
  <si>
    <t>Trevenant</t>
  </si>
  <si>
    <t>710_0</t>
  </si>
  <si>
    <t>Pumpkaboo</t>
  </si>
  <si>
    <t>Pumpkaboo Small</t>
  </si>
  <si>
    <t>710_1</t>
  </si>
  <si>
    <t>Pumpkaboo Average</t>
  </si>
  <si>
    <t>710_2</t>
  </si>
  <si>
    <t>Pumpkaboo Large</t>
  </si>
  <si>
    <t>710_3</t>
  </si>
  <si>
    <t>Pumpkaboo Super</t>
  </si>
  <si>
    <t>711_0</t>
  </si>
  <si>
    <t>Gourgeist</t>
  </si>
  <si>
    <t>Gourgeist Small</t>
  </si>
  <si>
    <t>711_1</t>
  </si>
  <si>
    <t>Gourgeist Average</t>
  </si>
  <si>
    <t>711_2</t>
  </si>
  <si>
    <t>Gourgeist Large</t>
  </si>
  <si>
    <t>711_3</t>
  </si>
  <si>
    <t>Gourgeist Super</t>
  </si>
  <si>
    <t>712_0</t>
  </si>
  <si>
    <t>Bergmite</t>
  </si>
  <si>
    <t>713_0</t>
  </si>
  <si>
    <t>Avalugg</t>
  </si>
  <si>
    <t>713_1</t>
  </si>
  <si>
    <t>Hisuian Avalugg</t>
  </si>
  <si>
    <t>714_0</t>
  </si>
  <si>
    <t>Noibat</t>
  </si>
  <si>
    <t>715_0</t>
  </si>
  <si>
    <t>Noivern</t>
  </si>
  <si>
    <t>716_0</t>
  </si>
  <si>
    <t>Xerneas</t>
  </si>
  <si>
    <t>Fairy Aura</t>
  </si>
  <si>
    <t>717_0</t>
  </si>
  <si>
    <t>Yveltal</t>
  </si>
  <si>
    <t>Dark Aura</t>
  </si>
  <si>
    <t>718_0</t>
  </si>
  <si>
    <t>Zygarde</t>
  </si>
  <si>
    <t>Zygarde 50% Form</t>
  </si>
  <si>
    <t>Aura Break</t>
  </si>
  <si>
    <t>718_1</t>
  </si>
  <si>
    <t>Zygarde 10% Form</t>
  </si>
  <si>
    <t>718_2</t>
  </si>
  <si>
    <t>Zygarde Complete Form</t>
  </si>
  <si>
    <t>Power Construct</t>
  </si>
  <si>
    <t>719_0</t>
  </si>
  <si>
    <t>Diancie</t>
  </si>
  <si>
    <t>719_1</t>
  </si>
  <si>
    <t>Mega Diancie</t>
  </si>
  <si>
    <t>720_0</t>
  </si>
  <si>
    <t>Hoopa</t>
  </si>
  <si>
    <t>Confined Hoopa</t>
  </si>
  <si>
    <t>720_1</t>
  </si>
  <si>
    <t>Unbound Hoopa</t>
  </si>
  <si>
    <t>721_0</t>
  </si>
  <si>
    <t>Volcanion</t>
  </si>
  <si>
    <t>722_0</t>
  </si>
  <si>
    <t>Rowlet</t>
  </si>
  <si>
    <t>Long Reach</t>
  </si>
  <si>
    <t>723_0</t>
  </si>
  <si>
    <t>Dartrix</t>
  </si>
  <si>
    <t>724_0</t>
  </si>
  <si>
    <t>Decidueye</t>
  </si>
  <si>
    <t>724_1</t>
  </si>
  <si>
    <t>Hisuian Decidueye</t>
  </si>
  <si>
    <t>725_0</t>
  </si>
  <si>
    <t>Litten</t>
  </si>
  <si>
    <t>726_0</t>
  </si>
  <si>
    <t>Torracat</t>
  </si>
  <si>
    <t>727_0</t>
  </si>
  <si>
    <t>Incineroar</t>
  </si>
  <si>
    <t>728_0</t>
  </si>
  <si>
    <t>Popplio</t>
  </si>
  <si>
    <t>Liquid Voice</t>
  </si>
  <si>
    <t>729_0</t>
  </si>
  <si>
    <t>Brionne</t>
  </si>
  <si>
    <t>730_0</t>
  </si>
  <si>
    <t>Primarina</t>
  </si>
  <si>
    <t>731_0</t>
  </si>
  <si>
    <t>Pikipek</t>
  </si>
  <si>
    <t>732_0</t>
  </si>
  <si>
    <t>Trumbeak</t>
  </si>
  <si>
    <t>733_0</t>
  </si>
  <si>
    <t>Toucannon</t>
  </si>
  <si>
    <t>734_0</t>
  </si>
  <si>
    <t>Yungoos</t>
  </si>
  <si>
    <t>Stakeout</t>
  </si>
  <si>
    <t>735_0</t>
  </si>
  <si>
    <t>Gumshoos</t>
  </si>
  <si>
    <t>736_0</t>
  </si>
  <si>
    <t>Grubbin</t>
  </si>
  <si>
    <t>737_0</t>
  </si>
  <si>
    <t>Charjabug</t>
  </si>
  <si>
    <t>Battery</t>
  </si>
  <si>
    <t>738_0</t>
  </si>
  <si>
    <t>Vikavolt</t>
  </si>
  <si>
    <t>739_0</t>
  </si>
  <si>
    <t>Crabrawler</t>
  </si>
  <si>
    <t>740_0</t>
  </si>
  <si>
    <t>Crabominable</t>
  </si>
  <si>
    <t>741_0</t>
  </si>
  <si>
    <t>Oricorio</t>
  </si>
  <si>
    <t>Oricorio Baile Style</t>
  </si>
  <si>
    <t>Dancer</t>
  </si>
  <si>
    <t>741_1</t>
  </si>
  <si>
    <t>Oricorio Pom-Pom Style</t>
  </si>
  <si>
    <t>741_2</t>
  </si>
  <si>
    <t>Oricorio Pa'u Style</t>
  </si>
  <si>
    <t>741_3</t>
  </si>
  <si>
    <t>Oricorio Sensu Style</t>
  </si>
  <si>
    <t>742_0</t>
  </si>
  <si>
    <t>Cutiefly</t>
  </si>
  <si>
    <t>743_0</t>
  </si>
  <si>
    <t>Ribombee</t>
  </si>
  <si>
    <t>744_0</t>
  </si>
  <si>
    <t>Rockruff</t>
  </si>
  <si>
    <t>745_0</t>
  </si>
  <si>
    <t>Lycanroc</t>
  </si>
  <si>
    <t>Lycanroc Midday Form</t>
  </si>
  <si>
    <t>745_1</t>
  </si>
  <si>
    <t>Lycanroc Midnight Form</t>
  </si>
  <si>
    <t>745_2</t>
  </si>
  <si>
    <t>Lycanroc Dusk Form</t>
  </si>
  <si>
    <t>746_0</t>
  </si>
  <si>
    <t>Wishiwashi</t>
  </si>
  <si>
    <t>Wishiwashi Solo Form</t>
  </si>
  <si>
    <t>Schooling</t>
  </si>
  <si>
    <t>746_1</t>
  </si>
  <si>
    <t>Wishiwashi School Form</t>
  </si>
  <si>
    <t>747_0</t>
  </si>
  <si>
    <t>Mareanie</t>
  </si>
  <si>
    <t>Merciless</t>
  </si>
  <si>
    <t>748_0</t>
  </si>
  <si>
    <t>Toxapex</t>
  </si>
  <si>
    <t>749_0</t>
  </si>
  <si>
    <t>Mudbray</t>
  </si>
  <si>
    <t>Stamina</t>
  </si>
  <si>
    <t>750_0</t>
  </si>
  <si>
    <t>Mudsdale</t>
  </si>
  <si>
    <t>751_0</t>
  </si>
  <si>
    <t>Dewpider</t>
  </si>
  <si>
    <t>Water Bubble</t>
  </si>
  <si>
    <t>752_0</t>
  </si>
  <si>
    <t>Araquanid</t>
  </si>
  <si>
    <t>753_0</t>
  </si>
  <si>
    <t>Fomantis</t>
  </si>
  <si>
    <t>754_0</t>
  </si>
  <si>
    <t>Lurantis</t>
  </si>
  <si>
    <t>755_0</t>
  </si>
  <si>
    <t>Morelull</t>
  </si>
  <si>
    <t>756_0</t>
  </si>
  <si>
    <t>Shiinotic</t>
  </si>
  <si>
    <t>757_0</t>
  </si>
  <si>
    <t>Salandit</t>
  </si>
  <si>
    <t>Corrosion</t>
  </si>
  <si>
    <t>758_0</t>
  </si>
  <si>
    <t>Salazzle</t>
  </si>
  <si>
    <t>759_0</t>
  </si>
  <si>
    <t>Stufful</t>
  </si>
  <si>
    <t>Fluffy</t>
  </si>
  <si>
    <t>760_0</t>
  </si>
  <si>
    <t>Bewear</t>
  </si>
  <si>
    <t>761_0</t>
  </si>
  <si>
    <t>Bounsweet</t>
  </si>
  <si>
    <t>762_0</t>
  </si>
  <si>
    <t>Steenee</t>
  </si>
  <si>
    <t>763_0</t>
  </si>
  <si>
    <t>Tsareena</t>
  </si>
  <si>
    <t>Queenly Majesty</t>
  </si>
  <si>
    <t>764_0</t>
  </si>
  <si>
    <t>Comfey</t>
  </si>
  <si>
    <t>Triage</t>
  </si>
  <si>
    <t>765_0</t>
  </si>
  <si>
    <t>Oranguru</t>
  </si>
  <si>
    <t>766_0</t>
  </si>
  <si>
    <t>Passimian</t>
  </si>
  <si>
    <t>Receiver</t>
  </si>
  <si>
    <t>767_0</t>
  </si>
  <si>
    <t>Wimpod</t>
  </si>
  <si>
    <t>Wimp Out</t>
  </si>
  <si>
    <t>768_0</t>
  </si>
  <si>
    <t>Golisopod</t>
  </si>
  <si>
    <t>Emergency Exit</t>
  </si>
  <si>
    <t>769_0</t>
  </si>
  <si>
    <t>Sandygast</t>
  </si>
  <si>
    <t>Water Compaction</t>
  </si>
  <si>
    <t>770_0</t>
  </si>
  <si>
    <t>Palossand</t>
  </si>
  <si>
    <t>771_0</t>
  </si>
  <si>
    <t>Pyukumuku</t>
  </si>
  <si>
    <t>Innards Out</t>
  </si>
  <si>
    <t>772_0</t>
  </si>
  <si>
    <t>Type: Null</t>
  </si>
  <si>
    <t>773_0</t>
  </si>
  <si>
    <t>Silvally</t>
  </si>
  <si>
    <t>RKS System</t>
  </si>
  <si>
    <t>774_0</t>
  </si>
  <si>
    <t>Minior</t>
  </si>
  <si>
    <t>Minior Meteor Form</t>
  </si>
  <si>
    <t>Shields Down</t>
  </si>
  <si>
    <t>774_1</t>
  </si>
  <si>
    <t>Minior Red Core</t>
  </si>
  <si>
    <t>774_2</t>
  </si>
  <si>
    <t>Minior Orange Core</t>
  </si>
  <si>
    <t>774_3</t>
  </si>
  <si>
    <t>Minior Yellow Core</t>
  </si>
  <si>
    <t>774_4</t>
  </si>
  <si>
    <t>Minior Green Core</t>
  </si>
  <si>
    <t>774_5</t>
  </si>
  <si>
    <t>Minior Blue Core</t>
  </si>
  <si>
    <t>774_6</t>
  </si>
  <si>
    <t>Minior Indigo Core</t>
  </si>
  <si>
    <t>774_7</t>
  </si>
  <si>
    <t>Minior Purple Core</t>
  </si>
  <si>
    <t>775_0</t>
  </si>
  <si>
    <t>Komala</t>
  </si>
  <si>
    <t>Comatose</t>
  </si>
  <si>
    <t>776_0</t>
  </si>
  <si>
    <t>Turtonator</t>
  </si>
  <si>
    <t>777_0</t>
  </si>
  <si>
    <t>Togedemaru</t>
  </si>
  <si>
    <t>778_0</t>
  </si>
  <si>
    <t>Mimikyu</t>
  </si>
  <si>
    <t>Disguise</t>
  </si>
  <si>
    <t>779_0</t>
  </si>
  <si>
    <t>Bruxish</t>
  </si>
  <si>
    <t>Dazzling</t>
  </si>
  <si>
    <t>780_0</t>
  </si>
  <si>
    <t>Drampa</t>
  </si>
  <si>
    <t>781_0</t>
  </si>
  <si>
    <t>Dhelmise</t>
  </si>
  <si>
    <t>Steelworker</t>
  </si>
  <si>
    <t>782_0</t>
  </si>
  <si>
    <t>Jangmo-o</t>
  </si>
  <si>
    <t>783_0</t>
  </si>
  <si>
    <t>Hakamo-o</t>
  </si>
  <si>
    <t>784_0</t>
  </si>
  <si>
    <t>Kommo-o</t>
  </si>
  <si>
    <t>785_0</t>
  </si>
  <si>
    <t>Tapu Koko</t>
  </si>
  <si>
    <t>Electric Surge</t>
  </si>
  <si>
    <t>786_0</t>
  </si>
  <si>
    <t>Tapu Lele</t>
  </si>
  <si>
    <t>Psychic Surge</t>
  </si>
  <si>
    <t>787_0</t>
  </si>
  <si>
    <t>Tapu Bulu</t>
  </si>
  <si>
    <t>Grassy Surge</t>
  </si>
  <si>
    <t>788_0</t>
  </si>
  <si>
    <t>Tapu Fini</t>
  </si>
  <si>
    <t>789_0</t>
  </si>
  <si>
    <t>Cosmog</t>
  </si>
  <si>
    <t>790_0</t>
  </si>
  <si>
    <t>Cosmoem</t>
  </si>
  <si>
    <t>791_0</t>
  </si>
  <si>
    <t>Solgaleo</t>
  </si>
  <si>
    <t>Full Metal Body</t>
  </si>
  <si>
    <t>792_0</t>
  </si>
  <si>
    <t>Lunala</t>
  </si>
  <si>
    <t>Shadow Shield</t>
  </si>
  <si>
    <t>793_0</t>
  </si>
  <si>
    <t>Nihilego</t>
  </si>
  <si>
    <t>Beast Boost</t>
  </si>
  <si>
    <t>794_0</t>
  </si>
  <si>
    <t>Buzzwole</t>
  </si>
  <si>
    <t>795_0</t>
  </si>
  <si>
    <t>Pheromosa</t>
  </si>
  <si>
    <t>796_0</t>
  </si>
  <si>
    <t>Xurkitree</t>
  </si>
  <si>
    <t>797_0</t>
  </si>
  <si>
    <t>Celesteela</t>
  </si>
  <si>
    <t>798_0</t>
  </si>
  <si>
    <t>Kartana</t>
  </si>
  <si>
    <t>799_0</t>
  </si>
  <si>
    <t>Guzzlord</t>
  </si>
  <si>
    <t>800_0</t>
  </si>
  <si>
    <t>Necrozma</t>
  </si>
  <si>
    <t>Prism Armor</t>
  </si>
  <si>
    <t>800_1</t>
  </si>
  <si>
    <t>Dusk Mane Necrozma</t>
  </si>
  <si>
    <t>800_2</t>
  </si>
  <si>
    <t>Dawn Wings Necrozma</t>
  </si>
  <si>
    <t>800_3</t>
  </si>
  <si>
    <t>Ultra Necrozma</t>
  </si>
  <si>
    <t>Neuroforce</t>
  </si>
  <si>
    <t>801_0</t>
  </si>
  <si>
    <t>Magearna</t>
  </si>
  <si>
    <t>Soul-Heart</t>
  </si>
  <si>
    <t>802_0</t>
  </si>
  <si>
    <t>Marshadow</t>
  </si>
  <si>
    <t>803_0</t>
  </si>
  <si>
    <t>Poipole</t>
  </si>
  <si>
    <t>804_0</t>
  </si>
  <si>
    <t>Naganadel</t>
  </si>
  <si>
    <t>805_0</t>
  </si>
  <si>
    <t>Stakataka</t>
  </si>
  <si>
    <t>806_0</t>
  </si>
  <si>
    <t>Blacephalon</t>
  </si>
  <si>
    <t>807_0</t>
  </si>
  <si>
    <t>Zeraora</t>
  </si>
  <si>
    <t>808_0</t>
  </si>
  <si>
    <t>Meltan</t>
  </si>
  <si>
    <t>809_0</t>
  </si>
  <si>
    <t>Melmetal</t>
  </si>
  <si>
    <t>810_0</t>
  </si>
  <si>
    <t>Grookey</t>
  </si>
  <si>
    <t>811_0</t>
  </si>
  <si>
    <t>Thwackey</t>
  </si>
  <si>
    <t>812_0</t>
  </si>
  <si>
    <t>Rillaboom</t>
  </si>
  <si>
    <t>813_0</t>
  </si>
  <si>
    <t>Scorbunny</t>
  </si>
  <si>
    <t>Libero</t>
  </si>
  <si>
    <t>814_0</t>
  </si>
  <si>
    <t>Raboot</t>
  </si>
  <si>
    <t>815_0</t>
  </si>
  <si>
    <t>Cinderace</t>
  </si>
  <si>
    <t>816_0</t>
  </si>
  <si>
    <t>Sobble</t>
  </si>
  <si>
    <t>817_0</t>
  </si>
  <si>
    <t>Drizzile</t>
  </si>
  <si>
    <t>818_0</t>
  </si>
  <si>
    <t>Inteleon</t>
  </si>
  <si>
    <t>819_0</t>
  </si>
  <si>
    <t>Skwovet</t>
  </si>
  <si>
    <t>820_0</t>
  </si>
  <si>
    <t>Greedent</t>
  </si>
  <si>
    <t>821_0</t>
  </si>
  <si>
    <t>Rookidee</t>
  </si>
  <si>
    <t>822_0</t>
  </si>
  <si>
    <t>Corvisquire</t>
  </si>
  <si>
    <t>823_0</t>
  </si>
  <si>
    <t>Corviknight</t>
  </si>
  <si>
    <t>Mirror Armor</t>
  </si>
  <si>
    <t>824_0</t>
  </si>
  <si>
    <t>Blipbug</t>
  </si>
  <si>
    <t>825_0</t>
  </si>
  <si>
    <t>Dottler</t>
  </si>
  <si>
    <t>826_0</t>
  </si>
  <si>
    <t>Orbeetle</t>
  </si>
  <si>
    <t>827_0</t>
  </si>
  <si>
    <t>Nickit</t>
  </si>
  <si>
    <t>828_0</t>
  </si>
  <si>
    <t>Thievul</t>
  </si>
  <si>
    <t>829_0</t>
  </si>
  <si>
    <t>Gossifleur</t>
  </si>
  <si>
    <t>Cotton Down</t>
  </si>
  <si>
    <t>830_0</t>
  </si>
  <si>
    <t>Eldegoss</t>
  </si>
  <si>
    <t>831_0</t>
  </si>
  <si>
    <t>Wooloo</t>
  </si>
  <si>
    <t>832_0</t>
  </si>
  <si>
    <t>Dubwool</t>
  </si>
  <si>
    <t>833_0</t>
  </si>
  <si>
    <t>Chewtle</t>
  </si>
  <si>
    <t>834_0</t>
  </si>
  <si>
    <t>Drednaw</t>
  </si>
  <si>
    <t>835_0</t>
  </si>
  <si>
    <t>Yamper</t>
  </si>
  <si>
    <t>Ball Fetch</t>
  </si>
  <si>
    <t>836_0</t>
  </si>
  <si>
    <t>Boltund</t>
  </si>
  <si>
    <t>837_0</t>
  </si>
  <si>
    <t>Rolycoly</t>
  </si>
  <si>
    <t>Steam Engine</t>
  </si>
  <si>
    <t>838_0</t>
  </si>
  <si>
    <t>Carkol</t>
  </si>
  <si>
    <t>839_0</t>
  </si>
  <si>
    <t>Coalossal</t>
  </si>
  <si>
    <t>840_0</t>
  </si>
  <si>
    <t>Applin</t>
  </si>
  <si>
    <t>Ripen</t>
  </si>
  <si>
    <t>841_0</t>
  </si>
  <si>
    <t>Flapple</t>
  </si>
  <si>
    <t>842_0</t>
  </si>
  <si>
    <t>Appletun</t>
  </si>
  <si>
    <t>843_0</t>
  </si>
  <si>
    <t>Silicobra</t>
  </si>
  <si>
    <t>Sand Spit</t>
  </si>
  <si>
    <t>844_0</t>
  </si>
  <si>
    <t>Sandaconda</t>
  </si>
  <si>
    <t>845_0</t>
  </si>
  <si>
    <t>Cramorant</t>
  </si>
  <si>
    <t>Gulp Missile</t>
  </si>
  <si>
    <t>846_0</t>
  </si>
  <si>
    <t>Arrokuda</t>
  </si>
  <si>
    <t>Propeller Tail</t>
  </si>
  <si>
    <t>847_0</t>
  </si>
  <si>
    <t>Barraskewda</t>
  </si>
  <si>
    <t>848_0</t>
  </si>
  <si>
    <t>Toxel</t>
  </si>
  <si>
    <t>849_0</t>
  </si>
  <si>
    <t>Toxtricity</t>
  </si>
  <si>
    <t>Toxtricity Amped Form</t>
  </si>
  <si>
    <t>Punk Rock</t>
  </si>
  <si>
    <t>849_1</t>
  </si>
  <si>
    <t>Toxtricity Low-Key Form</t>
  </si>
  <si>
    <t>850_0</t>
  </si>
  <si>
    <t>Sizzlipede</t>
  </si>
  <si>
    <t>851_0</t>
  </si>
  <si>
    <t>Centiskorch</t>
  </si>
  <si>
    <t>852_0</t>
  </si>
  <si>
    <t>Clobbopus</t>
  </si>
  <si>
    <t>853_0</t>
  </si>
  <si>
    <t>Grapploct</t>
  </si>
  <si>
    <t>854_0</t>
  </si>
  <si>
    <t>Sinistea</t>
  </si>
  <si>
    <t>855_0</t>
  </si>
  <si>
    <t>Polteageist</t>
  </si>
  <si>
    <t>856_0</t>
  </si>
  <si>
    <t>Hatenna</t>
  </si>
  <si>
    <t>857_0</t>
  </si>
  <si>
    <t>Hattrem</t>
  </si>
  <si>
    <t>858_0</t>
  </si>
  <si>
    <t>Hatterene</t>
  </si>
  <si>
    <t>859_0</t>
  </si>
  <si>
    <t>Impidimp</t>
  </si>
  <si>
    <t>860_0</t>
  </si>
  <si>
    <t>Morgrem</t>
  </si>
  <si>
    <t>861_0</t>
  </si>
  <si>
    <t>Grimmsnarl</t>
  </si>
  <si>
    <t>862_0</t>
  </si>
  <si>
    <t>Obstagoon</t>
  </si>
  <si>
    <t>863_0</t>
  </si>
  <si>
    <t>Perrserker</t>
  </si>
  <si>
    <t>Steely Spirit</t>
  </si>
  <si>
    <t>864_0</t>
  </si>
  <si>
    <t>Cursola</t>
  </si>
  <si>
    <t>Perish Body</t>
  </si>
  <si>
    <t>865_0</t>
  </si>
  <si>
    <t>Sirfetch'd</t>
  </si>
  <si>
    <t>866_0</t>
  </si>
  <si>
    <t>Mr. Rime</t>
  </si>
  <si>
    <t>867_0</t>
  </si>
  <si>
    <t>Runerigus</t>
  </si>
  <si>
    <t>868_0</t>
  </si>
  <si>
    <t>Milcery</t>
  </si>
  <si>
    <t>869_0</t>
  </si>
  <si>
    <t>Alcremie</t>
  </si>
  <si>
    <t>870_0</t>
  </si>
  <si>
    <t>Falinks</t>
  </si>
  <si>
    <t>871_0</t>
  </si>
  <si>
    <t>Pincurchin</t>
  </si>
  <si>
    <t>872_0</t>
  </si>
  <si>
    <t>Snom</t>
  </si>
  <si>
    <t>Ice Scales</t>
  </si>
  <si>
    <t>873_0</t>
  </si>
  <si>
    <t>Frosmoth</t>
  </si>
  <si>
    <t>874_0</t>
  </si>
  <si>
    <t>Stonjourner</t>
  </si>
  <si>
    <t>Power Spot</t>
  </si>
  <si>
    <t>875_0</t>
  </si>
  <si>
    <t>Eiscue</t>
  </si>
  <si>
    <t>Eiscue Ice Face</t>
  </si>
  <si>
    <t>Ice Face</t>
  </si>
  <si>
    <t>875_1</t>
  </si>
  <si>
    <t>Eiscue Noice Face</t>
  </si>
  <si>
    <t>876_0</t>
  </si>
  <si>
    <t>Indeedee</t>
  </si>
  <si>
    <t>Indeedee Male</t>
  </si>
  <si>
    <t>876_1</t>
  </si>
  <si>
    <t>Indeedee Female</t>
  </si>
  <si>
    <t>877_0</t>
  </si>
  <si>
    <t>Morpeko</t>
  </si>
  <si>
    <t>Morpeko Full Berry Mode</t>
  </si>
  <si>
    <t>Hunger Switch</t>
  </si>
  <si>
    <t>877_1</t>
  </si>
  <si>
    <t>Morpeko Hangry Mode</t>
  </si>
  <si>
    <t>878_0</t>
  </si>
  <si>
    <t>Cufant</t>
  </si>
  <si>
    <t>879_0</t>
  </si>
  <si>
    <t>Copperajah</t>
  </si>
  <si>
    <t>880_0</t>
  </si>
  <si>
    <t>Dracozolt</t>
  </si>
  <si>
    <t>881_0</t>
  </si>
  <si>
    <t>Arctozolt</t>
  </si>
  <si>
    <t>882_0</t>
  </si>
  <si>
    <t>Dracovish</t>
  </si>
  <si>
    <t>883_0</t>
  </si>
  <si>
    <t>Arctovish</t>
  </si>
  <si>
    <t>884_0</t>
  </si>
  <si>
    <t>Duraludon</t>
  </si>
  <si>
    <t>Stalwart</t>
  </si>
  <si>
    <t>885_0</t>
  </si>
  <si>
    <t>Dreepy</t>
  </si>
  <si>
    <t>886_0</t>
  </si>
  <si>
    <t>Drakloak</t>
  </si>
  <si>
    <t>887_0</t>
  </si>
  <si>
    <t>Dragapult</t>
  </si>
  <si>
    <t>888_0</t>
  </si>
  <si>
    <t>Zacian</t>
  </si>
  <si>
    <t>Zacian Hero of Many Battles</t>
  </si>
  <si>
    <t>Intrepid Sword</t>
  </si>
  <si>
    <t>888_1</t>
  </si>
  <si>
    <t>Zacian Crowned Sword</t>
  </si>
  <si>
    <t>889_0</t>
  </si>
  <si>
    <t>Zamazenta</t>
  </si>
  <si>
    <t>Zamazenta Hero of Many Battles</t>
  </si>
  <si>
    <t>Dauntless Shield</t>
  </si>
  <si>
    <t>889_1</t>
  </si>
  <si>
    <t>Zamazenta Crowned Shield</t>
  </si>
  <si>
    <t>890_0</t>
  </si>
  <si>
    <t>Eternatus</t>
  </si>
  <si>
    <t>890_1</t>
  </si>
  <si>
    <t>Eternamax Eternatus</t>
  </si>
  <si>
    <t>891_0</t>
  </si>
  <si>
    <t>Kubfu</t>
  </si>
  <si>
    <t>892_0</t>
  </si>
  <si>
    <t>Urshifu</t>
  </si>
  <si>
    <t>Urshifu Single Strike Style</t>
  </si>
  <si>
    <t>Unseen Fist</t>
  </si>
  <si>
    <t>892_1</t>
  </si>
  <si>
    <t>Urshifu Rapid Strike Style</t>
  </si>
  <si>
    <t>893_0</t>
  </si>
  <si>
    <t>Zarude</t>
  </si>
  <si>
    <t>894_0</t>
  </si>
  <si>
    <t>Regieleki</t>
  </si>
  <si>
    <t>Transistor</t>
  </si>
  <si>
    <t>895_0</t>
  </si>
  <si>
    <t>Regidrago</t>
  </si>
  <si>
    <t>Dragon's Maw</t>
  </si>
  <si>
    <t>896_0</t>
  </si>
  <si>
    <t>Glastrier</t>
  </si>
  <si>
    <t>Chilling Neigh</t>
  </si>
  <si>
    <t>897_0</t>
  </si>
  <si>
    <t>Spectrier</t>
  </si>
  <si>
    <t>Grim Neigh</t>
  </si>
  <si>
    <t>898_0</t>
  </si>
  <si>
    <t>Calyrex</t>
  </si>
  <si>
    <t>898_1</t>
  </si>
  <si>
    <t>Calyrex Ice Rider</t>
  </si>
  <si>
    <t>As One</t>
  </si>
  <si>
    <t>898_2</t>
  </si>
  <si>
    <t>Calyrex Shadow Rider</t>
  </si>
  <si>
    <t>899_0</t>
  </si>
  <si>
    <t>Wyrdeer</t>
  </si>
  <si>
    <t>900_0</t>
  </si>
  <si>
    <t>Kleavor</t>
  </si>
  <si>
    <t>901_0</t>
  </si>
  <si>
    <t>Ursaluna</t>
  </si>
  <si>
    <t>902_0</t>
  </si>
  <si>
    <t>Basculegion</t>
  </si>
  <si>
    <t>Basculegion Male</t>
  </si>
  <si>
    <t>902_1</t>
  </si>
  <si>
    <t>Basculegion Felame</t>
  </si>
  <si>
    <t>903_0</t>
  </si>
  <si>
    <t>Sneasler</t>
  </si>
  <si>
    <t>904_0</t>
  </si>
  <si>
    <t>Overqwil</t>
  </si>
  <si>
    <t>905_0</t>
  </si>
  <si>
    <t>Enamorus</t>
  </si>
  <si>
    <t>Enamorus Incarnate Style</t>
  </si>
  <si>
    <t>905_1</t>
  </si>
  <si>
    <t>Enamorus Therian Style</t>
  </si>
  <si>
    <t>906_0</t>
  </si>
  <si>
    <t>Sprigatito</t>
  </si>
  <si>
    <t>907_0</t>
  </si>
  <si>
    <t>Floragato</t>
  </si>
  <si>
    <t>908_0</t>
  </si>
  <si>
    <t>Meowscarada</t>
  </si>
  <si>
    <t>909_0</t>
  </si>
  <si>
    <t>Fuecoco</t>
  </si>
  <si>
    <t>910_0</t>
  </si>
  <si>
    <t>Crocalor</t>
  </si>
  <si>
    <t>911_0</t>
  </si>
  <si>
    <t>Skeledirge</t>
  </si>
  <si>
    <t>912_0</t>
  </si>
  <si>
    <t>Quaxly</t>
  </si>
  <si>
    <t>913_0</t>
  </si>
  <si>
    <t>Quaxwell</t>
  </si>
  <si>
    <t>914_0</t>
  </si>
  <si>
    <t>Quaquaval</t>
  </si>
  <si>
    <t>915_0</t>
  </si>
  <si>
    <t>Lechonk</t>
  </si>
  <si>
    <t>916_0</t>
  </si>
  <si>
    <t>Oinkologne</t>
  </si>
  <si>
    <t>Lingering Aroma</t>
  </si>
  <si>
    <t>916_1</t>
  </si>
  <si>
    <t>917_0</t>
  </si>
  <si>
    <t>Tarountula</t>
  </si>
  <si>
    <t>918_0</t>
  </si>
  <si>
    <t>Spidops</t>
  </si>
  <si>
    <t>919_0</t>
  </si>
  <si>
    <t>Nymble</t>
  </si>
  <si>
    <t>920_0</t>
  </si>
  <si>
    <t>Lokix</t>
  </si>
  <si>
    <t>921_0</t>
  </si>
  <si>
    <t>Pawmi</t>
  </si>
  <si>
    <t>922_0</t>
  </si>
  <si>
    <t>Pawmo</t>
  </si>
  <si>
    <t>923_0</t>
  </si>
  <si>
    <t>Pawmot</t>
  </si>
  <si>
    <t>924_0</t>
  </si>
  <si>
    <t>Tandemaus</t>
  </si>
  <si>
    <t>925_0</t>
  </si>
  <si>
    <t>Maushold</t>
  </si>
  <si>
    <t>Maushold Family of Three</t>
  </si>
  <si>
    <t>925_1</t>
  </si>
  <si>
    <t>Maushold Family of Four</t>
  </si>
  <si>
    <t>926_0</t>
  </si>
  <si>
    <t>Fidough</t>
  </si>
  <si>
    <t>927_0</t>
  </si>
  <si>
    <t>Dachsbun</t>
  </si>
  <si>
    <t>Well-Baked Body</t>
  </si>
  <si>
    <t>928_0</t>
  </si>
  <si>
    <t>Smoliv</t>
  </si>
  <si>
    <t>929_0</t>
  </si>
  <si>
    <t>Dolliv</t>
  </si>
  <si>
    <t>930_0</t>
  </si>
  <si>
    <t>Arboliva</t>
  </si>
  <si>
    <t>Seed Sower</t>
  </si>
  <si>
    <t>931_0</t>
  </si>
  <si>
    <t>Squawkabilly</t>
  </si>
  <si>
    <t>Squawkabilly Green Plumage</t>
  </si>
  <si>
    <t>931_1</t>
  </si>
  <si>
    <t>Squawkabilly Blue Plumage</t>
  </si>
  <si>
    <t>931_2</t>
  </si>
  <si>
    <t>Squawkabilly Yellow Plumage</t>
  </si>
  <si>
    <t>931_3</t>
  </si>
  <si>
    <t>Squawkabilly White Plumage</t>
  </si>
  <si>
    <t>932_0</t>
  </si>
  <si>
    <t>Nacli</t>
  </si>
  <si>
    <t>Purifying Salt</t>
  </si>
  <si>
    <t>933_0</t>
  </si>
  <si>
    <t>Naclstack</t>
  </si>
  <si>
    <t>934_0</t>
  </si>
  <si>
    <t>Garganacl</t>
  </si>
  <si>
    <t>935_0</t>
  </si>
  <si>
    <t>Charcadet</t>
  </si>
  <si>
    <t>936_0</t>
  </si>
  <si>
    <t>Armarouge</t>
  </si>
  <si>
    <t>937_0</t>
  </si>
  <si>
    <t>Ceruledge</t>
  </si>
  <si>
    <t>938_0</t>
  </si>
  <si>
    <t>Tadbulb</t>
  </si>
  <si>
    <t>939_0</t>
  </si>
  <si>
    <t>Bellibolt</t>
  </si>
  <si>
    <t>Electromorphosis</t>
  </si>
  <si>
    <t>940_0</t>
  </si>
  <si>
    <t>Wattrel</t>
  </si>
  <si>
    <t>Wind Power</t>
  </si>
  <si>
    <t>941_0</t>
  </si>
  <si>
    <t>Kilowattrel</t>
  </si>
  <si>
    <t>942_0</t>
  </si>
  <si>
    <t>Maschiff</t>
  </si>
  <si>
    <t>943_0</t>
  </si>
  <si>
    <t>Mabosstiff</t>
  </si>
  <si>
    <t>Guard Dog</t>
  </si>
  <si>
    <t>944_0</t>
  </si>
  <si>
    <t>Shroodle</t>
  </si>
  <si>
    <t>945_0</t>
  </si>
  <si>
    <t>Grafaiai</t>
  </si>
  <si>
    <t>946_0</t>
  </si>
  <si>
    <t>Bramblin</t>
  </si>
  <si>
    <t>Wind Rider</t>
  </si>
  <si>
    <t>947_0</t>
  </si>
  <si>
    <t>Brambleghast</t>
  </si>
  <si>
    <t>948_0</t>
  </si>
  <si>
    <t>Toedscool</t>
  </si>
  <si>
    <t>Mycelium Might</t>
  </si>
  <si>
    <t>949_0</t>
  </si>
  <si>
    <t>Toedscruel</t>
  </si>
  <si>
    <t>950_0</t>
  </si>
  <si>
    <t>Klawf</t>
  </si>
  <si>
    <t>Anger Shell</t>
  </si>
  <si>
    <t>951_0</t>
  </si>
  <si>
    <t>Capsakid</t>
  </si>
  <si>
    <t>952_0</t>
  </si>
  <si>
    <t>Scovillain</t>
  </si>
  <si>
    <t>953_0</t>
  </si>
  <si>
    <t>Rellor</t>
  </si>
  <si>
    <t>954_0</t>
  </si>
  <si>
    <t>Rabsca</t>
  </si>
  <si>
    <t>955_0</t>
  </si>
  <si>
    <t>Flittle</t>
  </si>
  <si>
    <t>956_0</t>
  </si>
  <si>
    <t>Espathra</t>
  </si>
  <si>
    <t>Opportunist</t>
  </si>
  <si>
    <t>957_0</t>
  </si>
  <si>
    <t>Tinkatink</t>
  </si>
  <si>
    <t>958_0</t>
  </si>
  <si>
    <t>Tinkatuff</t>
  </si>
  <si>
    <t>959_0</t>
  </si>
  <si>
    <t>Tinkaton</t>
  </si>
  <si>
    <t>960_0</t>
  </si>
  <si>
    <t>Wiglett</t>
  </si>
  <si>
    <t>961_0</t>
  </si>
  <si>
    <t>Wugtrio</t>
  </si>
  <si>
    <t>962_0</t>
  </si>
  <si>
    <t>Bombirdier</t>
  </si>
  <si>
    <t>Rocky Payload</t>
  </si>
  <si>
    <t>963_0</t>
  </si>
  <si>
    <t>Finizen</t>
  </si>
  <si>
    <t>964_0</t>
  </si>
  <si>
    <t>Palafin</t>
  </si>
  <si>
    <t>Palafin Zero Form</t>
  </si>
  <si>
    <t>Zero to Hero</t>
  </si>
  <si>
    <t>964_1</t>
  </si>
  <si>
    <t>Palafin Hero Form</t>
  </si>
  <si>
    <t>965_0</t>
  </si>
  <si>
    <t>Varoom</t>
  </si>
  <si>
    <t>966_0</t>
  </si>
  <si>
    <t>Revavroom</t>
  </si>
  <si>
    <t>967_0</t>
  </si>
  <si>
    <t>Cyclizar</t>
  </si>
  <si>
    <t>968_0</t>
  </si>
  <si>
    <t>Orthworm</t>
  </si>
  <si>
    <t>Earth Eater</t>
  </si>
  <si>
    <t>969_0</t>
  </si>
  <si>
    <t>Glimmet</t>
  </si>
  <si>
    <t>Toxic Debris</t>
  </si>
  <si>
    <t>970_0</t>
  </si>
  <si>
    <t>Glimmora</t>
  </si>
  <si>
    <t>971_0</t>
  </si>
  <si>
    <t>Greavard</t>
  </si>
  <si>
    <t>972_0</t>
  </si>
  <si>
    <t>Houndstone</t>
  </si>
  <si>
    <t>973_0</t>
  </si>
  <si>
    <t>Flamigo</t>
  </si>
  <si>
    <t>Costar</t>
  </si>
  <si>
    <t>974_0</t>
  </si>
  <si>
    <t>Cetoddle</t>
  </si>
  <si>
    <t>975_0</t>
  </si>
  <si>
    <t>Cetitan</t>
  </si>
  <si>
    <t>976_0</t>
  </si>
  <si>
    <t>Veluza</t>
  </si>
  <si>
    <t>977_0</t>
  </si>
  <si>
    <t>Dondozo</t>
  </si>
  <si>
    <t>978_0</t>
  </si>
  <si>
    <t>Tatsugiri</t>
  </si>
  <si>
    <t>Tatsugiri Curly Form</t>
  </si>
  <si>
    <t>Commander</t>
  </si>
  <si>
    <t>978_1</t>
  </si>
  <si>
    <t>Tatsugiri Droopy Form</t>
  </si>
  <si>
    <t>978_2</t>
  </si>
  <si>
    <t>Tatsugiri Stretchy Form</t>
  </si>
  <si>
    <t>979_0</t>
  </si>
  <si>
    <t>Annihilape</t>
  </si>
  <si>
    <t>980_0</t>
  </si>
  <si>
    <t>Clodsire</t>
  </si>
  <si>
    <t>981_0</t>
  </si>
  <si>
    <t>Farigiraf</t>
  </si>
  <si>
    <t>Armor Tail</t>
  </si>
  <si>
    <t>982_0</t>
  </si>
  <si>
    <t>Dudunsparce</t>
  </si>
  <si>
    <t>Dudunsparce Two-Segment Form</t>
  </si>
  <si>
    <t>982_1</t>
  </si>
  <si>
    <t>Dudunsparce Three-Segment Form</t>
  </si>
  <si>
    <t>983_0</t>
  </si>
  <si>
    <t>Kingambit</t>
  </si>
  <si>
    <t>Supreme Overlord</t>
  </si>
  <si>
    <t>984_0</t>
  </si>
  <si>
    <t>Great Tusk</t>
  </si>
  <si>
    <t>Protosynthesis</t>
  </si>
  <si>
    <t>985_0</t>
  </si>
  <si>
    <t>Scream Tail</t>
  </si>
  <si>
    <t>986_0</t>
  </si>
  <si>
    <t>Brute Bonnet</t>
  </si>
  <si>
    <t>987_0</t>
  </si>
  <si>
    <t>Flutter Mane</t>
  </si>
  <si>
    <t>988_0</t>
  </si>
  <si>
    <t>Slither Wing</t>
  </si>
  <si>
    <t>989_0</t>
  </si>
  <si>
    <t>Sandy Shocks</t>
  </si>
  <si>
    <t>990_0</t>
  </si>
  <si>
    <t>Iron Treads</t>
  </si>
  <si>
    <t>Quark Drive</t>
  </si>
  <si>
    <t>991_0</t>
  </si>
  <si>
    <t>Iron Bundle</t>
  </si>
  <si>
    <t>992_0</t>
  </si>
  <si>
    <t>Iron Hands</t>
  </si>
  <si>
    <t>993_0</t>
  </si>
  <si>
    <t>Iron Jugulis</t>
  </si>
  <si>
    <t>994_0</t>
  </si>
  <si>
    <t>Iron Moth</t>
  </si>
  <si>
    <t>995_0</t>
  </si>
  <si>
    <t>Iron Thorns</t>
  </si>
  <si>
    <t>996_0</t>
  </si>
  <si>
    <t>Frigibax</t>
  </si>
  <si>
    <t>Thermal Exchange</t>
  </si>
  <si>
    <t>997_0</t>
  </si>
  <si>
    <t>Arctibax</t>
  </si>
  <si>
    <t>998_0</t>
  </si>
  <si>
    <t>Baxcalibur</t>
  </si>
  <si>
    <t>999_0</t>
  </si>
  <si>
    <t>Gimmighoul</t>
  </si>
  <si>
    <t>Gimmighoul Chest Form</t>
  </si>
  <si>
    <t>999_1</t>
  </si>
  <si>
    <t>Gimmighoul Roaming Form</t>
  </si>
  <si>
    <t>1000_0</t>
  </si>
  <si>
    <t>Gholdengo</t>
  </si>
  <si>
    <t>Good as Gold</t>
  </si>
  <si>
    <t>1001_0</t>
  </si>
  <si>
    <t>Wo-Chien</t>
  </si>
  <si>
    <t>Tablets of Ruin</t>
  </si>
  <si>
    <t>1002_0</t>
  </si>
  <si>
    <t>Chien-Pao</t>
  </si>
  <si>
    <t>Sword of Ruin</t>
  </si>
  <si>
    <t>1003_0</t>
  </si>
  <si>
    <t>Ting-Lu</t>
  </si>
  <si>
    <t>Vessel of Ruin</t>
  </si>
  <si>
    <t>1004_0</t>
  </si>
  <si>
    <t>Chi-Yu</t>
  </si>
  <si>
    <t>Beads of Ruin</t>
  </si>
  <si>
    <t>1005_0</t>
  </si>
  <si>
    <t>Roaring Moon</t>
  </si>
  <si>
    <t>1006_0</t>
  </si>
  <si>
    <t>Iron Valiant</t>
  </si>
  <si>
    <t>1007_0</t>
  </si>
  <si>
    <t>Koraidon</t>
  </si>
  <si>
    <t>Orichalcum Pulse</t>
  </si>
  <si>
    <t>1008_0</t>
  </si>
  <si>
    <t>Miraidon</t>
  </si>
  <si>
    <t>Hadron Engine</t>
  </si>
  <si>
    <t>1009_0</t>
  </si>
  <si>
    <t>Walking Wake</t>
  </si>
  <si>
    <t>1010_0</t>
  </si>
  <si>
    <t>Iron Leaves</t>
  </si>
  <si>
    <t>Name:</t>
  </si>
  <si>
    <t>ID:</t>
  </si>
  <si>
    <t>Branch_Code:</t>
  </si>
  <si>
    <t>Type1:</t>
  </si>
  <si>
    <t>Type2:</t>
  </si>
  <si>
    <t>HP:</t>
  </si>
  <si>
    <t>Attack:</t>
  </si>
  <si>
    <t>Defense:</t>
  </si>
  <si>
    <t>Category:</t>
  </si>
  <si>
    <t xml:space="preserve">VLOOKUP </t>
  </si>
  <si>
    <t>(Enter Pokemon Name)</t>
  </si>
  <si>
    <t>iPhone</t>
  </si>
  <si>
    <t>1011_0</t>
  </si>
  <si>
    <t>Grand Total</t>
  </si>
  <si>
    <t>Average Attack</t>
  </si>
  <si>
    <t>Next Evolution?</t>
  </si>
  <si>
    <t>Stage</t>
  </si>
  <si>
    <t>Next Charizard?</t>
  </si>
  <si>
    <t>Next Mewtwo?</t>
  </si>
  <si>
    <t>Total Pokemon</t>
  </si>
  <si>
    <t>Type of Pokemon</t>
  </si>
  <si>
    <t>POKEMON CRITERIA</t>
  </si>
  <si>
    <t>TYPE:</t>
  </si>
  <si>
    <t>GEN:</t>
  </si>
  <si>
    <t>CATEGORY:</t>
  </si>
  <si>
    <t>Pokemon Total:</t>
  </si>
  <si>
    <t>MacBook</t>
  </si>
  <si>
    <t>1012_0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</si>
</sst>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8"/>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bgColor theme="5"/>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
      <left style="thin">
        <color theme="5"/>
      </left>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6">
    <xf numFmtId="0" fontId="0" fillId="0" borderId="0" xfId="0"/>
    <xf numFmtId="0" fontId="1" fillId="0" borderId="0" xfId="0" applyFont="1"/>
    <xf numFmtId="0" fontId="0" fillId="0" borderId="0" xfId="0" applyAlignment="1">
      <alignment horizontal="right"/>
    </xf>
    <xf numFmtId="0" fontId="0" fillId="0" borderId="0" xfId="0" pivotButton="1"/>
    <xf numFmtId="0" fontId="0" fillId="0" borderId="0" xfId="0" applyAlignment="1">
      <alignment horizontal="left"/>
    </xf>
    <xf numFmtId="2" fontId="0" fillId="0" borderId="0" xfId="0" applyNumberFormat="1"/>
    <xf numFmtId="0" fontId="13" fillId="33" borderId="10" xfId="0" applyFont="1" applyFill="1" applyBorder="1"/>
    <xf numFmtId="0" fontId="13" fillId="33" borderId="11" xfId="0" applyFont="1" applyFill="1" applyBorder="1"/>
    <xf numFmtId="0" fontId="13" fillId="33" borderId="12" xfId="0" applyFont="1" applyFill="1"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0" xfId="0" applyAlignment="1">
      <alignment vertical="center"/>
    </xf>
    <xf numFmtId="0" fontId="0" fillId="0" borderId="0" xfId="0" applyAlignment="1">
      <alignment wrapText="1"/>
    </xf>
    <xf numFmtId="0" fontId="0" fillId="0" borderId="0" xfId="0" applyAlignment="1">
      <alignment horizontal="righ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0">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bgColor theme="9"/>
        </patternFill>
      </fill>
    </dxf>
    <dxf>
      <fill>
        <patternFill>
          <bgColor rgb="FFC00000"/>
        </patternFill>
      </fill>
    </dxf>
    <dxf>
      <fill>
        <patternFill>
          <bgColor rgb="FF00B0F0"/>
        </patternFill>
      </fill>
    </dxf>
    <dxf>
      <fill>
        <patternFill>
          <bgColor theme="2"/>
        </patternFill>
      </fill>
    </dxf>
    <dxf>
      <fill>
        <patternFill>
          <bgColor theme="9" tint="-0.24994659260841701"/>
        </patternFill>
      </fill>
    </dxf>
    <dxf>
      <fill>
        <patternFill>
          <bgColor theme="4" tint="-0.24994659260841701"/>
        </patternFill>
      </fill>
    </dxf>
    <dxf>
      <fill>
        <patternFill>
          <bgColor theme="8" tint="0.59996337778862885"/>
        </patternFill>
      </fill>
    </dxf>
    <dxf>
      <fill>
        <patternFill>
          <bgColor rgb="FFFFFF00"/>
        </patternFill>
      </fill>
    </dxf>
    <dxf>
      <fill>
        <patternFill>
          <bgColor theme="1" tint="0.499984740745262"/>
        </patternFill>
      </fill>
    </dxf>
    <dxf>
      <fill>
        <patternFill>
          <bgColor theme="0" tint="-0.34998626667073579"/>
        </patternFill>
      </fill>
    </dxf>
    <dxf>
      <fill>
        <patternFill>
          <bgColor theme="0" tint="-4.9989318521683403E-2"/>
        </patternFill>
      </fill>
    </dxf>
    <dxf>
      <fill>
        <patternFill>
          <bgColor theme="7" tint="-0.499984740745262"/>
        </patternFill>
      </fill>
    </dxf>
    <dxf>
      <fill>
        <patternFill>
          <bgColor theme="9" tint="0.39994506668294322"/>
        </patternFill>
      </fill>
    </dxf>
    <dxf>
      <fill>
        <patternFill>
          <bgColor rgb="FFFF99CC"/>
        </patternFill>
      </fill>
    </dxf>
    <dxf>
      <fill>
        <patternFill>
          <bgColor theme="7" tint="-0.24994659260841701"/>
        </patternFill>
      </fill>
    </dxf>
    <dxf>
      <fill>
        <patternFill>
          <bgColor theme="8" tint="0.59996337778862885"/>
        </patternFill>
      </fill>
    </dxf>
    <dxf>
      <fill>
        <patternFill>
          <bgColor rgb="FFFFC000"/>
        </patternFill>
      </fill>
    </dxf>
    <dxf>
      <fill>
        <patternFill>
          <bgColor theme="6" tint="0.79998168889431442"/>
        </patternFill>
      </fill>
    </dxf>
  </dxfs>
  <tableStyles count="0" defaultTableStyle="TableStyleMedium2" defaultPivotStyle="PivotStyleLight16"/>
  <colors>
    <mruColors>
      <color rgb="FF996633"/>
      <color rgb="FF800000"/>
      <color rgb="FFCC3300"/>
      <color rgb="FFFF99CC"/>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[Pokedex_Ver_SV2 (2).xlsm]PIVOT TABLES!PivotTable1</c:name>
    <c:fmtId val="0"/>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AVG Attack BASED ON TYPE OF POKEMON</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solidFill>
            <a:schemeClr val="accent2">
              <a:lumMod val="20000"/>
              <a:lumOff val="80000"/>
            </a:schemeClr>
          </a:solidFill>
          <a:ln>
            <a:noFill/>
          </a:ln>
          <a:effectLst/>
          <a:sp3d/>
        </c:spPr>
        <c:marker>
          <c:symbol val="none"/>
        </c:marker>
        <c:dLbl>
          <c:idx val="0"/>
          <c:spPr>
            <a:solidFill>
              <a:srgbClr val="ED7D31">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solidFill>
          <a:schemeClr val="accent2">
            <a:alpha val="30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TABLES'!$B$3</c:f>
              <c:strCache>
                <c:ptCount val="1"/>
                <c:pt idx="0">
                  <c:v>Total</c:v>
                </c:pt>
              </c:strCache>
            </c:strRef>
          </c:tx>
          <c:spPr>
            <a:solidFill>
              <a:schemeClr val="accent2">
                <a:lumMod val="20000"/>
                <a:lumOff val="80000"/>
              </a:schemeClr>
            </a:solidFill>
            <a:ln>
              <a:noFill/>
            </a:ln>
            <a:effectLst/>
            <a:sp3d/>
          </c:spPr>
          <c:invertIfNegative val="0"/>
          <c:dLbls>
            <c:spPr>
              <a:solidFill>
                <a:srgbClr val="ED7D31">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2">
                          <a:lumMod val="60000"/>
                          <a:lumOff val="40000"/>
                        </a:schemeClr>
                      </a:solidFill>
                    </a:ln>
                    <a:effectLst/>
                  </c:spPr>
                </c15:leaderLines>
              </c:ext>
            </c:extLst>
          </c:dLbls>
          <c:cat>
            <c:strRef>
              <c:f>'PIVOT TABLES'!$A$4:$A$22</c:f>
              <c:strCache>
                <c:ptCount val="18"/>
                <c:pt idx="0">
                  <c:v>Bug</c:v>
                </c:pt>
                <c:pt idx="1">
                  <c:v>Dark</c:v>
                </c:pt>
                <c:pt idx="2">
                  <c:v>Dragon</c:v>
                </c:pt>
                <c:pt idx="3">
                  <c:v>Electric</c:v>
                </c:pt>
                <c:pt idx="4">
                  <c:v>Fairy</c:v>
                </c:pt>
                <c:pt idx="5">
                  <c:v>Fighting</c:v>
                </c:pt>
                <c:pt idx="6">
                  <c:v>Fire</c:v>
                </c:pt>
                <c:pt idx="7">
                  <c:v>Flying</c:v>
                </c:pt>
                <c:pt idx="8">
                  <c:v>Ghost</c:v>
                </c:pt>
                <c:pt idx="9">
                  <c:v>Grass</c:v>
                </c:pt>
                <c:pt idx="10">
                  <c:v>Ground</c:v>
                </c:pt>
                <c:pt idx="11">
                  <c:v>Ice</c:v>
                </c:pt>
                <c:pt idx="12">
                  <c:v>Normal</c:v>
                </c:pt>
                <c:pt idx="13">
                  <c:v>Poison</c:v>
                </c:pt>
                <c:pt idx="14">
                  <c:v>Psychic</c:v>
                </c:pt>
                <c:pt idx="15">
                  <c:v>Rock</c:v>
                </c:pt>
                <c:pt idx="16">
                  <c:v>Steel</c:v>
                </c:pt>
                <c:pt idx="17">
                  <c:v>Water</c:v>
                </c:pt>
              </c:strCache>
            </c:strRef>
          </c:cat>
          <c:val>
            <c:numRef>
              <c:f>'PIVOT TABLES'!$B$4:$B$22</c:f>
              <c:numCache>
                <c:formatCode>0.00</c:formatCode>
                <c:ptCount val="18"/>
                <c:pt idx="0">
                  <c:v>70.857142857142861</c:v>
                </c:pt>
                <c:pt idx="1">
                  <c:v>85.482142857142861</c:v>
                </c:pt>
                <c:pt idx="2">
                  <c:v>103.81632653061224</c:v>
                </c:pt>
                <c:pt idx="3">
                  <c:v>73.055555555555557</c:v>
                </c:pt>
                <c:pt idx="4">
                  <c:v>71.064516129032256</c:v>
                </c:pt>
                <c:pt idx="5">
                  <c:v>104.96</c:v>
                </c:pt>
                <c:pt idx="6">
                  <c:v>84.256756756756758</c:v>
                </c:pt>
                <c:pt idx="7">
                  <c:v>81.900000000000006</c:v>
                </c:pt>
                <c:pt idx="8">
                  <c:v>72</c:v>
                </c:pt>
                <c:pt idx="9">
                  <c:v>76.415094339622641</c:v>
                </c:pt>
                <c:pt idx="10">
                  <c:v>94.608695652173907</c:v>
                </c:pt>
                <c:pt idx="11">
                  <c:v>80.285714285714292</c:v>
                </c:pt>
                <c:pt idx="12">
                  <c:v>76.095588235294116</c:v>
                </c:pt>
                <c:pt idx="13">
                  <c:v>75.355555555555554</c:v>
                </c:pt>
                <c:pt idx="14">
                  <c:v>75.646341463414629</c:v>
                </c:pt>
                <c:pt idx="15">
                  <c:v>91.402777777777771</c:v>
                </c:pt>
                <c:pt idx="16">
                  <c:v>92.697674418604649</c:v>
                </c:pt>
                <c:pt idx="17">
                  <c:v>76.814569536423846</c:v>
                </c:pt>
              </c:numCache>
            </c:numRef>
          </c:val>
          <c:extLst>
            <c:ext xmlns:c16="http://schemas.microsoft.com/office/drawing/2014/chart" uri="{C3380CC4-5D6E-409C-BE32-E72D297353CC}">
              <c16:uniqueId val="{00000000-09B4-4F21-87F0-B4AB1FA7BB20}"/>
            </c:ext>
          </c:extLst>
        </c:ser>
        <c:dLbls>
          <c:showLegendKey val="0"/>
          <c:showVal val="1"/>
          <c:showCatName val="0"/>
          <c:showSerName val="0"/>
          <c:showPercent val="0"/>
          <c:showBubbleSize val="0"/>
        </c:dLbls>
        <c:gapWidth val="154"/>
        <c:gapDepth val="0"/>
        <c:shape val="box"/>
        <c:axId val="2022750672"/>
        <c:axId val="2022744912"/>
        <c:axId val="0"/>
      </c:bar3DChart>
      <c:catAx>
        <c:axId val="2022750672"/>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lt1"/>
                    </a:solidFill>
                    <a:latin typeface="+mn-lt"/>
                    <a:ea typeface="+mn-ea"/>
                    <a:cs typeface="+mn-cs"/>
                  </a:defRPr>
                </a:pPr>
                <a:r>
                  <a:rPr lang="en-US"/>
                  <a:t>Pokemon Type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all" spc="150" normalizeH="0" baseline="0">
                <a:solidFill>
                  <a:schemeClr val="lt1"/>
                </a:solidFill>
                <a:latin typeface="+mn-lt"/>
                <a:ea typeface="+mn-ea"/>
                <a:cs typeface="+mn-cs"/>
              </a:defRPr>
            </a:pPr>
            <a:endParaRPr lang="en-US"/>
          </a:p>
        </c:txPr>
        <c:crossAx val="2022744912"/>
        <c:crosses val="autoZero"/>
        <c:auto val="1"/>
        <c:lblAlgn val="ctr"/>
        <c:lblOffset val="100"/>
        <c:noMultiLvlLbl val="0"/>
      </c:catAx>
      <c:valAx>
        <c:axId val="2022744912"/>
        <c:scaling>
          <c:orientation val="minMax"/>
        </c:scaling>
        <c:delete val="0"/>
        <c:axPos val="l"/>
        <c:majorGridlines>
          <c:spPr>
            <a:ln w="9525" cap="flat" cmpd="sng" algn="ctr">
              <a:solidFill>
                <a:schemeClr val="lt1">
                  <a:lumMod val="60000"/>
                  <a:lumOff val="40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lt1"/>
                    </a:solidFill>
                    <a:latin typeface="+mn-lt"/>
                    <a:ea typeface="+mn-ea"/>
                    <a:cs typeface="+mn-cs"/>
                  </a:defRPr>
                </a:pPr>
                <a:r>
                  <a:rPr lang="en-US"/>
                  <a:t>Attack</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0227506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solidFill>
    <a:ln w="9525" cap="flat" cmpd="sng" algn="ctr">
      <a:solidFill>
        <a:schemeClr val="accent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[Pokedex_Ver_SV2 (2).xlsm]PIVOT TABLES!PivotTable2</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ysClr val="windowText" lastClr="000000">
                    <a:lumMod val="65000"/>
                    <a:lumOff val="35000"/>
                  </a:sysClr>
                </a:solidFill>
                <a:latin typeface="+mn-lt"/>
                <a:ea typeface="+mn-ea"/>
                <a:cs typeface="+mn-cs"/>
              </a:defRPr>
            </a:pPr>
            <a:r>
              <a:rPr lang="en-US" sz="1800" b="1" i="0" baseline="0">
                <a:effectLst/>
              </a:rPr>
              <a:t>Total Pokemon in each Generation</a:t>
            </a:r>
            <a:endParaRPr lang="en-US">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ysClr val="windowText" lastClr="000000">
                  <a:lumMod val="65000"/>
                  <a:lumOff val="35000"/>
                </a:sysClr>
              </a:solidFill>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TABLES'!$O$3</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47BF-45E4-9868-D819A44031DC}"/>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47BF-45E4-9868-D819A44031DC}"/>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47BF-45E4-9868-D819A44031DC}"/>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47BF-45E4-9868-D819A44031DC}"/>
              </c:ext>
            </c:extLst>
          </c:dPt>
          <c:dPt>
            <c:idx val="4"/>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47BF-45E4-9868-D819A44031DC}"/>
              </c:ext>
            </c:extLst>
          </c:dPt>
          <c:dPt>
            <c:idx val="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47BF-45E4-9868-D819A44031DC}"/>
              </c:ext>
            </c:extLst>
          </c:dPt>
          <c:dPt>
            <c:idx val="6"/>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47BF-45E4-9868-D819A44031DC}"/>
              </c:ext>
            </c:extLst>
          </c:dPt>
          <c:dPt>
            <c:idx val="7"/>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F-47BF-45E4-9868-D819A44031DC}"/>
              </c:ext>
            </c:extLst>
          </c:dPt>
          <c:dPt>
            <c:idx val="8"/>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1-47BF-45E4-9868-D819A44031D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1"/>
            <c:showBubbleSize val="0"/>
            <c:showLeaderLines val="0"/>
            <c:extLst>
              <c:ext xmlns:c15="http://schemas.microsoft.com/office/drawing/2012/chart" uri="{CE6537A1-D6FC-4f65-9D91-7224C49458BB}"/>
            </c:extLst>
          </c:dLbls>
          <c:cat>
            <c:strRef>
              <c:f>'PIVOT TABLES'!$N$4:$N$13</c:f>
              <c:strCache>
                <c:ptCount val="9"/>
                <c:pt idx="0">
                  <c:v>1</c:v>
                </c:pt>
                <c:pt idx="1">
                  <c:v>2</c:v>
                </c:pt>
                <c:pt idx="2">
                  <c:v>3</c:v>
                </c:pt>
                <c:pt idx="3">
                  <c:v>4</c:v>
                </c:pt>
                <c:pt idx="4">
                  <c:v>5</c:v>
                </c:pt>
                <c:pt idx="5">
                  <c:v>6</c:v>
                </c:pt>
                <c:pt idx="6">
                  <c:v>7</c:v>
                </c:pt>
                <c:pt idx="7">
                  <c:v>8</c:v>
                </c:pt>
                <c:pt idx="8">
                  <c:v>9</c:v>
                </c:pt>
              </c:strCache>
            </c:strRef>
          </c:cat>
          <c:val>
            <c:numRef>
              <c:f>'PIVOT TABLES'!$O$4:$O$13</c:f>
              <c:numCache>
                <c:formatCode>General</c:formatCode>
                <c:ptCount val="9"/>
                <c:pt idx="0">
                  <c:v>167</c:v>
                </c:pt>
                <c:pt idx="1">
                  <c:v>106</c:v>
                </c:pt>
                <c:pt idx="2">
                  <c:v>163</c:v>
                </c:pt>
                <c:pt idx="3">
                  <c:v>128</c:v>
                </c:pt>
                <c:pt idx="4">
                  <c:v>169</c:v>
                </c:pt>
                <c:pt idx="5">
                  <c:v>85</c:v>
                </c:pt>
                <c:pt idx="6">
                  <c:v>122</c:v>
                </c:pt>
                <c:pt idx="7">
                  <c:v>145</c:v>
                </c:pt>
                <c:pt idx="8">
                  <c:v>118</c:v>
                </c:pt>
              </c:numCache>
            </c:numRef>
          </c:val>
          <c:extLst>
            <c:ext xmlns:c16="http://schemas.microsoft.com/office/drawing/2014/chart" uri="{C3380CC4-5D6E-409C-BE32-E72D297353CC}">
              <c16:uniqueId val="{00000000-015A-46F0-8246-C71E25AEE33D}"/>
            </c:ext>
          </c:extLst>
        </c:ser>
        <c:dLbls>
          <c:dLblPos val="inEnd"/>
          <c:showLegendKey val="0"/>
          <c:showVal val="1"/>
          <c:showCatName val="0"/>
          <c:showSerName val="0"/>
          <c:showPercent val="0"/>
          <c:showBubbleSize val="0"/>
          <c:showLeaderLines val="0"/>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FORECASTING MEWTWO Defense</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view3D>
      <c:rotX val="15"/>
      <c:rotY val="20"/>
      <c:depthPercent val="100"/>
      <c:rAngAx val="0"/>
    </c:view3D>
    <c:floor>
      <c:thickness val="0"/>
      <c:spPr>
        <a:solidFill>
          <a:schemeClr val="accent2">
            <a:alpha val="30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9247594050743664E-2"/>
          <c:y val="0.17736111111111111"/>
          <c:w val="0.89019685039370078"/>
          <c:h val="0.58707640711577724"/>
        </c:manualLayout>
      </c:layout>
      <c:bar3DChart>
        <c:barDir val="col"/>
        <c:grouping val="clustered"/>
        <c:varyColors val="0"/>
        <c:ser>
          <c:idx val="0"/>
          <c:order val="0"/>
          <c:tx>
            <c:strRef>
              <c:f>FORECAST!$R$20</c:f>
              <c:strCache>
                <c:ptCount val="1"/>
                <c:pt idx="0">
                  <c:v>Defense</c:v>
                </c:pt>
              </c:strCache>
            </c:strRef>
          </c:tx>
          <c:spPr>
            <a:solidFill>
              <a:schemeClr val="accent2">
                <a:lumMod val="20000"/>
                <a:lumOff val="80000"/>
              </a:schemeClr>
            </a:solidFill>
            <a:ln>
              <a:noFill/>
            </a:ln>
            <a:effectLst/>
            <a:sp3d/>
          </c:spPr>
          <c:invertIfNegative val="0"/>
          <c:dLbls>
            <c:spPr>
              <a:solidFill>
                <a:srgbClr val="ED7D31">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2">
                          <a:lumMod val="60000"/>
                          <a:lumOff val="40000"/>
                        </a:schemeClr>
                      </a:solidFill>
                    </a:ln>
                    <a:effectLst/>
                  </c:spPr>
                </c15:leaderLines>
              </c:ext>
            </c:extLst>
          </c:dLbls>
          <c:cat>
            <c:multiLvlStrRef>
              <c:f>FORECAST!$P$21:$Q$23</c:f>
              <c:multiLvlStrCache>
                <c:ptCount val="3"/>
                <c:lvl>
                  <c:pt idx="0">
                    <c:v>Mewtwo</c:v>
                  </c:pt>
                  <c:pt idx="1">
                    <c:v>Mega Mewtwo X</c:v>
                  </c:pt>
                  <c:pt idx="2">
                    <c:v>Next Mewtwo?</c:v>
                  </c:pt>
                </c:lvl>
                <c:lvl>
                  <c:pt idx="0">
                    <c:v>1</c:v>
                  </c:pt>
                  <c:pt idx="1">
                    <c:v>2</c:v>
                  </c:pt>
                  <c:pt idx="2">
                    <c:v>3</c:v>
                  </c:pt>
                </c:lvl>
              </c:multiLvlStrCache>
            </c:multiLvlStrRef>
          </c:cat>
          <c:val>
            <c:numRef>
              <c:f>FORECAST!$R$21:$R$23</c:f>
              <c:numCache>
                <c:formatCode>General</c:formatCode>
                <c:ptCount val="3"/>
                <c:pt idx="0">
                  <c:v>90</c:v>
                </c:pt>
                <c:pt idx="1">
                  <c:v>100</c:v>
                </c:pt>
                <c:pt idx="2">
                  <c:v>110</c:v>
                </c:pt>
              </c:numCache>
            </c:numRef>
          </c:val>
          <c:extLst>
            <c:ext xmlns:c16="http://schemas.microsoft.com/office/drawing/2014/chart" uri="{C3380CC4-5D6E-409C-BE32-E72D297353CC}">
              <c16:uniqueId val="{00000000-6E55-4371-80A2-64650A5CA596}"/>
            </c:ext>
          </c:extLst>
        </c:ser>
        <c:dLbls>
          <c:showLegendKey val="0"/>
          <c:showVal val="1"/>
          <c:showCatName val="0"/>
          <c:showSerName val="0"/>
          <c:showPercent val="0"/>
          <c:showBubbleSize val="0"/>
        </c:dLbls>
        <c:gapWidth val="154"/>
        <c:gapDepth val="0"/>
        <c:shape val="box"/>
        <c:axId val="259525935"/>
        <c:axId val="259517295"/>
        <c:axId val="0"/>
      </c:bar3DChart>
      <c:catAx>
        <c:axId val="259525935"/>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cap="all" spc="150" normalizeH="0" baseline="0">
                <a:solidFill>
                  <a:schemeClr val="lt1"/>
                </a:solidFill>
                <a:latin typeface="+mn-lt"/>
                <a:ea typeface="+mn-ea"/>
                <a:cs typeface="+mn-cs"/>
              </a:defRPr>
            </a:pPr>
            <a:endParaRPr lang="en-US"/>
          </a:p>
        </c:txPr>
        <c:crossAx val="259517295"/>
        <c:crosses val="autoZero"/>
        <c:auto val="1"/>
        <c:lblAlgn val="ctr"/>
        <c:lblOffset val="100"/>
        <c:noMultiLvlLbl val="0"/>
      </c:catAx>
      <c:valAx>
        <c:axId val="259517295"/>
        <c:scaling>
          <c:orientation val="minMax"/>
        </c:scaling>
        <c:delete val="0"/>
        <c:axPos val="l"/>
        <c:majorGridlines>
          <c:spPr>
            <a:ln w="9525" cap="flat" cmpd="sng" algn="ctr">
              <a:solidFill>
                <a:schemeClr val="lt1">
                  <a:lumMod val="60000"/>
                  <a:lumOff val="4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595259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solidFill>
    <a:ln w="9525" cap="flat" cmpd="sng" algn="ctr">
      <a:solidFill>
        <a:schemeClr val="accent2"/>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FORECASTING</a:t>
            </a:r>
            <a:r>
              <a:rPr lang="en-US" baseline="0"/>
              <a:t> CHARIZARD </a:t>
            </a:r>
            <a:r>
              <a:rPr lang="en-US"/>
              <a:t>Attack</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lotArea>
      <c:layout/>
      <c:lineChart>
        <c:grouping val="standard"/>
        <c:varyColors val="0"/>
        <c:ser>
          <c:idx val="0"/>
          <c:order val="0"/>
          <c:tx>
            <c:strRef>
              <c:f>FORECAST!$R$1</c:f>
              <c:strCache>
                <c:ptCount val="1"/>
                <c:pt idx="0">
                  <c:v>Attack</c:v>
                </c:pt>
              </c:strCache>
            </c:strRef>
          </c:tx>
          <c:spPr>
            <a:ln w="34925" cap="rnd">
              <a:solidFill>
                <a:schemeClr val="lt1"/>
              </a:solidFill>
              <a:round/>
            </a:ln>
            <a:effectLst>
              <a:outerShdw dist="25400" dir="2700000" algn="tl" rotWithShape="0">
                <a:schemeClr val="accent2"/>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2">
                          <a:lumMod val="60000"/>
                          <a:lumOff val="40000"/>
                        </a:schemeClr>
                      </a:solidFill>
                    </a:ln>
                    <a:effectLst/>
                  </c:spPr>
                </c15:leaderLines>
              </c:ext>
            </c:extLst>
          </c:dLbls>
          <c:trendline>
            <c:spPr>
              <a:ln w="28575" cap="rnd">
                <a:solidFill>
                  <a:schemeClr val="lt1">
                    <a:alpha val="50000"/>
                  </a:schemeClr>
                </a:solidFill>
                <a:round/>
              </a:ln>
              <a:effectLst/>
            </c:spPr>
            <c:trendlineType val="linear"/>
            <c:dispRSqr val="0"/>
            <c:dispEq val="0"/>
          </c:trendline>
          <c:cat>
            <c:multiLvlStrRef>
              <c:f>FORECAST!$P$2:$Q$6</c:f>
              <c:multiLvlStrCache>
                <c:ptCount val="5"/>
                <c:lvl>
                  <c:pt idx="0">
                    <c:v>Charmander</c:v>
                  </c:pt>
                  <c:pt idx="1">
                    <c:v>Charmeleon</c:v>
                  </c:pt>
                  <c:pt idx="2">
                    <c:v>Charizard</c:v>
                  </c:pt>
                  <c:pt idx="3">
                    <c:v>Mega Charizard X</c:v>
                  </c:pt>
                  <c:pt idx="4">
                    <c:v>Next Charizard?</c:v>
                  </c:pt>
                </c:lvl>
                <c:lvl>
                  <c:pt idx="0">
                    <c:v>1</c:v>
                  </c:pt>
                  <c:pt idx="1">
                    <c:v>2</c:v>
                  </c:pt>
                  <c:pt idx="2">
                    <c:v>3</c:v>
                  </c:pt>
                  <c:pt idx="3">
                    <c:v>4</c:v>
                  </c:pt>
                  <c:pt idx="4">
                    <c:v>5</c:v>
                  </c:pt>
                </c:lvl>
              </c:multiLvlStrCache>
            </c:multiLvlStrRef>
          </c:cat>
          <c:val>
            <c:numRef>
              <c:f>FORECAST!$R$2:$R$6</c:f>
              <c:numCache>
                <c:formatCode>General</c:formatCode>
                <c:ptCount val="5"/>
                <c:pt idx="0">
                  <c:v>52</c:v>
                </c:pt>
                <c:pt idx="1">
                  <c:v>64</c:v>
                </c:pt>
                <c:pt idx="2">
                  <c:v>84</c:v>
                </c:pt>
                <c:pt idx="3">
                  <c:v>130</c:v>
                </c:pt>
                <c:pt idx="4">
                  <c:v>146</c:v>
                </c:pt>
              </c:numCache>
            </c:numRef>
          </c:val>
          <c:smooth val="0"/>
          <c:extLst>
            <c:ext xmlns:c16="http://schemas.microsoft.com/office/drawing/2014/chart" uri="{C3380CC4-5D6E-409C-BE32-E72D297353CC}">
              <c16:uniqueId val="{00000000-EDDD-4FA2-8994-7E3B5DFF986C}"/>
            </c:ext>
          </c:extLst>
        </c:ser>
        <c:dLbls>
          <c:dLblPos val="t"/>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422375583"/>
        <c:axId val="422377023"/>
      </c:lineChart>
      <c:catAx>
        <c:axId val="422375583"/>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422377023"/>
        <c:crosses val="autoZero"/>
        <c:auto val="1"/>
        <c:lblAlgn val="ctr"/>
        <c:lblOffset val="100"/>
        <c:noMultiLvlLbl val="0"/>
      </c:catAx>
      <c:valAx>
        <c:axId val="42237702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4223755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solidFill>
    <a:ln w="9525" cap="flat" cmpd="sng" algn="ctr">
      <a:solidFill>
        <a:schemeClr val="accent2"/>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FORECASTING TOTAL SKILL POINTS</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lotArea>
      <c:layout/>
      <c:barChart>
        <c:barDir val="bar"/>
        <c:grouping val="clustered"/>
        <c:varyColors val="0"/>
        <c:ser>
          <c:idx val="0"/>
          <c:order val="0"/>
          <c:tx>
            <c:strRef>
              <c:f>FORECAST!$R$36</c:f>
              <c:strCache>
                <c:ptCount val="1"/>
                <c:pt idx="0">
                  <c:v>Total</c:v>
                </c:pt>
              </c:strCache>
            </c:strRef>
          </c:tx>
          <c:spPr>
            <a:pattFill prst="ltUpDiag">
              <a:fgClr>
                <a:schemeClr val="accent2"/>
              </a:fgClr>
              <a:bgClr>
                <a:schemeClr val="lt1"/>
              </a:bgClr>
            </a:pattFill>
            <a:ln>
              <a:noFill/>
            </a:ln>
            <a:effectLst/>
          </c:spPr>
          <c:invertIfNegative val="0"/>
          <c:dLbls>
            <c:spPr>
              <a:solidFill>
                <a:srgbClr val="ED7D31">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2">
                          <a:lumMod val="60000"/>
                          <a:lumOff val="40000"/>
                        </a:schemeClr>
                      </a:solidFill>
                    </a:ln>
                    <a:effectLst/>
                  </c:spPr>
                </c15:leaderLines>
              </c:ext>
            </c:extLst>
          </c:dLbls>
          <c:trendline>
            <c:spPr>
              <a:ln w="28575" cap="rnd">
                <a:solidFill>
                  <a:schemeClr val="lt1">
                    <a:alpha val="50000"/>
                  </a:schemeClr>
                </a:solidFill>
                <a:round/>
              </a:ln>
              <a:effectLst/>
            </c:spPr>
            <c:trendlineType val="linear"/>
            <c:dispRSqr val="0"/>
            <c:dispEq val="0"/>
          </c:trendline>
          <c:cat>
            <c:multiLvlStrRef>
              <c:f>FORECAST!$P$37:$Q$40</c:f>
              <c:multiLvlStrCache>
                <c:ptCount val="4"/>
                <c:lvl>
                  <c:pt idx="0">
                    <c:v>Duskull</c:v>
                  </c:pt>
                  <c:pt idx="1">
                    <c:v>Dusclops</c:v>
                  </c:pt>
                  <c:pt idx="2">
                    <c:v>Dusknoir</c:v>
                  </c:pt>
                  <c:pt idx="3">
                    <c:v>Next Evolution?</c:v>
                  </c:pt>
                </c:lvl>
                <c:lvl>
                  <c:pt idx="0">
                    <c:v>1</c:v>
                  </c:pt>
                  <c:pt idx="1">
                    <c:v>2</c:v>
                  </c:pt>
                  <c:pt idx="2">
                    <c:v>3</c:v>
                  </c:pt>
                  <c:pt idx="3">
                    <c:v>4</c:v>
                  </c:pt>
                </c:lvl>
              </c:multiLvlStrCache>
            </c:multiLvlStrRef>
          </c:cat>
          <c:val>
            <c:numRef>
              <c:f>FORECAST!$R$37:$R$40</c:f>
              <c:numCache>
                <c:formatCode>General</c:formatCode>
                <c:ptCount val="4"/>
                <c:pt idx="0">
                  <c:v>295</c:v>
                </c:pt>
                <c:pt idx="1">
                  <c:v>455</c:v>
                </c:pt>
                <c:pt idx="2">
                  <c:v>525</c:v>
                </c:pt>
                <c:pt idx="3">
                  <c:v>655</c:v>
                </c:pt>
              </c:numCache>
            </c:numRef>
          </c:val>
          <c:extLst>
            <c:ext xmlns:c16="http://schemas.microsoft.com/office/drawing/2014/chart" uri="{C3380CC4-5D6E-409C-BE32-E72D297353CC}">
              <c16:uniqueId val="{00000000-07D0-42E9-A29B-05A1A4C63C16}"/>
            </c:ext>
          </c:extLst>
        </c:ser>
        <c:dLbls>
          <c:dLblPos val="outEnd"/>
          <c:showLegendKey val="0"/>
          <c:showVal val="1"/>
          <c:showCatName val="0"/>
          <c:showSerName val="0"/>
          <c:showPercent val="0"/>
          <c:showBubbleSize val="0"/>
        </c:dLbls>
        <c:gapWidth val="269"/>
        <c:overlap val="-20"/>
        <c:axId val="428738463"/>
        <c:axId val="428760543"/>
      </c:barChart>
      <c:catAx>
        <c:axId val="428738463"/>
        <c:scaling>
          <c:orientation val="minMax"/>
        </c:scaling>
        <c:delete val="0"/>
        <c:axPos val="l"/>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w="3175" cap="flat" cmpd="sng" algn="ctr">
            <a:solidFill>
              <a:schemeClr val="accent2">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428760543"/>
        <c:crosses val="autoZero"/>
        <c:auto val="1"/>
        <c:lblAlgn val="ctr"/>
        <c:lblOffset val="100"/>
        <c:noMultiLvlLbl val="0"/>
      </c:catAx>
      <c:valAx>
        <c:axId val="428760543"/>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428738463"/>
        <c:crosses val="autoZero"/>
        <c:crossBetween val="between"/>
      </c:valAx>
      <c:spPr>
        <a:noFill/>
        <a:ln>
          <a:noFill/>
        </a:ln>
        <a:effectLst/>
      </c:spPr>
    </c:plotArea>
    <c:plotVisOnly val="1"/>
    <c:dispBlanksAs val="gap"/>
    <c:showDLblsOverMax val="0"/>
  </c:chart>
  <c:spPr>
    <a:solidFill>
      <a:schemeClr val="accent2"/>
    </a:solidFill>
    <a:ln w="9525" cap="flat" cmpd="sng" algn="ctr">
      <a:solidFill>
        <a:schemeClr val="accent2"/>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5">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lumMod val="20000"/>
          <a:lumOff val="80000"/>
        </a:schemeClr>
      </a:solidFill>
    </cs:spPr>
  </cs:dataPoint>
  <cs:dataPoint3D>
    <cs:lnRef idx="0"/>
    <cs:fillRef idx="0">
      <cs:styleClr val="auto"/>
    </cs:fillRef>
    <cs:effectRef idx="0"/>
    <cs:fontRef idx="minor">
      <a:schemeClr val="dk1"/>
    </cs:fontRef>
    <cs:spPr>
      <a:solidFill>
        <a:schemeClr val="phClr">
          <a:lumMod val="20000"/>
          <a:lumOff val="80000"/>
        </a:schemeClr>
      </a:solidFill>
      <a:sp3d/>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styleClr val="0"/>
    </cs:fillRef>
    <cs:effectRef idx="0"/>
    <cs:fontRef idx="minor">
      <a:schemeClr val="dk1"/>
    </cs:fontRef>
    <cs:spPr>
      <a:solidFill>
        <a:schemeClr val="phClr">
          <a:alpha val="30000"/>
        </a:schemeClr>
      </a:solidFill>
      <a:sp3d/>
    </cs:spPr>
  </cs:floor>
  <cs:gridlineMajor>
    <cs:lnRef idx="0">
      <cs:styleClr val="0"/>
    </cs:lnRef>
    <cs:fillRef idx="0"/>
    <cs:effectRef idx="0"/>
    <cs:fontRef idx="minor">
      <a:schemeClr val="dk1"/>
    </cs:fontRef>
    <cs:spPr>
      <a:ln w="9525" cap="flat" cmpd="sng" algn="ctr">
        <a:solidFill>
          <a:schemeClr val="lt1">
            <a:lumMod val="60000"/>
            <a:lumOff val="40000"/>
          </a:schemeClr>
        </a:solidFill>
        <a:round/>
      </a:ln>
    </cs:spPr>
  </cs:gridlineMajor>
  <cs:gridlineMinor>
    <cs:lnRef idx="0">
      <cs:styleClr val="0"/>
    </cs:lnRef>
    <cs:fillRef idx="0"/>
    <cs:effectRef idx="0"/>
    <cs:fontRef idx="minor">
      <a:schemeClr val="dk1"/>
    </cs:fontRef>
    <cs:spPr>
      <a:ln>
        <a:solidFill>
          <a:schemeClr val="lt1">
            <a:lumMod val="50000"/>
            <a:lumOff val="5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95">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lumMod val="20000"/>
          <a:lumOff val="80000"/>
        </a:schemeClr>
      </a:solidFill>
    </cs:spPr>
  </cs:dataPoint>
  <cs:dataPoint3D>
    <cs:lnRef idx="0"/>
    <cs:fillRef idx="0">
      <cs:styleClr val="auto"/>
    </cs:fillRef>
    <cs:effectRef idx="0"/>
    <cs:fontRef idx="minor">
      <a:schemeClr val="dk1"/>
    </cs:fontRef>
    <cs:spPr>
      <a:solidFill>
        <a:schemeClr val="phClr">
          <a:lumMod val="20000"/>
          <a:lumOff val="80000"/>
        </a:schemeClr>
      </a:solidFill>
      <a:sp3d/>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styleClr val="0"/>
    </cs:fillRef>
    <cs:effectRef idx="0"/>
    <cs:fontRef idx="minor">
      <a:schemeClr val="dk1"/>
    </cs:fontRef>
    <cs:spPr>
      <a:solidFill>
        <a:schemeClr val="phClr">
          <a:alpha val="30000"/>
        </a:schemeClr>
      </a:solidFill>
      <a:sp3d/>
    </cs:spPr>
  </cs:floor>
  <cs:gridlineMajor>
    <cs:lnRef idx="0">
      <cs:styleClr val="0"/>
    </cs:lnRef>
    <cs:fillRef idx="0"/>
    <cs:effectRef idx="0"/>
    <cs:fontRef idx="minor">
      <a:schemeClr val="dk1"/>
    </cs:fontRef>
    <cs:spPr>
      <a:ln w="9525" cap="flat" cmpd="sng" algn="ctr">
        <a:solidFill>
          <a:schemeClr val="lt1">
            <a:lumMod val="60000"/>
            <a:lumOff val="40000"/>
          </a:schemeClr>
        </a:solidFill>
        <a:round/>
      </a:ln>
    </cs:spPr>
  </cs:gridlineMajor>
  <cs:gridlineMinor>
    <cs:lnRef idx="0">
      <cs:styleClr val="0"/>
    </cs:lnRef>
    <cs:fillRef idx="0"/>
    <cs:effectRef idx="0"/>
    <cs:fontRef idx="minor">
      <a:schemeClr val="dk1"/>
    </cs:fontRef>
    <cs:spPr>
      <a:ln>
        <a:solidFill>
          <a:schemeClr val="lt1">
            <a:lumMod val="50000"/>
            <a:lumOff val="5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26">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2</xdr:row>
          <xdr:rowOff>0</xdr:rowOff>
        </xdr:from>
        <xdr:to>
          <xdr:col>10</xdr:col>
          <xdr:colOff>0</xdr:colOff>
          <xdr:row>5</xdr:row>
          <xdr:rowOff>9525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Pokemon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19050</xdr:colOff>
      <xdr:row>2</xdr:row>
      <xdr:rowOff>0</xdr:rowOff>
    </xdr:from>
    <xdr:to>
      <xdr:col>4</xdr:col>
      <xdr:colOff>142875</xdr:colOff>
      <xdr:row>15</xdr:row>
      <xdr:rowOff>47625</xdr:rowOff>
    </xdr:to>
    <mc:AlternateContent xmlns:mc="http://schemas.openxmlformats.org/markup-compatibility/2006" xmlns:a14="http://schemas.microsoft.com/office/drawing/2010/main">
      <mc:Choice Requires="a14">
        <xdr:graphicFrame macro="">
          <xdr:nvGraphicFramePr>
            <xdr:cNvPr id="2" name="Type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Type1"/>
            </a:graphicData>
          </a:graphic>
        </xdr:graphicFrame>
      </mc:Choice>
      <mc:Fallback xmlns="">
        <xdr:sp macro="" textlink="">
          <xdr:nvSpPr>
            <xdr:cNvPr id="0" name=""/>
            <xdr:cNvSpPr>
              <a:spLocks noTextEdit="1"/>
            </xdr:cNvSpPr>
          </xdr:nvSpPr>
          <xdr:spPr>
            <a:xfrm>
              <a:off x="2009775" y="381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22</xdr:row>
      <xdr:rowOff>42861</xdr:rowOff>
    </xdr:from>
    <xdr:to>
      <xdr:col>9</xdr:col>
      <xdr:colOff>495299</xdr:colOff>
      <xdr:row>48</xdr:row>
      <xdr:rowOff>9525</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197342</xdr:colOff>
      <xdr:row>2</xdr:row>
      <xdr:rowOff>13416</xdr:rowOff>
    </xdr:from>
    <xdr:to>
      <xdr:col>18</xdr:col>
      <xdr:colOff>197342</xdr:colOff>
      <xdr:row>15</xdr:row>
      <xdr:rowOff>61041</xdr:rowOff>
    </xdr:to>
    <mc:AlternateContent xmlns:mc="http://schemas.openxmlformats.org/markup-compatibility/2006" xmlns:a14="http://schemas.microsoft.com/office/drawing/2010/main">
      <mc:Choice Requires="a14">
        <xdr:graphicFrame macro="">
          <xdr:nvGraphicFramePr>
            <xdr:cNvPr id="4" name="Generation 1">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Generation 1"/>
            </a:graphicData>
          </a:graphic>
        </xdr:graphicFrame>
      </mc:Choice>
      <mc:Fallback xmlns="">
        <xdr:sp macro="" textlink="">
          <xdr:nvSpPr>
            <xdr:cNvPr id="0" name=""/>
            <xdr:cNvSpPr>
              <a:spLocks noTextEdit="1"/>
            </xdr:cNvSpPr>
          </xdr:nvSpPr>
          <xdr:spPr>
            <a:xfrm>
              <a:off x="12874983" y="389050"/>
              <a:ext cx="1811092" cy="24892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5633</xdr:colOff>
      <xdr:row>15</xdr:row>
      <xdr:rowOff>64125</xdr:rowOff>
    </xdr:from>
    <xdr:to>
      <xdr:col>19</xdr:col>
      <xdr:colOff>84114</xdr:colOff>
      <xdr:row>29</xdr:row>
      <xdr:rowOff>151929</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19</xdr:col>
      <xdr:colOff>14287</xdr:colOff>
      <xdr:row>18</xdr:row>
      <xdr:rowOff>190499</xdr:rowOff>
    </xdr:from>
    <xdr:to>
      <xdr:col>27</xdr:col>
      <xdr:colOff>9525</xdr:colOff>
      <xdr:row>33</xdr:row>
      <xdr:rowOff>161925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609599</xdr:colOff>
      <xdr:row>0</xdr:row>
      <xdr:rowOff>9525</xdr:rowOff>
    </xdr:from>
    <xdr:to>
      <xdr:col>26</xdr:col>
      <xdr:colOff>600074</xdr:colOff>
      <xdr:row>15</xdr:row>
      <xdr:rowOff>28575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35</xdr:row>
      <xdr:rowOff>14287</xdr:rowOff>
    </xdr:from>
    <xdr:to>
      <xdr:col>26</xdr:col>
      <xdr:colOff>304800</xdr:colOff>
      <xdr:row>49</xdr:row>
      <xdr:rowOff>90487</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y" refreshedDate="45042.672740972223" createdVersion="8" refreshedVersion="8" minRefreshableVersion="3" recordCount="1203" xr:uid="{F0585EC4-CDD7-4362-9F07-7DCABFC8F758}">
  <cacheSource type="worksheet">
    <worksheetSource name="Table1"/>
  </cacheSource>
  <cacheFields count="38">
    <cacheField name="Original_Name" numFmtId="0">
      <sharedItems/>
    </cacheField>
    <cacheField name="Name" numFmtId="0">
      <sharedItems count="1202">
        <s v="Bulbasaur"/>
        <s v="Ivysaur"/>
        <s v="Venusaur"/>
        <s v="Mega Venusaur"/>
        <s v="Charmander"/>
        <s v="Charmeleon"/>
        <s v="Charizard"/>
        <s v="Mega Charizard X"/>
        <s v="Mega Charizard Y"/>
        <s v="Squirtle"/>
        <s v="Wartortle"/>
        <s v="Blastoise"/>
        <s v="Mega Blastoise"/>
        <s v="Caterpie"/>
        <s v="Metapod"/>
        <s v="Butterfree"/>
        <s v="Weedle"/>
        <s v="Kakuna"/>
        <s v="Beedrill"/>
        <s v="Mega Beedrill"/>
        <s v="Pidgey"/>
        <s v="Pidgeotto"/>
        <s v="Pidgeot"/>
        <s v="Mega Pidgeot"/>
        <s v="Rattata"/>
        <s v="Alolan Rattata"/>
        <s v="Raticate"/>
        <s v="Alolan Raticate"/>
        <s v="Spearow"/>
        <s v="Fearow"/>
        <s v="Ekans"/>
        <s v="Arbok"/>
        <s v="Pikachu"/>
        <s v="Raichu"/>
        <s v="Alolan Raichu"/>
        <s v="Sandshrew"/>
        <s v="Alolan Sandshrew"/>
        <s v="Sandslash"/>
        <s v="Alolan Sandslash"/>
        <s v="Nidoran F"/>
        <s v="Nidorina"/>
        <s v="Nidoqueen"/>
        <s v="Nidoran M"/>
        <s v="Nidorino"/>
        <s v="Nidoking"/>
        <s v="Clefairy"/>
        <s v="Clefable"/>
        <s v="Vulpix"/>
        <s v="Alolan Vulpix"/>
        <s v="Ninetales"/>
        <s v="Alolan Ninetales"/>
        <s v="Jigglypuff"/>
        <s v="Wigglytuff"/>
        <s v="Zubat"/>
        <s v="Golbat"/>
        <s v="Oddish"/>
        <s v="Gloom"/>
        <s v="Vileplume"/>
        <s v="Paras"/>
        <s v="Parasect"/>
        <s v="Venonat"/>
        <s v="Venomoth"/>
        <s v="Diglett"/>
        <s v="Alolan Diglett"/>
        <s v="Dugtrio"/>
        <s v="Alolan Dugtrio"/>
        <s v="Meowth"/>
        <s v="Alolan Meowth"/>
        <s v="Galarian Meowth"/>
        <s v="Persian"/>
        <s v="Alolan Persian"/>
        <s v="Psyduck"/>
        <s v="Golduck"/>
        <s v="Mankey"/>
        <s v="Primeape"/>
        <s v="Growlithe"/>
        <s v="Hisuian Growlithe"/>
        <s v="Arcanine"/>
        <s v="Hisuian Arcanine"/>
        <s v="Poliwag"/>
        <s v="Poliwhirl"/>
        <s v="Poliwrath"/>
        <s v="Abra"/>
        <s v="Kadabra"/>
        <s v="Alakazam"/>
        <s v="Mega Alakazam"/>
        <s v="Machop"/>
        <s v="Machoke"/>
        <s v="Machamp"/>
        <s v="Bellsprout"/>
        <s v="Weepinbell"/>
        <s v="Victreebel"/>
        <s v="Tentacool"/>
        <s v="Tentacruel"/>
        <s v="Geodude"/>
        <s v="Alolan Geodude"/>
        <s v="Graveler"/>
        <s v="Alolan Graveler"/>
        <s v="Golem"/>
        <s v="Alolan Golem"/>
        <s v="Ponyta"/>
        <s v="Galarian Ponyta"/>
        <s v="Rapidash"/>
        <s v="Galarian Rapidash"/>
        <s v="Slowpoke"/>
        <s v="Galarian Slowpoke"/>
        <s v="Slowbro"/>
        <s v="Galarian Slowbro"/>
        <s v="Mega Slowbro"/>
        <s v="Magnemite"/>
        <s v="Magneton"/>
        <s v="Farfetch'd"/>
        <s v="Galarian Farfetch'd"/>
        <s v="Doduo"/>
        <s v="Dodrio"/>
        <s v="Seel"/>
        <s v="Dewgong"/>
        <s v="Grimer"/>
        <s v="Alolan Grimer"/>
        <s v="Muk"/>
        <s v="Alolan Muk"/>
        <s v="Shellder"/>
        <s v="Cloyster"/>
        <s v="Gastly"/>
        <s v="Haunter"/>
        <s v="Gengar"/>
        <s v="Mega Gengar"/>
        <s v="Onix"/>
        <s v="Drowzee"/>
        <s v="Hypno"/>
        <s v="Krabby"/>
        <s v="Kingler"/>
        <s v="Voltorb"/>
        <s v="Hisuian Voltorb"/>
        <s v="Electrode"/>
        <s v="Hisuian Electrode"/>
        <s v="Exeggcute"/>
        <s v="Exeggutor"/>
        <s v="Alolan Exeggutor"/>
        <s v="Cubone"/>
        <s v="Marowak"/>
        <s v="Alolan Marowak"/>
        <s v="Hitmonlee"/>
        <s v="Hitmonchan"/>
        <s v="Lickitung"/>
        <s v="Koffing"/>
        <s v="Weezing"/>
        <s v="Galarian Weezing"/>
        <s v="Rhyhorn"/>
        <s v="Rhydon"/>
        <s v="Chansey"/>
        <s v="Tangela"/>
        <s v="Kangaskhan"/>
        <s v="Mega Kangaskhan"/>
        <s v="Horsea"/>
        <s v="Seadra"/>
        <s v="Goldeen"/>
        <s v="Seaking"/>
        <s v="Staryu"/>
        <s v="Starmie"/>
        <s v="Mr. Mime"/>
        <s v="Galarian Mr. Mime"/>
        <s v="Scyther"/>
        <s v="Jynx"/>
        <s v="Electabuzz"/>
        <s v="Magmar"/>
        <s v="Pinsir"/>
        <s v="Mega Pinsir"/>
        <s v="Tauros"/>
        <s v="Paldean Tauros Combat Breed"/>
        <s v="Paldean Tauros Blaze Breed"/>
        <s v="Paldean Tauros Aqua Breed"/>
        <s v="Magikarp"/>
        <s v="Gyarados"/>
        <s v="Mega Gyarados"/>
        <s v="Lapras"/>
        <s v="Ditto"/>
        <s v="Eevee"/>
        <s v="Vaporeon"/>
        <s v="Jolteon"/>
        <s v="Flareon"/>
        <s v="Porygon"/>
        <s v="Omanyte"/>
        <s v="Omastar"/>
        <s v="Kabuto"/>
        <s v="Kabutops"/>
        <s v="Aerodactyl"/>
        <s v="Mega Aerodactyl"/>
        <s v="Snorlax"/>
        <s v="Articuno"/>
        <s v="Galarian Articuno"/>
        <s v="Zapdos"/>
        <s v="Galarian Zapdos"/>
        <s v="Moltres"/>
        <s v="Galarian Moltres"/>
        <s v="Dratini"/>
        <s v="Dragonair"/>
        <s v="Dragonite"/>
        <s v="Mewtwo"/>
        <s v="Mega Mewtwo X"/>
        <s v="Mega Mewtwo Y"/>
        <s v="Mew"/>
        <s v="Chikorita"/>
        <s v="Bayleef"/>
        <s v="Meganium"/>
        <s v="Cyndaquil"/>
        <s v="Quilava"/>
        <s v="Typhlosion"/>
        <s v="Hisuian Typhlosion"/>
        <s v="Totodile"/>
        <s v="Croconaw"/>
        <s v="Feraligatr"/>
        <s v="Sentret"/>
        <s v="Furret"/>
        <s v="Hoothoot"/>
        <s v="Noctowl"/>
        <s v="Ledyba"/>
        <s v="Ledian"/>
        <s v="Spinarak"/>
        <s v="Ariados"/>
        <s v="Crobat"/>
        <s v="Chinchou"/>
        <s v="Lanturn"/>
        <s v="Pichu"/>
        <s v="Cleffa"/>
        <s v="Igglybuff"/>
        <s v="Togepi"/>
        <s v="Togetic"/>
        <s v="Natu"/>
        <s v="Xatu"/>
        <s v="Mareep"/>
        <s v="Flaaffy"/>
        <s v="Ampharos"/>
        <s v="Mega Ampharos"/>
        <s v="Bellossom"/>
        <s v="Marill"/>
        <s v="Azumarill"/>
        <s v="Sudowoodo"/>
        <s v="Politoed"/>
        <s v="Hoppip"/>
        <s v="Skiploom"/>
        <s v="Jumpluff"/>
        <s v="Aipom"/>
        <s v="Sunkern"/>
        <s v="Sunflora"/>
        <s v="Yanma"/>
        <s v="Paldean Wooper"/>
        <s v="Wooper"/>
        <s v="Quagsire"/>
        <s v="Espeon"/>
        <s v="Umbreon"/>
        <s v="Murkrow"/>
        <s v="Slowking"/>
        <s v="Galarian Slowking"/>
        <s v="Misdreavus"/>
        <s v="Unown"/>
        <s v="Wobbuffet"/>
        <s v="Girafarig"/>
        <s v="Pineco"/>
        <s v="Forretress"/>
        <s v="Dunsparce"/>
        <s v="Gligar"/>
        <s v="Steelix"/>
        <s v="Mega Steelix"/>
        <s v="Snubbull"/>
        <s v="Granbull"/>
        <s v="Qwilfish"/>
        <s v="Hisuian Qwilfish"/>
        <s v="Scizor"/>
        <s v="Mega Scizor"/>
        <s v="Shuckle"/>
        <s v="Heracross"/>
        <s v="Mega Heracross"/>
        <s v="Sneasel"/>
        <s v="Hisuian Sneasel"/>
        <s v="Teddiursa"/>
        <s v="Ursaring"/>
        <s v="Slugma"/>
        <s v="Magcargo"/>
        <s v="Swinub"/>
        <s v="Piloswine"/>
        <s v="Corsola"/>
        <s v="Galarian Corsola"/>
        <s v="Remoraid"/>
        <s v="Octillery"/>
        <s v="Delibird"/>
        <s v="Mantine"/>
        <s v="Skarmory"/>
        <s v="Houndour"/>
        <s v="Houndoom"/>
        <s v="Mega Houndoom"/>
        <s v="Kingdra"/>
        <s v="Phanpy"/>
        <s v="Donphan"/>
        <s v="Porygon2"/>
        <s v="Stantler"/>
        <s v="Smeargle"/>
        <s v="Tyrogue"/>
        <s v="Hitmontop"/>
        <s v="Smoochum"/>
        <s v="Elekid"/>
        <s v="Magby"/>
        <s v="Miltank"/>
        <s v="Blissey"/>
        <s v="Raikou"/>
        <s v="Entei"/>
        <s v="Suicune"/>
        <s v="Larvitar"/>
        <s v="Pupitar"/>
        <s v="Tyranitar"/>
        <s v="Mega Tyranitar"/>
        <s v="Lugia"/>
        <s v="Ho-Oh"/>
        <s v="Celebi"/>
        <s v="Treecko"/>
        <s v="Grovyle"/>
        <s v="Sceptile"/>
        <s v="Mega Sceptile"/>
        <s v="Torchic"/>
        <s v="Combusken"/>
        <s v="Blaziken"/>
        <s v="Mega Blaziken"/>
        <s v="Mudkip"/>
        <s v="Marshtomp"/>
        <s v="Swampert"/>
        <s v="Mega Swampert"/>
        <s v="Poochyena"/>
        <s v="Mightyena"/>
        <s v="Zigzagoon"/>
        <s v="Galarian Zigzagoon"/>
        <s v="Linoone"/>
        <s v="Galarian Linoone"/>
        <s v="Wurmple"/>
        <s v="Silcoon"/>
        <s v="Beautifly"/>
        <s v="Cascoon"/>
        <s v="Dustox"/>
        <s v="Lotad"/>
        <s v="Lombre"/>
        <s v="Ludicolo"/>
        <s v="Seedot"/>
        <s v="Nuzleaf"/>
        <s v="Shiftry"/>
        <s v="Taillow"/>
        <s v="Swellow"/>
        <s v="Wingull"/>
        <s v="Pelipper"/>
        <s v="Ralts"/>
        <s v="Kirlia"/>
        <s v="Gardevoir"/>
        <s v="Mega Gardevoir"/>
        <s v="Surskit"/>
        <s v="Masquerain"/>
        <s v="Shroomish"/>
        <s v="Breloom"/>
        <s v="Slakoth"/>
        <s v="Vigoroth"/>
        <s v="Slaking"/>
        <s v="Nincada"/>
        <s v="Ninjask"/>
        <s v="Shedinja"/>
        <s v="Whismur"/>
        <s v="Loudred"/>
        <s v="Exploud"/>
        <s v="Makuhita"/>
        <s v="Hariyama"/>
        <s v="Azurill"/>
        <s v="Nosepass"/>
        <s v="Skitty"/>
        <s v="Delcatty"/>
        <s v="Sableye"/>
        <s v="Mega Sableye"/>
        <s v="Mawile"/>
        <s v="Mega Mawile"/>
        <s v="Aron"/>
        <s v="Lairon"/>
        <s v="Aggron"/>
        <s v="Mega Aggron"/>
        <s v="Meditite"/>
        <s v="Medicham"/>
        <s v="Mega Medicham"/>
        <s v="Electrike"/>
        <s v="Manectric"/>
        <s v="Mega Manectric"/>
        <s v="Plusle"/>
        <s v="Minun"/>
        <s v="Volbeat"/>
        <s v="Illumise"/>
        <s v="Roselia"/>
        <s v="Gulpin"/>
        <s v="Swalot"/>
        <s v="Carvanha"/>
        <s v="Sharpedo"/>
        <s v="Mega Sharpedo"/>
        <s v="Wailmer"/>
        <s v="Wailord"/>
        <s v="Numel"/>
        <s v="Camerupt"/>
        <s v="Mega Camerupt"/>
        <s v="Torkoal"/>
        <s v="Spoink"/>
        <s v="Grumpig"/>
        <s v="Spinda"/>
        <s v="Trapinch"/>
        <s v="Vibrava"/>
        <s v="Flygon"/>
        <s v="Cacnea"/>
        <s v="Cacturne"/>
        <s v="Swablu"/>
        <s v="Altaria"/>
        <s v="Mega Altaria"/>
        <s v="Zangoose"/>
        <s v="Seviper"/>
        <s v="Lunatone"/>
        <s v="Solrock"/>
        <s v="Barboach"/>
        <s v="Whiscash"/>
        <s v="Corphish"/>
        <s v="Crawdaunt"/>
        <s v="Baltoy"/>
        <s v="Claydol"/>
        <s v="Lileep"/>
        <s v="Cradily"/>
        <s v="Anorith"/>
        <s v="Armaldo"/>
        <s v="Feebas"/>
        <s v="Milotic"/>
        <s v="Castform"/>
        <s v="Castform Sunny Form"/>
        <s v="Castform Rainy Form"/>
        <s v="Castform Snowy Form"/>
        <s v="Kecleon"/>
        <s v="Shuppet"/>
        <s v="Banette"/>
        <s v="Mega Banette"/>
        <s v="Duskull"/>
        <s v="Dusclops"/>
        <s v="Tropius"/>
        <s v="Chimecho"/>
        <s v="Absol"/>
        <s v="Mega Absol"/>
        <s v="Wynaut"/>
        <s v="Snorunt"/>
        <s v="Glalie"/>
        <s v="Mega Glalie"/>
        <s v="Spheal"/>
        <s v="Sealeo"/>
        <s v="Walrein"/>
        <s v="Clamperl"/>
        <s v="Huntail"/>
        <s v="Gorebyss"/>
        <s v="Relicanth"/>
        <s v="Luvdisc"/>
        <s v="Bagon"/>
        <s v="Shelgon"/>
        <s v="Salamence"/>
        <s v="Mega Salamence"/>
        <s v="Beldum"/>
        <s v="Metang"/>
        <s v="Metagross"/>
        <s v="Mega Metagross"/>
        <s v="Regirock"/>
        <s v="Regice"/>
        <s v="Registeel"/>
        <s v="Latias"/>
        <s v="Mega Latias"/>
        <s v="Latios"/>
        <s v="Mega Latios"/>
        <s v="Kyogre"/>
        <s v="Primal Kyogre"/>
        <s v="Groudon"/>
        <s v="Primal Groudon"/>
        <s v="Rayquaza"/>
        <s v="Mega Rayquaza"/>
        <s v="Jirachi"/>
        <s v="Deoxys"/>
        <s v="Deoxys Attack Form"/>
        <s v="Deoxys Defense Form"/>
        <s v="Deoxys Speed Form"/>
        <s v="Turtwig"/>
        <s v="Grotle"/>
        <s v="Torterra"/>
        <s v="Chimchar"/>
        <s v="Monferno"/>
        <s v="Infernape"/>
        <s v="Piplup"/>
        <s v="Prinplup"/>
        <s v="Empoleon"/>
        <s v="Starly"/>
        <s v="Staravia"/>
        <s v="Staraptor"/>
        <s v="Bidoof"/>
        <s v="Bibarel"/>
        <s v="Kricketot"/>
        <s v="Kricketune"/>
        <s v="Shinx"/>
        <s v="Luxio"/>
        <s v="Luxray"/>
        <s v="Budew"/>
        <s v="Roserade"/>
        <s v="Cranidos"/>
        <s v="Rampardos"/>
        <s v="Shieldon"/>
        <s v="Bastiodon"/>
        <s v="Burmy Plant Form"/>
        <s v="Burmy Sandy Form"/>
        <s v="Burmy Trash Form"/>
        <s v="Wormadam Plant Form"/>
        <s v="Wormadam Sandy Form"/>
        <s v="Wormadam Trash Form"/>
        <s v="Mothim"/>
        <s v="Combee"/>
        <s v="Vespiquen"/>
        <s v="Pachirisu"/>
        <s v="Buizel"/>
        <s v="Floatzel"/>
        <s v="Cherubi"/>
        <s v="Cherrim"/>
        <s v="Cherrim Sunshine Form"/>
        <s v="Shellos East-Sea Form"/>
        <s v="Shellos West-Sea Form"/>
        <s v="Gastrodon East-Sea Form"/>
        <s v="Gastrodon West-Sea Form"/>
        <s v="Ambipom"/>
        <s v="Drifloon"/>
        <s v="Drifblim"/>
        <s v="Buneary"/>
        <s v="Lopunny"/>
        <s v="Mega Lopunny"/>
        <s v="Mismagius"/>
        <s v="Honchkrow"/>
        <s v="Glameow"/>
        <s v="Purugly"/>
        <s v="Chingling"/>
        <s v="Stunky"/>
        <s v="Skuntank"/>
        <s v="Bronzor"/>
        <s v="Bronzong"/>
        <s v="Bonsly"/>
        <s v="Mime Jr."/>
        <s v="Happiny"/>
        <s v="Chatot"/>
        <s v="Spiritomb"/>
        <s v="Gible"/>
        <s v="Gabite"/>
        <s v="Garchomp"/>
        <s v="Mega Garchomp"/>
        <s v="Munchlax"/>
        <s v="Riolu"/>
        <s v="Lucario"/>
        <s v="Mega Lucario"/>
        <s v="Hippopotas"/>
        <s v="Hippowdon"/>
        <s v="Skorupi"/>
        <s v="Drapion"/>
        <s v="Croagunk"/>
        <s v="Toxicroak"/>
        <s v="Carnivine"/>
        <s v="Finneon"/>
        <s v="Lumineon"/>
        <s v="Mantyke"/>
        <s v="Snover"/>
        <s v="Abomasnow"/>
        <s v="Mega Abomasnow"/>
        <s v="Weavile"/>
        <s v="Magnezone"/>
        <s v="Lickilicky"/>
        <s v="Rhyperior"/>
        <s v="Tangrowth"/>
        <s v="Electivire"/>
        <s v="Magmortar"/>
        <s v="Togekiss"/>
        <s v="Yanmega"/>
        <s v="Leafeon"/>
        <s v="Glaceon"/>
        <s v="Gliscor"/>
        <s v="Mamoswine"/>
        <s v="Porygon-Z"/>
        <s v="Gallade"/>
        <s v="Mega Gallade"/>
        <s v="Probopass"/>
        <s v="Dusknoir"/>
        <s v="Froslass"/>
        <s v="Rotom"/>
        <s v="Heat Rotom"/>
        <s v="Wash Rotom"/>
        <s v="Frost Rotom"/>
        <s v="Fan Rotom"/>
        <s v="Mow Rotom"/>
        <s v="Uxie"/>
        <s v="Mesprit"/>
        <s v="Azelf"/>
        <s v="Dialga"/>
        <s v="Dialga Origin Form"/>
        <s v="Palkia"/>
        <s v="Palkia Origin Form"/>
        <s v="Heatran"/>
        <s v="Regigigas"/>
        <s v="Giratina"/>
        <s v="Giratina Origin Form"/>
        <s v="Cresselia"/>
        <s v="Phione"/>
        <s v="Manaphy"/>
        <s v="Darkrai"/>
        <s v="Shaymin Land Form"/>
        <s v="Shaymin Sky Form"/>
        <s v="Arceus"/>
        <s v="Victini"/>
        <s v="Snivy"/>
        <s v="Servine"/>
        <s v="Serperior"/>
        <s v="Tepig"/>
        <s v="Pignite"/>
        <s v="Emboar"/>
        <s v="Oshawott"/>
        <s v="Dewott"/>
        <s v="Samurott"/>
        <s v="Hisuian Samurott"/>
        <s v="Patrat"/>
        <s v="Watchog"/>
        <s v="Lillipup"/>
        <s v="Herdier"/>
        <s v="Stoutland"/>
        <s v="Purrloin"/>
        <s v="Liepard"/>
        <s v="Pansage"/>
        <s v="Simisage"/>
        <s v="Pansear"/>
        <s v="Simisear"/>
        <s v="Panpour"/>
        <s v="Simipour"/>
        <s v="Munna"/>
        <s v="Musharna"/>
        <s v="Pidove"/>
        <s v="Tranquill"/>
        <s v="Unfezant"/>
        <s v="Blitzle"/>
        <s v="Zebstrika"/>
        <s v="Roggenrola"/>
        <s v="Boldore"/>
        <s v="Gigalith"/>
        <s v="Woobat"/>
        <s v="Swoobat"/>
        <s v="Drilbur"/>
        <s v="Excadrill"/>
        <s v="Audino"/>
        <s v="Mega Audino"/>
        <s v="Timburr"/>
        <s v="Gurdurr"/>
        <s v="Conkeldurr"/>
        <s v="Tympole"/>
        <s v="Palpitoad"/>
        <s v="Seismitoad"/>
        <s v="Throh"/>
        <s v="Sawk"/>
        <s v="Sewaddle"/>
        <s v="Swadloon"/>
        <s v="Leavanny"/>
        <s v="Venipede"/>
        <s v="Whirlipede"/>
        <s v="Scolipede"/>
        <s v="Cottonee"/>
        <s v="Whimsicott"/>
        <s v="Petilil"/>
        <s v="Lilligant"/>
        <s v="Hisuian Lilligant"/>
        <s v="Basculin Red Stripe"/>
        <s v="Basculin Blue Stripe"/>
        <s v="Hisuian Basculin"/>
        <s v="Sandile"/>
        <s v="Krokorok"/>
        <s v="Krookodile"/>
        <s v="Darumaka"/>
        <s v="Galarian Darumaka"/>
        <s v="Darmanitan"/>
        <s v="Darmanitan Zen-Mode"/>
        <s v="Galarian Darmanitan"/>
        <s v="Galarian Darmanitan Zen-Mode"/>
        <s v="Maractus"/>
        <s v="Dwebble"/>
        <s v="Crustle"/>
        <s v="Scraggy"/>
        <s v="Scrafty"/>
        <s v="Sigilyph"/>
        <s v="Yamask"/>
        <s v="Galarian Yamask"/>
        <s v="Cofagrigus"/>
        <s v="Tirtouga"/>
        <s v="Carracosta"/>
        <s v="Archen"/>
        <s v="Archeops"/>
        <s v="Trubbish"/>
        <s v="Garbodor"/>
        <s v="Zorua"/>
        <s v="Hisuian Zorua"/>
        <s v="Zoroark"/>
        <s v="Hisuian Zoroark"/>
        <s v="Minccino"/>
        <s v="Cinccino"/>
        <s v="Gothita"/>
        <s v="Gothorita"/>
        <s v="Gothitelle"/>
        <s v="Solosis"/>
        <s v="Duosion"/>
        <s v="Reuniclus"/>
        <s v="Ducklett"/>
        <s v="Swanna"/>
        <s v="Vanillite"/>
        <s v="Vanillish"/>
        <s v="Vanilluxe"/>
        <s v="Deerling Spring Form"/>
        <s v="Deerling Summer Form"/>
        <s v="Deerling Autumn Form"/>
        <s v="Deerling Winter Form"/>
        <s v="Sawsbuck"/>
        <s v="Emolga"/>
        <s v="Karrablast"/>
        <s v="Escavalier"/>
        <s v="Foongus"/>
        <s v="Amoonguss"/>
        <s v="Frillish"/>
        <s v="Jellicent"/>
        <s v="Alomomola"/>
        <s v="Joltik"/>
        <s v="Galvantula"/>
        <s v="Ferroseed"/>
        <s v="Ferrothorn"/>
        <s v="Klink"/>
        <s v="Klang"/>
        <s v="Klinklang"/>
        <s v="Tynamo"/>
        <s v="Eelektrik"/>
        <s v="Eelektross"/>
        <s v="Elgyem"/>
        <s v="Beheeyem"/>
        <s v="Litwick"/>
        <s v="Lampent"/>
        <s v="Chandelure"/>
        <s v="Axew"/>
        <s v="Fraxure"/>
        <s v="Haxorus"/>
        <s v="Cubchoo"/>
        <s v="Beartic"/>
        <s v="Cryogonal"/>
        <s v="Shelmet"/>
        <s v="Accelgor"/>
        <s v="Stunfisk"/>
        <s v="Galarian Stunfisk"/>
        <s v="Mienfoo"/>
        <s v="Mienshao"/>
        <s v="Druddigon"/>
        <s v="Golett"/>
        <s v="Golurk"/>
        <s v="Pawniard"/>
        <s v="Bisharp"/>
        <s v="Bouffalant"/>
        <s v="Rufflet"/>
        <s v="Braviary"/>
        <s v="Hisuian Braviary"/>
        <s v="Vullaby"/>
        <s v="Mandibuzz"/>
        <s v="Heatmor"/>
        <s v="Durant"/>
        <s v="Deino"/>
        <s v="Zweilous"/>
        <s v="Hydreigon"/>
        <s v="Larvesta"/>
        <s v="Volcarona"/>
        <s v="Cobalion"/>
        <s v="Terrakion"/>
        <s v="Virizion"/>
        <s v="Tornadus Incarnate Form"/>
        <s v="Tornadus Therian Form"/>
        <s v="Thundurus Incarnate Form"/>
        <s v="Thundurus Therian Form"/>
        <s v="Reshiram"/>
        <s v="Zekrom"/>
        <s v="Landorus Incarnate Form"/>
        <s v="Landorus Therian Form"/>
        <s v="Kyurem"/>
        <s v="White Kyurem"/>
        <s v="Black Kyurem"/>
        <s v="Keldeo Ordinary Form"/>
        <s v="Keldeo Resolute Form"/>
        <s v="Meloetta Aria Form"/>
        <s v="Meloetta Pirouette Form"/>
        <s v="Genesect"/>
        <s v="Chespin"/>
        <s v="Quilladin"/>
        <s v="Chesnaught"/>
        <s v="Fennekin"/>
        <s v="Braixen"/>
        <s v="Delphox"/>
        <s v="Froakie"/>
        <s v="Frogadier"/>
        <s v="Greninja"/>
        <s v="Ash Greninja"/>
        <s v="Bunnelby"/>
        <s v="Diggersby"/>
        <s v="Fletchling"/>
        <s v="Fletchinder"/>
        <s v="Talonflame"/>
        <s v="Scatterbug"/>
        <s v="Spewpa"/>
        <s v="Vivillon"/>
        <s v="Litleo"/>
        <s v="Pyroar"/>
        <s v="Flabebe"/>
        <s v="Floette"/>
        <s v="Florges"/>
        <s v="Skiddo"/>
        <s v="Gogoat"/>
        <s v="Pancham"/>
        <s v="Pangoro"/>
        <s v="Furfrou"/>
        <s v="Espurr"/>
        <s v="Meowstic Male"/>
        <s v="Meowstic Female"/>
        <s v="Honedge"/>
        <s v="Doublade"/>
        <s v="Aegislash Shield Form"/>
        <s v="Aegislash Blade Form"/>
        <s v="Spritzee"/>
        <s v="Aromatisse"/>
        <s v="Swirlix"/>
        <s v="Slurpuff"/>
        <s v="Inkay"/>
        <s v="Malamar"/>
        <s v="Binacle"/>
        <s v="Barbaracle"/>
        <s v="Skrelp"/>
        <s v="Dragalge"/>
        <s v="Clauncher"/>
        <s v="Clawitzer"/>
        <s v="Helioptile"/>
        <s v="Heliolisk"/>
        <s v="Tyrunt"/>
        <s v="Tyrantrum"/>
        <s v="Amaura"/>
        <s v="Aurorus"/>
        <s v="Sylveon"/>
        <s v="Hawlucha"/>
        <s v="Dedenne"/>
        <s v="Carbink"/>
        <s v="Goomy"/>
        <s v="Sliggoo"/>
        <s v="Hisuian Sliggoo"/>
        <s v="Goodra"/>
        <s v="Hisuian Goodra"/>
        <s v="Klefki"/>
        <s v="Phantump"/>
        <s v="Trevenant"/>
        <s v="Pumpkaboo Small"/>
        <s v="Pumpkaboo Average"/>
        <s v="Pumpkaboo Large"/>
        <s v="Pumpkaboo Super"/>
        <s v="Gourgeist Small"/>
        <s v="Gourgeist Average"/>
        <s v="Gourgeist Large"/>
        <s v="Gourgeist Super"/>
        <s v="Bergmite"/>
        <s v="Avalugg"/>
        <s v="Hisuian Avalugg"/>
        <s v="Noibat"/>
        <s v="Noivern"/>
        <s v="Xerneas"/>
        <s v="Yveltal"/>
        <s v="Zygarde 50% Form"/>
        <s v="Zygarde 10% Form"/>
        <s v="Zygarde Complete Form"/>
        <s v="Diancie"/>
        <s v="Mega Diancie"/>
        <s v="Confined Hoopa"/>
        <s v="Unbound Hoopa"/>
        <s v="Volcanion"/>
        <s v="Rowlet"/>
        <s v="Dartrix"/>
        <s v="Decidueye"/>
        <s v="Hisuian Decidueye"/>
        <s v="Litten"/>
        <s v="Torracat"/>
        <s v="Incineroar"/>
        <s v="Popplio"/>
        <s v="Brionne"/>
        <s v="Primarina"/>
        <s v="Pikipek"/>
        <s v="Trumbeak"/>
        <s v="Toucannon"/>
        <s v="Yungoos"/>
        <s v="Gumshoos"/>
        <s v="Grubbin"/>
        <s v="Charjabug"/>
        <s v="Vikavolt"/>
        <s v="Crabrawler"/>
        <s v="Crabominable"/>
        <s v="Oricorio Baile Style"/>
        <s v="Oricorio Pom-Pom Style"/>
        <s v="Oricorio Pa'u Style"/>
        <s v="Oricorio Sensu Style"/>
        <s v="Cutiefly"/>
        <s v="Ribombee"/>
        <s v="Rockruff"/>
        <s v="Lycanroc Midday Form"/>
        <s v="Lycanroc Midnight Form"/>
        <s v="Lycanroc Dusk Form"/>
        <s v="Wishiwashi Solo Form"/>
        <s v="Wishiwashi School Form"/>
        <s v="Mareanie"/>
        <s v="Toxapex"/>
        <s v="Mudbray"/>
        <s v="Mudsdale"/>
        <s v="Dewpider"/>
        <s v="Araquanid"/>
        <s v="Fomantis"/>
        <s v="Lurantis"/>
        <s v="Morelull"/>
        <s v="Shiinotic"/>
        <s v="Salandit"/>
        <s v="Salazzle"/>
        <s v="Stufful"/>
        <s v="Bewear"/>
        <s v="Bounsweet"/>
        <s v="Steenee"/>
        <s v="Tsareena"/>
        <s v="Comfey"/>
        <s v="Oranguru"/>
        <s v="Passimian"/>
        <s v="Wimpod"/>
        <s v="Golisopod"/>
        <s v="Sandygast"/>
        <s v="Palossand"/>
        <s v="Pyukumuku"/>
        <s v="Type: Null"/>
        <s v="Silvally"/>
        <s v="Minior Meteor Form"/>
        <s v="Minior Red Core"/>
        <s v="Minior Orange Core"/>
        <s v="Minior Yellow Core"/>
        <s v="Minior Green Core"/>
        <s v="Minior Blue Core"/>
        <s v="Minior Indigo Core"/>
        <s v="Minior Purple Core"/>
        <s v="Komala"/>
        <s v="Turtonator"/>
        <s v="Togedemaru"/>
        <s v="Mimikyu"/>
        <s v="Bruxish"/>
        <s v="Drampa"/>
        <s v="Dhelmise"/>
        <s v="Jangmo-o"/>
        <s v="Hakamo-o"/>
        <s v="Kommo-o"/>
        <s v="Tapu Koko"/>
        <s v="Tapu Lele"/>
        <s v="Tapu Bulu"/>
        <s v="Tapu Fini"/>
        <s v="Cosmog"/>
        <s v="Cosmoem"/>
        <s v="Solgaleo"/>
        <s v="Lunala"/>
        <s v="Nihilego"/>
        <s v="Buzzwole"/>
        <s v="Pheromosa"/>
        <s v="Xurkitree"/>
        <s v="Celesteela"/>
        <s v="Kartana"/>
        <s v="Guzzlord"/>
        <s v="Necrozma"/>
        <s v="Dusk Mane Necrozma"/>
        <s v="Dawn Wings Necrozma"/>
        <s v="Ultra Necrozma"/>
        <s v="Magearna"/>
        <s v="Marshadow"/>
        <s v="Poipole"/>
        <s v="Naganadel"/>
        <s v="Stakataka"/>
        <s v="Blacephalon"/>
        <s v="Zeraora"/>
        <s v="Meltan"/>
        <s v="Melmetal"/>
        <s v="Grookey"/>
        <s v="Thwackey"/>
        <s v="Rillaboom"/>
        <s v="Scorbunny"/>
        <s v="Raboot"/>
        <s v="Cinderace"/>
        <s v="Sobble"/>
        <s v="Drizzile"/>
        <s v="Inteleon"/>
        <s v="Skwovet"/>
        <s v="Greedent"/>
        <s v="Rookidee"/>
        <s v="Corvisquire"/>
        <s v="Corviknight"/>
        <s v="Blipbug"/>
        <s v="Dottler"/>
        <s v="Orbeetle"/>
        <s v="Nickit"/>
        <s v="Thievul"/>
        <s v="Gossifleur"/>
        <s v="Eldegoss"/>
        <s v="Wooloo"/>
        <s v="Dubwool"/>
        <s v="Chewtle"/>
        <s v="Drednaw"/>
        <s v="Yamper"/>
        <s v="Boltund"/>
        <s v="Rolycoly"/>
        <s v="Carkol"/>
        <s v="Coalossal"/>
        <s v="Applin"/>
        <s v="Flapple"/>
        <s v="Appletun"/>
        <s v="Silicobra"/>
        <s v="Sandaconda"/>
        <s v="Cramorant"/>
        <s v="Arrokuda"/>
        <s v="Barraskewda"/>
        <s v="Toxel"/>
        <s v="Toxtricity Amped Form"/>
        <s v="Toxtricity Low-Key Form"/>
        <s v="Sizzlipede"/>
        <s v="Centiskorch"/>
        <s v="Clobbopus"/>
        <s v="Grapploct"/>
        <s v="Sinistea"/>
        <s v="Polteageist"/>
        <s v="Hatenna"/>
        <s v="Hattrem"/>
        <s v="Hatterene"/>
        <s v="Impidimp"/>
        <s v="Morgrem"/>
        <s v="Grimmsnarl"/>
        <s v="Obstagoon"/>
        <s v="Perrserker"/>
        <s v="Cursola"/>
        <s v="Sirfetch'd"/>
        <s v="Mr. Rime"/>
        <s v="Runerigus"/>
        <s v="Milcery"/>
        <s v="Alcremie"/>
        <s v="Falinks"/>
        <s v="Pincurchin"/>
        <s v="Snom"/>
        <s v="Frosmoth"/>
        <s v="Stonjourner"/>
        <s v="Eiscue Ice Face"/>
        <s v="Eiscue Noice Face"/>
        <s v="Indeedee Male"/>
        <s v="Indeedee Female"/>
        <s v="Morpeko Full Berry Mode"/>
        <s v="Morpeko Hangry Mode"/>
        <s v="Cufant"/>
        <s v="Copperajah"/>
        <s v="Dracozolt"/>
        <s v="Arctozolt"/>
        <s v="Dracovish"/>
        <s v="Arctovish"/>
        <s v="Duraludon"/>
        <s v="Dreepy"/>
        <s v="Drakloak"/>
        <s v="Dragapult"/>
        <s v="Zacian Hero of Many Battles"/>
        <s v="Zacian Crowned Sword"/>
        <s v="Zamazenta Hero of Many Battles"/>
        <s v="Zamazenta Crowned Shield"/>
        <s v="Eternatus"/>
        <s v="Eternamax Eternatus"/>
        <s v="Kubfu"/>
        <s v="Urshifu Single Strike Style"/>
        <s v="Urshifu Rapid Strike Style"/>
        <s v="Zarude"/>
        <s v="Regieleki"/>
        <s v="Regidrago"/>
        <s v="Glastrier"/>
        <s v="Spectrier"/>
        <s v="Calyrex"/>
        <s v="Calyrex Ice Rider"/>
        <s v="Calyrex Shadow Rider"/>
        <s v="Wyrdeer"/>
        <s v="Kleavor"/>
        <s v="Ursaluna"/>
        <s v="Basculegion Male"/>
        <s v="Basculegion Felame"/>
        <s v="Sneasler"/>
        <s v="Overqwil"/>
        <s v="Enamorus Incarnate Style"/>
        <s v="Enamorus Therian Style"/>
        <s v="Sprigatito"/>
        <s v="Floragato"/>
        <s v="Meowscarada"/>
        <s v="Fuecoco"/>
        <s v="Crocalor"/>
        <s v="Skeledirge"/>
        <s v="Quaxly"/>
        <s v="Quaxwell"/>
        <s v="Quaquaval"/>
        <s v="Lechonk"/>
        <s v="Oinkologne"/>
        <s v="Tarountula"/>
        <s v="Spidops"/>
        <s v="Nymble"/>
        <s v="Lokix"/>
        <s v="Pawmi"/>
        <s v="Pawmo"/>
        <s v="Pawmot"/>
        <s v="Tandemaus"/>
        <s v="Maushold Family of Three"/>
        <s v="Maushold Family of Four"/>
        <s v="Fidough"/>
        <s v="Dachsbun"/>
        <s v="Smoliv"/>
        <s v="Dolliv"/>
        <s v="Arboliva"/>
        <s v="Squawkabilly Green Plumage"/>
        <s v="Squawkabilly Blue Plumage"/>
        <s v="Squawkabilly Yellow Plumage"/>
        <s v="Squawkabilly White Plumage"/>
        <s v="Nacli"/>
        <s v="Naclstack"/>
        <s v="Garganacl"/>
        <s v="Charcadet"/>
        <s v="Armarouge"/>
        <s v="Ceruledge"/>
        <s v="Tadbulb"/>
        <s v="Bellibolt"/>
        <s v="Wattrel"/>
        <s v="Kilowattrel"/>
        <s v="Maschiff"/>
        <s v="Mabosstiff"/>
        <s v="Shroodle"/>
        <s v="Grafaiai"/>
        <s v="Bramblin"/>
        <s v="Brambleghast"/>
        <s v="Toedscool"/>
        <s v="Toedscruel"/>
        <s v="Klawf"/>
        <s v="Capsakid"/>
        <s v="Scovillain"/>
        <s v="Rellor"/>
        <s v="Rabsca"/>
        <s v="Flittle"/>
        <s v="Espathra"/>
        <s v="Tinkatink"/>
        <s v="Tinkatuff"/>
        <s v="Tinkaton"/>
        <s v="Wiglett"/>
        <s v="Wugtrio"/>
        <s v="Bombirdier"/>
        <s v="Finizen"/>
        <s v="Palafin Zero Form"/>
        <s v="Palafin Hero Form"/>
        <s v="Varoom"/>
        <s v="Revavroom"/>
        <s v="Cyclizar"/>
        <s v="Orthworm"/>
        <s v="Glimmet"/>
        <s v="Glimmora"/>
        <s v="Greavard"/>
        <s v="Houndstone"/>
        <s v="Flamigo"/>
        <s v="Cetoddle"/>
        <s v="Cetitan"/>
        <s v="Veluza"/>
        <s v="Dondozo"/>
        <s v="Tatsugiri Curly Form"/>
        <s v="Tatsugiri Droopy Form"/>
        <s v="Tatsugiri Stretchy Form"/>
        <s v="Annihilape"/>
        <s v="Clodsire"/>
        <s v="Farigiraf"/>
        <s v="Dudunsparce Two-Segment Form"/>
        <s v="Dudunsparce Three-Segment Form"/>
        <s v="Kingambit"/>
        <s v="Great Tusk"/>
        <s v="Scream Tail"/>
        <s v="Brute Bonnet"/>
        <s v="Flutter Mane"/>
        <s v="Slither Wing"/>
        <s v="Sandy Shocks"/>
        <s v="Iron Treads"/>
        <s v="Iron Bundle"/>
        <s v="Iron Hands"/>
        <s v="Iron Jugulis"/>
        <s v="Iron Moth"/>
        <s v="Iron Thorns"/>
        <s v="Frigibax"/>
        <s v="Arctibax"/>
        <s v="Baxcalibur"/>
        <s v="Gimmighoul Chest Form"/>
        <s v="Gimmighoul Roaming Form"/>
        <s v="Gholdengo"/>
        <s v="Wo-Chien"/>
        <s v="Chien-Pao"/>
        <s v="Ting-Lu"/>
        <s v="Chi-Yu"/>
        <s v="Roaring Moon"/>
        <s v="Iron Valiant"/>
        <s v="Koraidon"/>
        <s v="Miraidon"/>
        <s v="Walking Wake"/>
        <s v="Iron Leaves"/>
      </sharedItems>
    </cacheField>
    <cacheField name="No" numFmtId="0">
      <sharedItems containsSemiMixedTypes="0" containsString="0" containsNumber="1" containsInteger="1" minValue="1" maxValue="1010"/>
    </cacheField>
    <cacheField name="Branch_Code" numFmtId="0">
      <sharedItems/>
    </cacheField>
    <cacheField name="Generation" numFmtId="0">
      <sharedItems containsSemiMixedTypes="0" containsString="0" containsNumber="1" containsInteger="1" minValue="1" maxValue="9" count="9">
        <n v="1"/>
        <n v="7"/>
        <n v="8"/>
        <n v="9"/>
        <n v="2"/>
        <n v="3"/>
        <n v="4"/>
        <n v="5"/>
        <n v="6"/>
      </sharedItems>
    </cacheField>
    <cacheField name="Height" numFmtId="0">
      <sharedItems containsSemiMixedTypes="0" containsString="0" containsNumber="1" minValue="0.1" maxValue="100"/>
    </cacheField>
    <cacheField name="Weight" numFmtId="0">
      <sharedItems containsSemiMixedTypes="0" containsString="0" containsNumber="1" minValue="0" maxValue="999.9"/>
    </cacheField>
    <cacheField name="Type1" numFmtId="0">
      <sharedItems count="18">
        <s v="Grass"/>
        <s v="Fire"/>
        <s v="Water"/>
        <s v="Bug"/>
        <s v="Normal"/>
        <s v="Dark"/>
        <s v="Poison"/>
        <s v="Electric"/>
        <s v="Ground"/>
        <s v="Ice"/>
        <s v="Fairy"/>
        <s v="Steel"/>
        <s v="Fighting"/>
        <s v="Psychic"/>
        <s v="Rock"/>
        <s v="Ghost"/>
        <s v="Dragon"/>
        <s v="Flying"/>
      </sharedItems>
    </cacheField>
    <cacheField name="Type2" numFmtId="0">
      <sharedItems containsBlank="1"/>
    </cacheField>
    <cacheField name="Ability1" numFmtId="0">
      <sharedItems/>
    </cacheField>
    <cacheField name="Ability2" numFmtId="0">
      <sharedItems containsBlank="1"/>
    </cacheField>
    <cacheField name="Ability_Hidden" numFmtId="0">
      <sharedItems containsBlank="1"/>
    </cacheField>
    <cacheField name="Color" numFmtId="0">
      <sharedItems/>
    </cacheField>
    <cacheField name="Gender_Male" numFmtId="0">
      <sharedItems containsSemiMixedTypes="0" containsString="0" containsNumber="1" minValue="0" maxValue="100"/>
    </cacheField>
    <cacheField name="Gender_Female" numFmtId="0">
      <sharedItems containsSemiMixedTypes="0" containsString="0" containsNumber="1" minValue="0" maxValue="100"/>
    </cacheField>
    <cacheField name="Gender_Unknown" numFmtId="0">
      <sharedItems containsSemiMixedTypes="0" containsString="0" containsNumber="1" containsInteger="1" minValue="0" maxValue="100"/>
    </cacheField>
    <cacheField name="Egg_Steps" numFmtId="0">
      <sharedItems containsSemiMixedTypes="0" containsString="0" containsNumber="1" containsInteger="1" minValue="5" maxValue="120"/>
    </cacheField>
    <cacheField name="Egg_Group1" numFmtId="0">
      <sharedItems/>
    </cacheField>
    <cacheField name="Egg_Group2" numFmtId="0">
      <sharedItems containsBlank="1"/>
    </cacheField>
    <cacheField name="Get_Rate" numFmtId="0">
      <sharedItems containsSemiMixedTypes="0" containsString="0" containsNumber="1" containsInteger="1" minValue="3" maxValue="255"/>
    </cacheField>
    <cacheField name="Base_Experience" numFmtId="0">
      <sharedItems containsSemiMixedTypes="0" containsString="0" containsNumber="1" containsInteger="1" minValue="36" maxValue="635"/>
    </cacheField>
    <cacheField name="Experience_Type" numFmtId="0">
      <sharedItems containsSemiMixedTypes="0" containsString="0" containsNumber="1" containsInteger="1" minValue="600000" maxValue="1640000"/>
    </cacheField>
    <cacheField name="Category" numFmtId="0">
      <sharedItems count="4">
        <s v="Ordinary"/>
        <s v="Semi-Legendary"/>
        <s v="Legendary"/>
        <s v="Mythical"/>
      </sharedItems>
    </cacheField>
    <cacheField name="Mega_Evolution_Flag" numFmtId="0">
      <sharedItems containsBlank="1"/>
    </cacheField>
    <cacheField name="Region_Form" numFmtId="0">
      <sharedItems containsBlank="1"/>
    </cacheField>
    <cacheField name="HP" numFmtId="0">
      <sharedItems containsSemiMixedTypes="0" containsString="0" containsNumber="1" containsInteger="1" minValue="1" maxValue="255"/>
    </cacheField>
    <cacheField name="Attack" numFmtId="0">
      <sharedItems containsSemiMixedTypes="0" containsString="0" containsNumber="1" containsInteger="1" minValue="5" maxValue="190"/>
    </cacheField>
    <cacheField name="Defense" numFmtId="0">
      <sharedItems containsSemiMixedTypes="0" containsString="0" containsNumber="1" containsInteger="1" minValue="5" maxValue="250"/>
    </cacheField>
    <cacheField name="SP_Attack" numFmtId="0">
      <sharedItems containsSemiMixedTypes="0" containsString="0" containsNumber="1" containsInteger="1" minValue="10" maxValue="194"/>
    </cacheField>
    <cacheField name="SP_Defense" numFmtId="0">
      <sharedItems containsSemiMixedTypes="0" containsString="0" containsNumber="1" containsInteger="1" minValue="20" maxValue="250"/>
    </cacheField>
    <cacheField name="Speed" numFmtId="0">
      <sharedItems containsSemiMixedTypes="0" containsString="0" containsNumber="1" containsInteger="1" minValue="5" maxValue="200"/>
    </cacheField>
    <cacheField name="Total" numFmtId="0">
      <sharedItems containsSemiMixedTypes="0" containsString="0" containsNumber="1" containsInteger="1" minValue="175" maxValue="1125"/>
    </cacheField>
    <cacheField name="E_HP" numFmtId="0">
      <sharedItems containsSemiMixedTypes="0" containsString="0" containsNumber="1" containsInteger="1" minValue="0" maxValue="3"/>
    </cacheField>
    <cacheField name="E_Attack" numFmtId="0">
      <sharedItems containsSemiMixedTypes="0" containsString="0" containsNumber="1" containsInteger="1" minValue="0" maxValue="3"/>
    </cacheField>
    <cacheField name="E_Defense" numFmtId="0">
      <sharedItems containsSemiMixedTypes="0" containsString="0" containsNumber="1" containsInteger="1" minValue="0" maxValue="3"/>
    </cacheField>
    <cacheField name="E_SP_Attack" numFmtId="0">
      <sharedItems containsSemiMixedTypes="0" containsString="0" containsNumber="1" containsInteger="1" minValue="0" maxValue="3"/>
    </cacheField>
    <cacheField name="E_SP_Defense" numFmtId="0">
      <sharedItems containsSemiMixedTypes="0" containsString="0" containsNumber="1" containsInteger="1" minValue="0" maxValue="3"/>
    </cacheField>
    <cacheField name="E_Speed" numFmtId="0">
      <sharedItems containsSemiMixedTypes="0" containsString="0" containsNumber="1" containsInteger="1" minValue="0" maxValue="3"/>
    </cacheField>
  </cacheFields>
  <extLst>
    <ext xmlns:x14="http://schemas.microsoft.com/office/spreadsheetml/2009/9/main" uri="{725AE2AE-9491-48be-B2B4-4EB974FC3084}">
      <x14:pivotCacheDefinition pivotCacheId="146154702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03">
  <r>
    <s v="Bulbasaur"/>
    <x v="0"/>
    <n v="1"/>
    <s v="1_0"/>
    <x v="0"/>
    <n v="0.7"/>
    <n v="6.9"/>
    <x v="0"/>
    <s v="Poison"/>
    <s v="Overgrow"/>
    <m/>
    <s v="Chlorophyll"/>
    <s v="Green"/>
    <n v="87.5"/>
    <n v="12.5"/>
    <n v="0"/>
    <n v="20"/>
    <s v="Monster"/>
    <s v="Grass"/>
    <n v="45"/>
    <n v="64"/>
    <n v="1059860"/>
    <x v="0"/>
    <m/>
    <m/>
    <n v="45"/>
    <n v="49"/>
    <n v="49"/>
    <n v="65"/>
    <n v="65"/>
    <n v="45"/>
    <n v="318"/>
    <n v="0"/>
    <n v="0"/>
    <n v="0"/>
    <n v="1"/>
    <n v="0"/>
    <n v="0"/>
  </r>
  <r>
    <s v="Ivysaur"/>
    <x v="1"/>
    <n v="2"/>
    <s v="2_0"/>
    <x v="0"/>
    <n v="1"/>
    <n v="13"/>
    <x v="0"/>
    <s v="Poison"/>
    <s v="Overgrow"/>
    <m/>
    <s v="Chlorophyll"/>
    <s v="Green"/>
    <n v="87.5"/>
    <n v="12.5"/>
    <n v="0"/>
    <n v="20"/>
    <s v="Monster"/>
    <s v="Grass"/>
    <n v="45"/>
    <n v="142"/>
    <n v="1059860"/>
    <x v="0"/>
    <m/>
    <m/>
    <n v="60"/>
    <n v="62"/>
    <n v="63"/>
    <n v="80"/>
    <n v="80"/>
    <n v="60"/>
    <n v="405"/>
    <n v="0"/>
    <n v="0"/>
    <n v="0"/>
    <n v="1"/>
    <n v="1"/>
    <n v="0"/>
  </r>
  <r>
    <s v="Venusaur"/>
    <x v="2"/>
    <n v="3"/>
    <s v="3_0"/>
    <x v="0"/>
    <n v="2"/>
    <n v="100"/>
    <x v="0"/>
    <s v="Poison"/>
    <s v="Overgrow"/>
    <m/>
    <s v="Chlorophyll"/>
    <s v="Green"/>
    <n v="87.5"/>
    <n v="12.5"/>
    <n v="0"/>
    <n v="20"/>
    <s v="Monster"/>
    <s v="Grass"/>
    <n v="45"/>
    <n v="263"/>
    <n v="1059860"/>
    <x v="0"/>
    <m/>
    <m/>
    <n v="80"/>
    <n v="82"/>
    <n v="83"/>
    <n v="100"/>
    <n v="100"/>
    <n v="80"/>
    <n v="525"/>
    <n v="0"/>
    <n v="0"/>
    <n v="0"/>
    <n v="2"/>
    <n v="1"/>
    <n v="0"/>
  </r>
  <r>
    <s v="Venusaur"/>
    <x v="3"/>
    <n v="3"/>
    <s v="3_1"/>
    <x v="0"/>
    <n v="2.4"/>
    <n v="155.5"/>
    <x v="0"/>
    <s v="Poison"/>
    <s v="Thick Fat"/>
    <m/>
    <m/>
    <s v="Green"/>
    <n v="87.5"/>
    <n v="12.5"/>
    <n v="0"/>
    <n v="20"/>
    <s v="Monster"/>
    <s v="Grass"/>
    <n v="45"/>
    <n v="281"/>
    <n v="1059860"/>
    <x v="0"/>
    <s v="Mega"/>
    <m/>
    <n v="80"/>
    <n v="100"/>
    <n v="123"/>
    <n v="122"/>
    <n v="120"/>
    <n v="80"/>
    <n v="625"/>
    <n v="0"/>
    <n v="0"/>
    <n v="0"/>
    <n v="2"/>
    <n v="1"/>
    <n v="0"/>
  </r>
  <r>
    <s v="Charmander"/>
    <x v="4"/>
    <n v="4"/>
    <s v="4_0"/>
    <x v="0"/>
    <n v="0.6"/>
    <n v="8.5"/>
    <x v="1"/>
    <m/>
    <s v="Blaze"/>
    <m/>
    <s v="Solar Power"/>
    <s v="Red"/>
    <n v="87.5"/>
    <n v="12.5"/>
    <n v="0"/>
    <n v="20"/>
    <s v="Monster"/>
    <s v="Dragon"/>
    <n v="45"/>
    <n v="62"/>
    <n v="1059860"/>
    <x v="0"/>
    <m/>
    <m/>
    <n v="39"/>
    <n v="52"/>
    <n v="43"/>
    <n v="60"/>
    <n v="50"/>
    <n v="65"/>
    <n v="309"/>
    <n v="0"/>
    <n v="0"/>
    <n v="0"/>
    <n v="0"/>
    <n v="0"/>
    <n v="1"/>
  </r>
  <r>
    <s v="Charmeleon"/>
    <x v="5"/>
    <n v="5"/>
    <s v="5_0"/>
    <x v="0"/>
    <n v="1.1000000000000001"/>
    <n v="19"/>
    <x v="1"/>
    <m/>
    <s v="Blaze"/>
    <m/>
    <s v="Solar Power"/>
    <s v="Red"/>
    <n v="87.5"/>
    <n v="12.5"/>
    <n v="0"/>
    <n v="20"/>
    <s v="Monster"/>
    <s v="Dragon"/>
    <n v="45"/>
    <n v="142"/>
    <n v="1059860"/>
    <x v="0"/>
    <m/>
    <m/>
    <n v="58"/>
    <n v="64"/>
    <n v="58"/>
    <n v="80"/>
    <n v="65"/>
    <n v="80"/>
    <n v="405"/>
    <n v="0"/>
    <n v="0"/>
    <n v="0"/>
    <n v="1"/>
    <n v="0"/>
    <n v="1"/>
  </r>
  <r>
    <s v="Charizard"/>
    <x v="6"/>
    <n v="6"/>
    <s v="6_0"/>
    <x v="0"/>
    <n v="1.7"/>
    <n v="90.5"/>
    <x v="1"/>
    <s v="Flying"/>
    <s v="Blaze"/>
    <m/>
    <s v="Solar Power"/>
    <s v="Red"/>
    <n v="87.5"/>
    <n v="12.5"/>
    <n v="0"/>
    <n v="20"/>
    <s v="Monster"/>
    <s v="Dragon"/>
    <n v="45"/>
    <n v="267"/>
    <n v="1059860"/>
    <x v="0"/>
    <m/>
    <m/>
    <n v="78"/>
    <n v="84"/>
    <n v="78"/>
    <n v="109"/>
    <n v="85"/>
    <n v="100"/>
    <n v="534"/>
    <n v="0"/>
    <n v="0"/>
    <n v="0"/>
    <n v="3"/>
    <n v="0"/>
    <n v="0"/>
  </r>
  <r>
    <s v="Charizard"/>
    <x v="7"/>
    <n v="6"/>
    <s v="6_1"/>
    <x v="0"/>
    <n v="1.7"/>
    <n v="110.5"/>
    <x v="1"/>
    <s v="Dragon"/>
    <s v="Tough Claws"/>
    <m/>
    <m/>
    <s v="Black"/>
    <n v="87.5"/>
    <n v="12.5"/>
    <n v="0"/>
    <n v="20"/>
    <s v="Monster"/>
    <s v="Dragon"/>
    <n v="45"/>
    <n v="285"/>
    <n v="1059860"/>
    <x v="0"/>
    <s v="Mega"/>
    <m/>
    <n v="78"/>
    <n v="130"/>
    <n v="111"/>
    <n v="130"/>
    <n v="85"/>
    <n v="100"/>
    <n v="634"/>
    <n v="0"/>
    <n v="0"/>
    <n v="0"/>
    <n v="3"/>
    <n v="0"/>
    <n v="0"/>
  </r>
  <r>
    <s v="Charizard"/>
    <x v="8"/>
    <n v="6"/>
    <s v="6_2"/>
    <x v="0"/>
    <n v="1.7"/>
    <n v="100.5"/>
    <x v="1"/>
    <s v="Flying"/>
    <s v="Drought"/>
    <m/>
    <m/>
    <s v="Red"/>
    <n v="87.5"/>
    <n v="12.5"/>
    <n v="0"/>
    <n v="20"/>
    <s v="Monster"/>
    <s v="Dragon"/>
    <n v="45"/>
    <n v="285"/>
    <n v="1059860"/>
    <x v="0"/>
    <s v="Mega"/>
    <m/>
    <n v="78"/>
    <n v="104"/>
    <n v="78"/>
    <n v="159"/>
    <n v="115"/>
    <n v="100"/>
    <n v="634"/>
    <n v="0"/>
    <n v="0"/>
    <n v="0"/>
    <n v="3"/>
    <n v="0"/>
    <n v="0"/>
  </r>
  <r>
    <s v="Squirtle"/>
    <x v="9"/>
    <n v="7"/>
    <s v="7_0"/>
    <x v="0"/>
    <n v="0.5"/>
    <n v="9"/>
    <x v="2"/>
    <m/>
    <s v="Torrent"/>
    <m/>
    <s v="Rain Dish"/>
    <s v="Blue"/>
    <n v="87.5"/>
    <n v="12.5"/>
    <n v="0"/>
    <n v="20"/>
    <s v="Monster"/>
    <s v="Water1"/>
    <n v="45"/>
    <n v="63"/>
    <n v="1059860"/>
    <x v="0"/>
    <m/>
    <m/>
    <n v="44"/>
    <n v="48"/>
    <n v="65"/>
    <n v="50"/>
    <n v="64"/>
    <n v="43"/>
    <n v="314"/>
    <n v="0"/>
    <n v="0"/>
    <n v="1"/>
    <n v="0"/>
    <n v="0"/>
    <n v="0"/>
  </r>
  <r>
    <s v="Wartortle"/>
    <x v="10"/>
    <n v="8"/>
    <s v="8_0"/>
    <x v="0"/>
    <n v="1"/>
    <n v="22.5"/>
    <x v="2"/>
    <m/>
    <s v="Torrent"/>
    <m/>
    <s v="Rain Dish"/>
    <s v="Blue"/>
    <n v="87.5"/>
    <n v="12.5"/>
    <n v="0"/>
    <n v="20"/>
    <s v="Monster"/>
    <s v="Water1"/>
    <n v="45"/>
    <n v="142"/>
    <n v="1059860"/>
    <x v="0"/>
    <m/>
    <m/>
    <n v="59"/>
    <n v="63"/>
    <n v="80"/>
    <n v="65"/>
    <n v="80"/>
    <n v="58"/>
    <n v="405"/>
    <n v="0"/>
    <n v="0"/>
    <n v="1"/>
    <n v="0"/>
    <n v="1"/>
    <n v="0"/>
  </r>
  <r>
    <s v="Blastoise"/>
    <x v="11"/>
    <n v="9"/>
    <s v="9_0"/>
    <x v="0"/>
    <n v="1.6"/>
    <n v="85.5"/>
    <x v="2"/>
    <m/>
    <s v="Torrent"/>
    <m/>
    <s v="Rain Dish"/>
    <s v="Blue"/>
    <n v="87.5"/>
    <n v="12.5"/>
    <n v="0"/>
    <n v="20"/>
    <s v="Monster"/>
    <s v="Water1"/>
    <n v="45"/>
    <n v="265"/>
    <n v="1059860"/>
    <x v="0"/>
    <m/>
    <m/>
    <n v="79"/>
    <n v="83"/>
    <n v="100"/>
    <n v="85"/>
    <n v="105"/>
    <n v="78"/>
    <n v="530"/>
    <n v="0"/>
    <n v="0"/>
    <n v="0"/>
    <n v="0"/>
    <n v="3"/>
    <n v="0"/>
  </r>
  <r>
    <s v="Blastoise"/>
    <x v="12"/>
    <n v="9"/>
    <s v="9_1"/>
    <x v="0"/>
    <n v="1.6"/>
    <n v="101.1"/>
    <x v="2"/>
    <m/>
    <s v="Mega Launcher"/>
    <m/>
    <m/>
    <s v="Blue"/>
    <n v="87.5"/>
    <n v="12.5"/>
    <n v="0"/>
    <n v="20"/>
    <s v="Monster"/>
    <s v="Water1"/>
    <n v="45"/>
    <n v="284"/>
    <n v="1059860"/>
    <x v="0"/>
    <s v="Mega"/>
    <m/>
    <n v="79"/>
    <n v="103"/>
    <n v="120"/>
    <n v="135"/>
    <n v="115"/>
    <n v="78"/>
    <n v="630"/>
    <n v="0"/>
    <n v="0"/>
    <n v="0"/>
    <n v="0"/>
    <n v="3"/>
    <n v="0"/>
  </r>
  <r>
    <s v="Caterpie"/>
    <x v="13"/>
    <n v="10"/>
    <s v="10_0"/>
    <x v="0"/>
    <n v="0.3"/>
    <n v="2.9"/>
    <x v="3"/>
    <m/>
    <s v="Shield Dust"/>
    <m/>
    <s v="Run Away"/>
    <s v="Green"/>
    <n v="50"/>
    <n v="50"/>
    <n v="0"/>
    <n v="15"/>
    <s v="Bug"/>
    <m/>
    <n v="255"/>
    <n v="39"/>
    <n v="1000000"/>
    <x v="0"/>
    <m/>
    <m/>
    <n v="45"/>
    <n v="30"/>
    <n v="35"/>
    <n v="20"/>
    <n v="20"/>
    <n v="45"/>
    <n v="195"/>
    <n v="1"/>
    <n v="0"/>
    <n v="0"/>
    <n v="0"/>
    <n v="0"/>
    <n v="0"/>
  </r>
  <r>
    <s v="Metapod"/>
    <x v="14"/>
    <n v="11"/>
    <s v="11_0"/>
    <x v="0"/>
    <n v="0.7"/>
    <n v="9.9"/>
    <x v="3"/>
    <m/>
    <s v="Shed Skin"/>
    <m/>
    <m/>
    <s v="Green"/>
    <n v="50"/>
    <n v="50"/>
    <n v="0"/>
    <n v="15"/>
    <s v="Bug"/>
    <m/>
    <n v="120"/>
    <n v="72"/>
    <n v="1000000"/>
    <x v="0"/>
    <m/>
    <m/>
    <n v="50"/>
    <n v="20"/>
    <n v="55"/>
    <n v="25"/>
    <n v="25"/>
    <n v="30"/>
    <n v="205"/>
    <n v="0"/>
    <n v="0"/>
    <n v="2"/>
    <n v="0"/>
    <n v="0"/>
    <n v="0"/>
  </r>
  <r>
    <s v="Butterfree"/>
    <x v="15"/>
    <n v="12"/>
    <s v="12_0"/>
    <x v="0"/>
    <n v="1.1000000000000001"/>
    <n v="32"/>
    <x v="3"/>
    <s v="Flying"/>
    <s v="Compound Eyes"/>
    <m/>
    <s v="Tinted Lens"/>
    <s v="White"/>
    <n v="50"/>
    <n v="50"/>
    <n v="0"/>
    <n v="15"/>
    <s v="Bug"/>
    <m/>
    <n v="45"/>
    <n v="198"/>
    <n v="1000000"/>
    <x v="0"/>
    <m/>
    <m/>
    <n v="60"/>
    <n v="45"/>
    <n v="50"/>
    <n v="90"/>
    <n v="80"/>
    <n v="70"/>
    <n v="395"/>
    <n v="0"/>
    <n v="0"/>
    <n v="0"/>
    <n v="2"/>
    <n v="1"/>
    <n v="0"/>
  </r>
  <r>
    <s v="Weedle"/>
    <x v="16"/>
    <n v="13"/>
    <s v="13_0"/>
    <x v="0"/>
    <n v="0.3"/>
    <n v="3.2"/>
    <x v="3"/>
    <s v="Poison"/>
    <s v="Shield Dust"/>
    <m/>
    <s v="Run Away"/>
    <s v="Brown"/>
    <n v="50"/>
    <n v="50"/>
    <n v="0"/>
    <n v="15"/>
    <s v="Bug"/>
    <m/>
    <n v="255"/>
    <n v="39"/>
    <n v="1000000"/>
    <x v="0"/>
    <m/>
    <m/>
    <n v="40"/>
    <n v="35"/>
    <n v="30"/>
    <n v="20"/>
    <n v="20"/>
    <n v="50"/>
    <n v="195"/>
    <n v="0"/>
    <n v="0"/>
    <n v="0"/>
    <n v="0"/>
    <n v="0"/>
    <n v="1"/>
  </r>
  <r>
    <s v="Kakuna"/>
    <x v="17"/>
    <n v="14"/>
    <s v="14_0"/>
    <x v="0"/>
    <n v="0.6"/>
    <n v="10"/>
    <x v="3"/>
    <s v="Poison"/>
    <s v="Shed Skin"/>
    <m/>
    <m/>
    <s v="Yellow"/>
    <n v="50"/>
    <n v="50"/>
    <n v="0"/>
    <n v="15"/>
    <s v="Bug"/>
    <m/>
    <n v="120"/>
    <n v="72"/>
    <n v="1000000"/>
    <x v="0"/>
    <m/>
    <m/>
    <n v="45"/>
    <n v="25"/>
    <n v="50"/>
    <n v="25"/>
    <n v="25"/>
    <n v="35"/>
    <n v="205"/>
    <n v="0"/>
    <n v="0"/>
    <n v="2"/>
    <n v="0"/>
    <n v="0"/>
    <n v="0"/>
  </r>
  <r>
    <s v="Beedrill"/>
    <x v="18"/>
    <n v="15"/>
    <s v="15_0"/>
    <x v="0"/>
    <n v="1"/>
    <n v="29.5"/>
    <x v="3"/>
    <s v="Poison"/>
    <s v="Swarm"/>
    <m/>
    <s v="Sniper"/>
    <s v="Yellow"/>
    <n v="50"/>
    <n v="50"/>
    <n v="0"/>
    <n v="15"/>
    <s v="Bug"/>
    <m/>
    <n v="45"/>
    <n v="198"/>
    <n v="1000000"/>
    <x v="0"/>
    <m/>
    <m/>
    <n v="65"/>
    <n v="90"/>
    <n v="40"/>
    <n v="45"/>
    <n v="80"/>
    <n v="75"/>
    <n v="395"/>
    <n v="0"/>
    <n v="2"/>
    <n v="0"/>
    <n v="0"/>
    <n v="1"/>
    <n v="0"/>
  </r>
  <r>
    <s v="Beedrill"/>
    <x v="19"/>
    <n v="15"/>
    <s v="15_1"/>
    <x v="0"/>
    <n v="1.4"/>
    <n v="40.5"/>
    <x v="3"/>
    <s v="Poison"/>
    <s v="Adaptability"/>
    <m/>
    <m/>
    <s v="Yellow"/>
    <n v="50"/>
    <n v="50"/>
    <n v="0"/>
    <n v="15"/>
    <s v="Bug"/>
    <m/>
    <n v="45"/>
    <n v="223"/>
    <n v="1000000"/>
    <x v="0"/>
    <s v="Mega"/>
    <m/>
    <n v="65"/>
    <n v="150"/>
    <n v="40"/>
    <n v="15"/>
    <n v="80"/>
    <n v="145"/>
    <n v="495"/>
    <n v="0"/>
    <n v="2"/>
    <n v="0"/>
    <n v="0"/>
    <n v="1"/>
    <n v="0"/>
  </r>
  <r>
    <s v="Pidgey"/>
    <x v="20"/>
    <n v="16"/>
    <s v="16_0"/>
    <x v="0"/>
    <n v="0.3"/>
    <n v="1.8"/>
    <x v="4"/>
    <s v="Flying"/>
    <s v="Keen Eye"/>
    <s v="Tangled Feet"/>
    <s v="Big Pecks"/>
    <s v="Brown"/>
    <n v="50"/>
    <n v="50"/>
    <n v="0"/>
    <n v="15"/>
    <s v="Flying"/>
    <m/>
    <n v="255"/>
    <n v="50"/>
    <n v="1059860"/>
    <x v="0"/>
    <m/>
    <m/>
    <n v="40"/>
    <n v="45"/>
    <n v="40"/>
    <n v="35"/>
    <n v="35"/>
    <n v="56"/>
    <n v="251"/>
    <n v="0"/>
    <n v="0"/>
    <n v="0"/>
    <n v="0"/>
    <n v="0"/>
    <n v="1"/>
  </r>
  <r>
    <s v="Pidgeotto"/>
    <x v="21"/>
    <n v="17"/>
    <s v="17_0"/>
    <x v="0"/>
    <n v="1.1000000000000001"/>
    <n v="30"/>
    <x v="4"/>
    <s v="Flying"/>
    <s v="Keen Eye"/>
    <s v="Tangled Feet"/>
    <s v="Big Pecks"/>
    <s v="Brown"/>
    <n v="50"/>
    <n v="50"/>
    <n v="0"/>
    <n v="15"/>
    <s v="Flying"/>
    <m/>
    <n v="120"/>
    <n v="122"/>
    <n v="1059860"/>
    <x v="0"/>
    <m/>
    <m/>
    <n v="63"/>
    <n v="60"/>
    <n v="55"/>
    <n v="50"/>
    <n v="50"/>
    <n v="71"/>
    <n v="349"/>
    <n v="0"/>
    <n v="0"/>
    <n v="0"/>
    <n v="0"/>
    <n v="0"/>
    <n v="2"/>
  </r>
  <r>
    <s v="Pidgeot"/>
    <x v="22"/>
    <n v="18"/>
    <s v="18_0"/>
    <x v="0"/>
    <n v="1.5"/>
    <n v="39.5"/>
    <x v="4"/>
    <s v="Flying"/>
    <s v="Keen Eye"/>
    <s v="Tangled Feet"/>
    <s v="Big Pecks"/>
    <s v="Brown"/>
    <n v="50"/>
    <n v="50"/>
    <n v="0"/>
    <n v="15"/>
    <s v="Flying"/>
    <m/>
    <n v="45"/>
    <n v="240"/>
    <n v="1059860"/>
    <x v="0"/>
    <m/>
    <m/>
    <n v="83"/>
    <n v="80"/>
    <n v="75"/>
    <n v="70"/>
    <n v="70"/>
    <n v="101"/>
    <n v="479"/>
    <n v="0"/>
    <n v="0"/>
    <n v="0"/>
    <n v="0"/>
    <n v="0"/>
    <n v="3"/>
  </r>
  <r>
    <s v="Pidgeot"/>
    <x v="23"/>
    <n v="18"/>
    <s v="18_1"/>
    <x v="0"/>
    <n v="2.2000000000000002"/>
    <n v="50.5"/>
    <x v="4"/>
    <s v="Flying"/>
    <s v="No Guard"/>
    <m/>
    <m/>
    <s v="Brown"/>
    <n v="50"/>
    <n v="50"/>
    <n v="0"/>
    <n v="15"/>
    <s v="Flying"/>
    <m/>
    <n v="45"/>
    <n v="261"/>
    <n v="1059860"/>
    <x v="0"/>
    <s v="Mega"/>
    <m/>
    <n v="83"/>
    <n v="80"/>
    <n v="80"/>
    <n v="135"/>
    <n v="80"/>
    <n v="121"/>
    <n v="579"/>
    <n v="0"/>
    <n v="0"/>
    <n v="0"/>
    <n v="0"/>
    <n v="0"/>
    <n v="3"/>
  </r>
  <r>
    <s v="Rattata"/>
    <x v="24"/>
    <n v="19"/>
    <s v="19_0"/>
    <x v="0"/>
    <n v="0.3"/>
    <n v="3.5"/>
    <x v="4"/>
    <m/>
    <s v="Run Away"/>
    <s v="Guts"/>
    <s v="Hustle"/>
    <s v="Purple"/>
    <n v="50"/>
    <n v="50"/>
    <n v="0"/>
    <n v="15"/>
    <s v="Ground"/>
    <m/>
    <n v="255"/>
    <n v="51"/>
    <n v="1000000"/>
    <x v="0"/>
    <m/>
    <m/>
    <n v="30"/>
    <n v="56"/>
    <n v="35"/>
    <n v="25"/>
    <n v="35"/>
    <n v="72"/>
    <n v="253"/>
    <n v="0"/>
    <n v="0"/>
    <n v="0"/>
    <n v="0"/>
    <n v="0"/>
    <n v="1"/>
  </r>
  <r>
    <s v="Rattata"/>
    <x v="25"/>
    <n v="19"/>
    <s v="19_1"/>
    <x v="1"/>
    <n v="0.3"/>
    <n v="3.8"/>
    <x v="5"/>
    <s v="Normal"/>
    <s v="Gluttony"/>
    <s v="Hustle"/>
    <s v="Thick Fat"/>
    <s v="Black"/>
    <n v="50"/>
    <n v="50"/>
    <n v="0"/>
    <n v="15"/>
    <s v="Ground"/>
    <m/>
    <n v="255"/>
    <n v="51"/>
    <n v="1000000"/>
    <x v="0"/>
    <m/>
    <s v="Alolan"/>
    <n v="30"/>
    <n v="56"/>
    <n v="35"/>
    <n v="25"/>
    <n v="35"/>
    <n v="72"/>
    <n v="253"/>
    <n v="0"/>
    <n v="0"/>
    <n v="0"/>
    <n v="0"/>
    <n v="0"/>
    <n v="1"/>
  </r>
  <r>
    <s v="Raticate"/>
    <x v="26"/>
    <n v="20"/>
    <s v="20_0"/>
    <x v="0"/>
    <n v="0.7"/>
    <n v="18.5"/>
    <x v="4"/>
    <m/>
    <s v="Run Away"/>
    <s v="Guts"/>
    <s v="Hustle"/>
    <s v="Brown"/>
    <n v="50"/>
    <n v="50"/>
    <n v="0"/>
    <n v="15"/>
    <s v="Ground"/>
    <m/>
    <n v="127"/>
    <n v="145"/>
    <n v="1000000"/>
    <x v="0"/>
    <m/>
    <m/>
    <n v="55"/>
    <n v="81"/>
    <n v="60"/>
    <n v="50"/>
    <n v="70"/>
    <n v="97"/>
    <n v="413"/>
    <n v="0"/>
    <n v="0"/>
    <n v="0"/>
    <n v="0"/>
    <n v="0"/>
    <n v="2"/>
  </r>
  <r>
    <s v="Raticate"/>
    <x v="27"/>
    <n v="20"/>
    <s v="20_1"/>
    <x v="1"/>
    <n v="0.7"/>
    <n v="25.5"/>
    <x v="5"/>
    <s v="Normal"/>
    <s v="Gluttony"/>
    <s v="Hustle"/>
    <s v="Thick Fat"/>
    <s v="Black"/>
    <n v="50"/>
    <n v="50"/>
    <n v="0"/>
    <n v="15"/>
    <s v="Ground"/>
    <m/>
    <n v="127"/>
    <n v="145"/>
    <n v="1000000"/>
    <x v="0"/>
    <m/>
    <s v="Alolan"/>
    <n v="75"/>
    <n v="71"/>
    <n v="70"/>
    <n v="40"/>
    <n v="80"/>
    <n v="77"/>
    <n v="413"/>
    <n v="0"/>
    <n v="0"/>
    <n v="0"/>
    <n v="0"/>
    <n v="0"/>
    <n v="2"/>
  </r>
  <r>
    <s v="Spearow"/>
    <x v="28"/>
    <n v="21"/>
    <s v="21_0"/>
    <x v="0"/>
    <n v="0.3"/>
    <n v="2"/>
    <x v="4"/>
    <s v="Flying"/>
    <s v="Keen Eye"/>
    <m/>
    <s v="Sniper"/>
    <s v="Brown"/>
    <n v="50"/>
    <n v="50"/>
    <n v="0"/>
    <n v="15"/>
    <s v="Flying"/>
    <m/>
    <n v="255"/>
    <n v="52"/>
    <n v="1000000"/>
    <x v="0"/>
    <m/>
    <m/>
    <n v="40"/>
    <n v="60"/>
    <n v="30"/>
    <n v="31"/>
    <n v="31"/>
    <n v="70"/>
    <n v="262"/>
    <n v="0"/>
    <n v="0"/>
    <n v="0"/>
    <n v="0"/>
    <n v="0"/>
    <n v="1"/>
  </r>
  <r>
    <s v="Fearow"/>
    <x v="29"/>
    <n v="22"/>
    <s v="22_0"/>
    <x v="0"/>
    <n v="1.2"/>
    <n v="38"/>
    <x v="4"/>
    <s v="Flying"/>
    <s v="Keen Eye"/>
    <m/>
    <s v="Sniper"/>
    <s v="Brown"/>
    <n v="50"/>
    <n v="50"/>
    <n v="0"/>
    <n v="15"/>
    <s v="Flying"/>
    <m/>
    <n v="90"/>
    <n v="155"/>
    <n v="1000000"/>
    <x v="0"/>
    <m/>
    <m/>
    <n v="65"/>
    <n v="90"/>
    <n v="65"/>
    <n v="61"/>
    <n v="61"/>
    <n v="100"/>
    <n v="442"/>
    <n v="0"/>
    <n v="0"/>
    <n v="0"/>
    <n v="0"/>
    <n v="0"/>
    <n v="2"/>
  </r>
  <r>
    <s v="Ekans"/>
    <x v="30"/>
    <n v="23"/>
    <s v="23_0"/>
    <x v="0"/>
    <n v="2"/>
    <n v="6.9"/>
    <x v="6"/>
    <m/>
    <s v="Intimidate"/>
    <s v="Shed Skin"/>
    <s v="Unnerve"/>
    <s v="Purple"/>
    <n v="50"/>
    <n v="50"/>
    <n v="0"/>
    <n v="20"/>
    <s v="Ground"/>
    <s v="Dragon"/>
    <n v="255"/>
    <n v="58"/>
    <n v="1000000"/>
    <x v="0"/>
    <m/>
    <m/>
    <n v="35"/>
    <n v="60"/>
    <n v="44"/>
    <n v="40"/>
    <n v="54"/>
    <n v="55"/>
    <n v="288"/>
    <n v="0"/>
    <n v="1"/>
    <n v="0"/>
    <n v="0"/>
    <n v="0"/>
    <n v="0"/>
  </r>
  <r>
    <s v="Arbok"/>
    <x v="31"/>
    <n v="24"/>
    <s v="24_0"/>
    <x v="0"/>
    <n v="3.5"/>
    <n v="65"/>
    <x v="6"/>
    <m/>
    <s v="Intimidate"/>
    <s v="Shed Skin"/>
    <s v="Unnerve"/>
    <s v="Purple"/>
    <n v="50"/>
    <n v="50"/>
    <n v="0"/>
    <n v="20"/>
    <s v="Ground"/>
    <s v="Dragon"/>
    <n v="90"/>
    <n v="157"/>
    <n v="1000000"/>
    <x v="0"/>
    <m/>
    <m/>
    <n v="60"/>
    <n v="95"/>
    <n v="69"/>
    <n v="65"/>
    <n v="79"/>
    <n v="80"/>
    <n v="448"/>
    <n v="0"/>
    <n v="2"/>
    <n v="0"/>
    <n v="0"/>
    <n v="0"/>
    <n v="0"/>
  </r>
  <r>
    <s v="Pikachu"/>
    <x v="32"/>
    <n v="25"/>
    <s v="25_0"/>
    <x v="0"/>
    <n v="0.4"/>
    <n v="6"/>
    <x v="7"/>
    <m/>
    <s v="Static"/>
    <m/>
    <s v="Lightning Rod"/>
    <s v="Yellow"/>
    <n v="50"/>
    <n v="50"/>
    <n v="0"/>
    <n v="10"/>
    <s v="Ground"/>
    <s v="Fairy"/>
    <n v="190"/>
    <n v="112"/>
    <n v="1000000"/>
    <x v="0"/>
    <m/>
    <m/>
    <n v="35"/>
    <n v="55"/>
    <n v="40"/>
    <n v="50"/>
    <n v="50"/>
    <n v="90"/>
    <n v="320"/>
    <n v="0"/>
    <n v="0"/>
    <n v="0"/>
    <n v="0"/>
    <n v="0"/>
    <n v="2"/>
  </r>
  <r>
    <s v="Raichu"/>
    <x v="33"/>
    <n v="26"/>
    <s v="26_0"/>
    <x v="0"/>
    <n v="0.8"/>
    <n v="30"/>
    <x v="7"/>
    <m/>
    <s v="Static"/>
    <m/>
    <s v="Lightning Rod"/>
    <s v="Yellow"/>
    <n v="50"/>
    <n v="50"/>
    <n v="0"/>
    <n v="10"/>
    <s v="Ground"/>
    <s v="Fairy"/>
    <n v="75"/>
    <n v="243"/>
    <n v="1000000"/>
    <x v="0"/>
    <m/>
    <m/>
    <n v="60"/>
    <n v="90"/>
    <n v="55"/>
    <n v="90"/>
    <n v="80"/>
    <n v="110"/>
    <n v="485"/>
    <n v="0"/>
    <n v="0"/>
    <n v="0"/>
    <n v="0"/>
    <n v="0"/>
    <n v="3"/>
  </r>
  <r>
    <s v="Raichu"/>
    <x v="34"/>
    <n v="26"/>
    <s v="26_1"/>
    <x v="1"/>
    <n v="0.7"/>
    <n v="21"/>
    <x v="7"/>
    <s v="Psychic"/>
    <s v="Surge Surfer"/>
    <m/>
    <m/>
    <s v="Brown"/>
    <n v="50"/>
    <n v="50"/>
    <n v="0"/>
    <n v="10"/>
    <s v="Ground"/>
    <s v="Fairy"/>
    <n v="75"/>
    <n v="243"/>
    <n v="1000000"/>
    <x v="0"/>
    <m/>
    <s v="Alolan"/>
    <n v="60"/>
    <n v="85"/>
    <n v="50"/>
    <n v="95"/>
    <n v="85"/>
    <n v="110"/>
    <n v="485"/>
    <n v="0"/>
    <n v="0"/>
    <n v="0"/>
    <n v="0"/>
    <n v="0"/>
    <n v="3"/>
  </r>
  <r>
    <s v="Sandshrew"/>
    <x v="35"/>
    <n v="27"/>
    <s v="27_0"/>
    <x v="0"/>
    <n v="0.6"/>
    <n v="12"/>
    <x v="8"/>
    <m/>
    <s v="Sand Veil"/>
    <m/>
    <s v="Sand Rush"/>
    <s v="Yellow"/>
    <n v="50"/>
    <n v="50"/>
    <n v="0"/>
    <n v="20"/>
    <s v="Ground"/>
    <m/>
    <n v="255"/>
    <n v="60"/>
    <n v="1000000"/>
    <x v="0"/>
    <m/>
    <m/>
    <n v="50"/>
    <n v="75"/>
    <n v="85"/>
    <n v="20"/>
    <n v="30"/>
    <n v="40"/>
    <n v="300"/>
    <n v="0"/>
    <n v="0"/>
    <n v="1"/>
    <n v="0"/>
    <n v="0"/>
    <n v="0"/>
  </r>
  <r>
    <s v="Sandshrew"/>
    <x v="36"/>
    <n v="27"/>
    <s v="27_1"/>
    <x v="1"/>
    <n v="0.7"/>
    <n v="40"/>
    <x v="9"/>
    <s v="Steel"/>
    <s v="Snow Cloak"/>
    <m/>
    <s v="Slush Rush"/>
    <s v="White"/>
    <n v="50"/>
    <n v="50"/>
    <n v="0"/>
    <n v="20"/>
    <s v="Ground"/>
    <m/>
    <n v="255"/>
    <n v="60"/>
    <n v="1000000"/>
    <x v="0"/>
    <m/>
    <s v="Alolan"/>
    <n v="50"/>
    <n v="75"/>
    <n v="90"/>
    <n v="10"/>
    <n v="35"/>
    <n v="40"/>
    <n v="300"/>
    <n v="0"/>
    <n v="0"/>
    <n v="1"/>
    <n v="0"/>
    <n v="0"/>
    <n v="0"/>
  </r>
  <r>
    <s v="Sandslash"/>
    <x v="37"/>
    <n v="28"/>
    <s v="28_0"/>
    <x v="0"/>
    <n v="1"/>
    <n v="29.5"/>
    <x v="8"/>
    <m/>
    <s v="Sand Veil"/>
    <m/>
    <s v="Sand Rush"/>
    <s v="Yellow"/>
    <n v="50"/>
    <n v="50"/>
    <n v="0"/>
    <n v="20"/>
    <s v="Ground"/>
    <m/>
    <n v="90"/>
    <n v="158"/>
    <n v="1000000"/>
    <x v="0"/>
    <m/>
    <m/>
    <n v="75"/>
    <n v="100"/>
    <n v="110"/>
    <n v="45"/>
    <n v="55"/>
    <n v="65"/>
    <n v="450"/>
    <n v="0"/>
    <n v="0"/>
    <n v="2"/>
    <n v="0"/>
    <n v="0"/>
    <n v="0"/>
  </r>
  <r>
    <s v="Sandslash"/>
    <x v="38"/>
    <n v="28"/>
    <s v="28_1"/>
    <x v="1"/>
    <n v="1.2"/>
    <n v="55"/>
    <x v="9"/>
    <s v="Steel"/>
    <s v="Snow Cloak"/>
    <m/>
    <s v="Slush Rush"/>
    <s v="Blue"/>
    <n v="50"/>
    <n v="50"/>
    <n v="0"/>
    <n v="20"/>
    <s v="Ground"/>
    <m/>
    <n v="90"/>
    <n v="158"/>
    <n v="1000000"/>
    <x v="0"/>
    <m/>
    <s v="Alolan"/>
    <n v="75"/>
    <n v="100"/>
    <n v="120"/>
    <n v="25"/>
    <n v="65"/>
    <n v="65"/>
    <n v="450"/>
    <n v="0"/>
    <n v="0"/>
    <n v="2"/>
    <n v="0"/>
    <n v="0"/>
    <n v="0"/>
  </r>
  <r>
    <s v="Nidoran F"/>
    <x v="39"/>
    <n v="29"/>
    <s v="29_0"/>
    <x v="0"/>
    <n v="0.4"/>
    <n v="7"/>
    <x v="6"/>
    <m/>
    <s v="Poison Point"/>
    <s v="Rivalry"/>
    <s v="Hustle"/>
    <s v="Blue"/>
    <n v="0"/>
    <n v="100"/>
    <n v="0"/>
    <n v="20"/>
    <s v="Monster"/>
    <s v="Ground"/>
    <n v="235"/>
    <n v="55"/>
    <n v="1059860"/>
    <x v="0"/>
    <m/>
    <m/>
    <n v="55"/>
    <n v="47"/>
    <n v="52"/>
    <n v="40"/>
    <n v="40"/>
    <n v="41"/>
    <n v="275"/>
    <n v="1"/>
    <n v="0"/>
    <n v="0"/>
    <n v="0"/>
    <n v="0"/>
    <n v="0"/>
  </r>
  <r>
    <s v="Nidorina"/>
    <x v="40"/>
    <n v="30"/>
    <s v="30_0"/>
    <x v="0"/>
    <n v="0.8"/>
    <n v="20"/>
    <x v="6"/>
    <m/>
    <s v="Poison Point"/>
    <s v="Rivalry"/>
    <s v="Hustle"/>
    <s v="Blue"/>
    <n v="0"/>
    <n v="100"/>
    <n v="0"/>
    <n v="20"/>
    <s v="Undiscovered"/>
    <m/>
    <n v="120"/>
    <n v="128"/>
    <n v="1059860"/>
    <x v="0"/>
    <m/>
    <m/>
    <n v="70"/>
    <n v="62"/>
    <n v="67"/>
    <n v="55"/>
    <n v="55"/>
    <n v="56"/>
    <n v="365"/>
    <n v="2"/>
    <n v="0"/>
    <n v="0"/>
    <n v="0"/>
    <n v="0"/>
    <n v="0"/>
  </r>
  <r>
    <s v="Nidoqueen"/>
    <x v="41"/>
    <n v="31"/>
    <s v="31_0"/>
    <x v="0"/>
    <n v="1.3"/>
    <n v="60"/>
    <x v="6"/>
    <s v="Ground"/>
    <s v="Poison Point"/>
    <s v="Rivalry"/>
    <s v="Sheer Force"/>
    <s v="Blue"/>
    <n v="0"/>
    <n v="100"/>
    <n v="0"/>
    <n v="20"/>
    <s v="Undiscovered"/>
    <m/>
    <n v="45"/>
    <n v="253"/>
    <n v="1059860"/>
    <x v="0"/>
    <m/>
    <m/>
    <n v="90"/>
    <n v="92"/>
    <n v="87"/>
    <n v="75"/>
    <n v="85"/>
    <n v="76"/>
    <n v="505"/>
    <n v="3"/>
    <n v="0"/>
    <n v="0"/>
    <n v="0"/>
    <n v="0"/>
    <n v="0"/>
  </r>
  <r>
    <s v="Nidoran M"/>
    <x v="42"/>
    <n v="32"/>
    <s v="32_0"/>
    <x v="0"/>
    <n v="0.5"/>
    <n v="9"/>
    <x v="6"/>
    <m/>
    <s v="Poison Point"/>
    <s v="Rivalry"/>
    <s v="Hustle"/>
    <s v="Purple"/>
    <n v="100"/>
    <n v="0"/>
    <n v="0"/>
    <n v="20"/>
    <s v="Monster"/>
    <s v="Ground"/>
    <n v="235"/>
    <n v="55"/>
    <n v="1059860"/>
    <x v="0"/>
    <m/>
    <m/>
    <n v="46"/>
    <n v="57"/>
    <n v="40"/>
    <n v="40"/>
    <n v="40"/>
    <n v="50"/>
    <n v="273"/>
    <n v="0"/>
    <n v="1"/>
    <n v="0"/>
    <n v="0"/>
    <n v="0"/>
    <n v="0"/>
  </r>
  <r>
    <s v="Nidorino"/>
    <x v="43"/>
    <n v="33"/>
    <s v="33_0"/>
    <x v="0"/>
    <n v="0.9"/>
    <n v="19.5"/>
    <x v="6"/>
    <m/>
    <s v="Poison Point"/>
    <s v="Rivalry"/>
    <s v="Hustle"/>
    <s v="Purple"/>
    <n v="100"/>
    <n v="0"/>
    <n v="0"/>
    <n v="20"/>
    <s v="Monster"/>
    <s v="Ground"/>
    <n v="120"/>
    <n v="128"/>
    <n v="1059860"/>
    <x v="0"/>
    <m/>
    <m/>
    <n v="61"/>
    <n v="72"/>
    <n v="57"/>
    <n v="55"/>
    <n v="55"/>
    <n v="65"/>
    <n v="365"/>
    <n v="0"/>
    <n v="2"/>
    <n v="0"/>
    <n v="0"/>
    <n v="0"/>
    <n v="0"/>
  </r>
  <r>
    <s v="Nidoking"/>
    <x v="44"/>
    <n v="34"/>
    <s v="34_0"/>
    <x v="0"/>
    <n v="1.4"/>
    <n v="62"/>
    <x v="6"/>
    <s v="Ground"/>
    <s v="Poison Point"/>
    <s v="Rivalry"/>
    <s v="Sheer Force"/>
    <s v="Purple"/>
    <n v="100"/>
    <n v="0"/>
    <n v="0"/>
    <n v="20"/>
    <s v="Monster"/>
    <s v="Ground"/>
    <n v="45"/>
    <n v="253"/>
    <n v="1059860"/>
    <x v="0"/>
    <m/>
    <m/>
    <n v="81"/>
    <n v="102"/>
    <n v="77"/>
    <n v="85"/>
    <n v="75"/>
    <n v="85"/>
    <n v="505"/>
    <n v="0"/>
    <n v="3"/>
    <n v="0"/>
    <n v="0"/>
    <n v="0"/>
    <n v="0"/>
  </r>
  <r>
    <s v="Clefairy"/>
    <x v="45"/>
    <n v="35"/>
    <s v="35_0"/>
    <x v="0"/>
    <n v="0.6"/>
    <n v="7.5"/>
    <x v="10"/>
    <m/>
    <s v="Cute Charm"/>
    <s v="Magic Guard"/>
    <s v="Friend Guard"/>
    <s v="Pink"/>
    <n v="25"/>
    <n v="75"/>
    <n v="0"/>
    <n v="10"/>
    <s v="Fairy"/>
    <m/>
    <n v="150"/>
    <n v="113"/>
    <n v="800000"/>
    <x v="0"/>
    <m/>
    <m/>
    <n v="70"/>
    <n v="45"/>
    <n v="48"/>
    <n v="60"/>
    <n v="65"/>
    <n v="35"/>
    <n v="323"/>
    <n v="2"/>
    <n v="0"/>
    <n v="0"/>
    <n v="0"/>
    <n v="0"/>
    <n v="0"/>
  </r>
  <r>
    <s v="Clefable"/>
    <x v="46"/>
    <n v="36"/>
    <s v="36_0"/>
    <x v="0"/>
    <n v="1.3"/>
    <n v="40"/>
    <x v="10"/>
    <m/>
    <s v="Cute Charm"/>
    <s v="Magic Guard"/>
    <s v="Unaware"/>
    <s v="Pink"/>
    <n v="25"/>
    <n v="75"/>
    <n v="0"/>
    <n v="10"/>
    <s v="Fairy"/>
    <m/>
    <n v="25"/>
    <n v="242"/>
    <n v="800000"/>
    <x v="0"/>
    <m/>
    <m/>
    <n v="95"/>
    <n v="70"/>
    <n v="73"/>
    <n v="95"/>
    <n v="90"/>
    <n v="60"/>
    <n v="483"/>
    <n v="3"/>
    <n v="0"/>
    <n v="0"/>
    <n v="0"/>
    <n v="0"/>
    <n v="0"/>
  </r>
  <r>
    <s v="Vulpix"/>
    <x v="47"/>
    <n v="37"/>
    <s v="37_0"/>
    <x v="0"/>
    <n v="0.6"/>
    <n v="9.9"/>
    <x v="1"/>
    <m/>
    <s v="Flash Fire"/>
    <m/>
    <s v="Drought"/>
    <s v="Brown"/>
    <n v="25"/>
    <n v="75"/>
    <n v="0"/>
    <n v="20"/>
    <s v="Ground"/>
    <m/>
    <n v="190"/>
    <n v="60"/>
    <n v="1000000"/>
    <x v="0"/>
    <m/>
    <m/>
    <n v="38"/>
    <n v="41"/>
    <n v="40"/>
    <n v="50"/>
    <n v="65"/>
    <n v="65"/>
    <n v="299"/>
    <n v="0"/>
    <n v="0"/>
    <n v="0"/>
    <n v="0"/>
    <n v="0"/>
    <n v="1"/>
  </r>
  <r>
    <s v="Vulpix"/>
    <x v="48"/>
    <n v="37"/>
    <s v="37_1"/>
    <x v="1"/>
    <n v="0.6"/>
    <n v="9.9"/>
    <x v="9"/>
    <m/>
    <s v="Snow Cloak"/>
    <m/>
    <s v="Snow Warning"/>
    <s v="White"/>
    <n v="25"/>
    <n v="75"/>
    <n v="0"/>
    <n v="20"/>
    <s v="Ground"/>
    <m/>
    <n v="190"/>
    <n v="60"/>
    <n v="1000000"/>
    <x v="0"/>
    <m/>
    <s v="Alolan"/>
    <n v="38"/>
    <n v="41"/>
    <n v="40"/>
    <n v="50"/>
    <n v="65"/>
    <n v="65"/>
    <n v="299"/>
    <n v="0"/>
    <n v="0"/>
    <n v="0"/>
    <n v="0"/>
    <n v="0"/>
    <n v="1"/>
  </r>
  <r>
    <s v="Ninetales"/>
    <x v="49"/>
    <n v="38"/>
    <s v="38_0"/>
    <x v="0"/>
    <n v="1.1000000000000001"/>
    <n v="19.899999999999999"/>
    <x v="1"/>
    <m/>
    <s v="Flash Fire"/>
    <m/>
    <s v="Drought"/>
    <s v="Yellow"/>
    <n v="25"/>
    <n v="75"/>
    <n v="0"/>
    <n v="20"/>
    <s v="Ground"/>
    <m/>
    <n v="75"/>
    <n v="177"/>
    <n v="1000000"/>
    <x v="0"/>
    <m/>
    <m/>
    <n v="73"/>
    <n v="76"/>
    <n v="75"/>
    <n v="81"/>
    <n v="100"/>
    <n v="100"/>
    <n v="505"/>
    <n v="0"/>
    <n v="0"/>
    <n v="0"/>
    <n v="0"/>
    <n v="1"/>
    <n v="1"/>
  </r>
  <r>
    <s v="Ninetales"/>
    <x v="50"/>
    <n v="38"/>
    <s v="38_1"/>
    <x v="1"/>
    <n v="1.1000000000000001"/>
    <n v="19.899999999999999"/>
    <x v="9"/>
    <s v="Fairy"/>
    <s v="Snow Cloak"/>
    <m/>
    <s v="Snow Warning"/>
    <s v="Blue"/>
    <n v="25"/>
    <n v="75"/>
    <n v="0"/>
    <n v="20"/>
    <s v="Ground"/>
    <m/>
    <n v="75"/>
    <n v="177"/>
    <n v="1000000"/>
    <x v="0"/>
    <m/>
    <s v="Alolan"/>
    <n v="73"/>
    <n v="67"/>
    <n v="75"/>
    <n v="81"/>
    <n v="100"/>
    <n v="109"/>
    <n v="505"/>
    <n v="0"/>
    <n v="0"/>
    <n v="0"/>
    <n v="0"/>
    <n v="0"/>
    <n v="2"/>
  </r>
  <r>
    <s v="Jigglypuff"/>
    <x v="51"/>
    <n v="39"/>
    <s v="39_0"/>
    <x v="0"/>
    <n v="0.5"/>
    <n v="5.5"/>
    <x v="4"/>
    <s v="Fairy"/>
    <s v="Cute Charm"/>
    <s v="Competitive"/>
    <s v="Friend Guard"/>
    <s v="Pink"/>
    <n v="25"/>
    <n v="75"/>
    <n v="0"/>
    <n v="10"/>
    <s v="Fairy"/>
    <m/>
    <n v="170"/>
    <n v="95"/>
    <n v="800000"/>
    <x v="0"/>
    <m/>
    <m/>
    <n v="115"/>
    <n v="45"/>
    <n v="20"/>
    <n v="45"/>
    <n v="25"/>
    <n v="20"/>
    <n v="270"/>
    <n v="2"/>
    <n v="0"/>
    <n v="0"/>
    <n v="0"/>
    <n v="0"/>
    <n v="0"/>
  </r>
  <r>
    <s v="Wigglytuff"/>
    <x v="52"/>
    <n v="40"/>
    <s v="40_0"/>
    <x v="0"/>
    <n v="1"/>
    <n v="12"/>
    <x v="4"/>
    <s v="Fairy"/>
    <s v="Cute Charm"/>
    <s v="Competitive"/>
    <s v="Frisk"/>
    <s v="Pink"/>
    <n v="25"/>
    <n v="75"/>
    <n v="0"/>
    <n v="10"/>
    <s v="Fairy"/>
    <m/>
    <n v="50"/>
    <n v="218"/>
    <n v="800000"/>
    <x v="0"/>
    <m/>
    <m/>
    <n v="140"/>
    <n v="70"/>
    <n v="45"/>
    <n v="85"/>
    <n v="50"/>
    <n v="45"/>
    <n v="435"/>
    <n v="3"/>
    <n v="0"/>
    <n v="0"/>
    <n v="0"/>
    <n v="0"/>
    <n v="0"/>
  </r>
  <r>
    <s v="Zubat"/>
    <x v="53"/>
    <n v="41"/>
    <s v="41_0"/>
    <x v="0"/>
    <n v="0.8"/>
    <n v="7.5"/>
    <x v="6"/>
    <s v="Flying"/>
    <s v="Inner Focus"/>
    <m/>
    <s v="Infiltrator"/>
    <s v="Purple"/>
    <n v="50"/>
    <n v="50"/>
    <n v="0"/>
    <n v="15"/>
    <s v="Flying"/>
    <m/>
    <n v="255"/>
    <n v="49"/>
    <n v="1000000"/>
    <x v="0"/>
    <m/>
    <m/>
    <n v="40"/>
    <n v="45"/>
    <n v="35"/>
    <n v="30"/>
    <n v="40"/>
    <n v="55"/>
    <n v="245"/>
    <n v="0"/>
    <n v="0"/>
    <n v="0"/>
    <n v="0"/>
    <n v="0"/>
    <n v="1"/>
  </r>
  <r>
    <s v="Golbat"/>
    <x v="54"/>
    <n v="42"/>
    <s v="42_0"/>
    <x v="0"/>
    <n v="1.6"/>
    <n v="55"/>
    <x v="6"/>
    <s v="Flying"/>
    <s v="Inner Focus"/>
    <m/>
    <s v="Infiltrator"/>
    <s v="Purple"/>
    <n v="50"/>
    <n v="50"/>
    <n v="0"/>
    <n v="15"/>
    <s v="Flying"/>
    <m/>
    <n v="90"/>
    <n v="159"/>
    <n v="1000000"/>
    <x v="0"/>
    <m/>
    <m/>
    <n v="75"/>
    <n v="80"/>
    <n v="70"/>
    <n v="65"/>
    <n v="75"/>
    <n v="90"/>
    <n v="455"/>
    <n v="0"/>
    <n v="0"/>
    <n v="0"/>
    <n v="0"/>
    <n v="0"/>
    <n v="2"/>
  </r>
  <r>
    <s v="Oddish"/>
    <x v="55"/>
    <n v="43"/>
    <s v="43_0"/>
    <x v="0"/>
    <n v="0.5"/>
    <n v="5.4"/>
    <x v="0"/>
    <s v="Poison"/>
    <s v="Chlorophyll"/>
    <m/>
    <s v="Run Away"/>
    <s v="Blue"/>
    <n v="50"/>
    <n v="50"/>
    <n v="0"/>
    <n v="20"/>
    <s v="Grass"/>
    <m/>
    <n v="255"/>
    <n v="64"/>
    <n v="1059860"/>
    <x v="0"/>
    <m/>
    <m/>
    <n v="45"/>
    <n v="50"/>
    <n v="55"/>
    <n v="75"/>
    <n v="65"/>
    <n v="30"/>
    <n v="320"/>
    <n v="0"/>
    <n v="0"/>
    <n v="0"/>
    <n v="1"/>
    <n v="0"/>
    <n v="0"/>
  </r>
  <r>
    <s v="Gloom"/>
    <x v="56"/>
    <n v="44"/>
    <s v="44_0"/>
    <x v="0"/>
    <n v="0.8"/>
    <n v="8.6"/>
    <x v="0"/>
    <s v="Poison"/>
    <s v="Chlorophyll"/>
    <m/>
    <s v="Stench"/>
    <s v="Blue"/>
    <n v="50"/>
    <n v="50"/>
    <n v="0"/>
    <n v="20"/>
    <s v="Grass"/>
    <m/>
    <n v="120"/>
    <n v="138"/>
    <n v="1059860"/>
    <x v="0"/>
    <m/>
    <m/>
    <n v="60"/>
    <n v="65"/>
    <n v="70"/>
    <n v="85"/>
    <n v="75"/>
    <n v="40"/>
    <n v="395"/>
    <n v="0"/>
    <n v="0"/>
    <n v="0"/>
    <n v="2"/>
    <n v="0"/>
    <n v="0"/>
  </r>
  <r>
    <s v="Vileplume"/>
    <x v="57"/>
    <n v="45"/>
    <s v="45_0"/>
    <x v="0"/>
    <n v="1.2"/>
    <n v="18.600000000000001"/>
    <x v="0"/>
    <s v="Poison"/>
    <s v="Chlorophyll"/>
    <m/>
    <s v="Effect Spore"/>
    <s v="Red"/>
    <n v="50"/>
    <n v="50"/>
    <n v="0"/>
    <n v="20"/>
    <s v="Grass"/>
    <m/>
    <n v="45"/>
    <n v="245"/>
    <n v="1059860"/>
    <x v="0"/>
    <m/>
    <m/>
    <n v="75"/>
    <n v="80"/>
    <n v="85"/>
    <n v="110"/>
    <n v="90"/>
    <n v="50"/>
    <n v="490"/>
    <n v="0"/>
    <n v="0"/>
    <n v="0"/>
    <n v="3"/>
    <n v="0"/>
    <n v="0"/>
  </r>
  <r>
    <s v="Paras"/>
    <x v="58"/>
    <n v="46"/>
    <s v="46_0"/>
    <x v="0"/>
    <n v="0.3"/>
    <n v="5.4"/>
    <x v="3"/>
    <s v="Grass"/>
    <s v="Effect Spore"/>
    <s v="Dry Skin"/>
    <s v="Damp"/>
    <s v="Red"/>
    <n v="50"/>
    <n v="50"/>
    <n v="0"/>
    <n v="20"/>
    <s v="Bug"/>
    <s v="Grass"/>
    <n v="190"/>
    <n v="57"/>
    <n v="1000000"/>
    <x v="0"/>
    <m/>
    <m/>
    <n v="35"/>
    <n v="70"/>
    <n v="55"/>
    <n v="45"/>
    <n v="55"/>
    <n v="25"/>
    <n v="285"/>
    <n v="0"/>
    <n v="1"/>
    <n v="0"/>
    <n v="0"/>
    <n v="0"/>
    <n v="0"/>
  </r>
  <r>
    <s v="Parasect"/>
    <x v="59"/>
    <n v="47"/>
    <s v="47_0"/>
    <x v="0"/>
    <n v="1"/>
    <n v="29.5"/>
    <x v="3"/>
    <s v="Grass"/>
    <s v="Effect Spore"/>
    <s v="Dry Skin"/>
    <s v="Damp"/>
    <s v="Red"/>
    <n v="50"/>
    <n v="50"/>
    <n v="0"/>
    <n v="20"/>
    <s v="Bug"/>
    <s v="Grass"/>
    <n v="75"/>
    <n v="142"/>
    <n v="1000000"/>
    <x v="0"/>
    <m/>
    <m/>
    <n v="60"/>
    <n v="95"/>
    <n v="80"/>
    <n v="60"/>
    <n v="80"/>
    <n v="30"/>
    <n v="405"/>
    <n v="0"/>
    <n v="2"/>
    <n v="1"/>
    <n v="0"/>
    <n v="0"/>
    <n v="0"/>
  </r>
  <r>
    <s v="Venonat"/>
    <x v="60"/>
    <n v="48"/>
    <s v="48_0"/>
    <x v="0"/>
    <n v="1"/>
    <n v="30"/>
    <x v="3"/>
    <s v="Poison"/>
    <s v="Compound Eyes"/>
    <s v="Tinted Lens"/>
    <s v="Run Away"/>
    <s v="Purple"/>
    <n v="50"/>
    <n v="50"/>
    <n v="0"/>
    <n v="20"/>
    <s v="Bug"/>
    <m/>
    <n v="190"/>
    <n v="61"/>
    <n v="1000000"/>
    <x v="0"/>
    <m/>
    <m/>
    <n v="60"/>
    <n v="55"/>
    <n v="50"/>
    <n v="40"/>
    <n v="55"/>
    <n v="45"/>
    <n v="305"/>
    <n v="0"/>
    <n v="0"/>
    <n v="0"/>
    <n v="0"/>
    <n v="1"/>
    <n v="0"/>
  </r>
  <r>
    <s v="Venomoth"/>
    <x v="61"/>
    <n v="49"/>
    <s v="49_0"/>
    <x v="0"/>
    <n v="1.5"/>
    <n v="12.5"/>
    <x v="3"/>
    <s v="Poison"/>
    <s v="Shield Dust"/>
    <s v="Tinted Lens"/>
    <s v="Wonder Skin"/>
    <s v="Purple"/>
    <n v="50"/>
    <n v="50"/>
    <n v="0"/>
    <n v="20"/>
    <s v="Bug"/>
    <m/>
    <n v="75"/>
    <n v="158"/>
    <n v="1000000"/>
    <x v="0"/>
    <m/>
    <m/>
    <n v="70"/>
    <n v="65"/>
    <n v="60"/>
    <n v="90"/>
    <n v="75"/>
    <n v="90"/>
    <n v="450"/>
    <n v="0"/>
    <n v="0"/>
    <n v="0"/>
    <n v="1"/>
    <n v="0"/>
    <n v="1"/>
  </r>
  <r>
    <s v="Diglett"/>
    <x v="62"/>
    <n v="50"/>
    <s v="50_0"/>
    <x v="0"/>
    <n v="0.2"/>
    <n v="0.8"/>
    <x v="8"/>
    <m/>
    <s v="Sand Veil"/>
    <s v="Arena Trap"/>
    <s v="Sand Force"/>
    <s v="Brown"/>
    <n v="50"/>
    <n v="50"/>
    <n v="0"/>
    <n v="20"/>
    <s v="Ground"/>
    <m/>
    <n v="255"/>
    <n v="53"/>
    <n v="1000000"/>
    <x v="0"/>
    <m/>
    <m/>
    <n v="10"/>
    <n v="55"/>
    <n v="25"/>
    <n v="35"/>
    <n v="45"/>
    <n v="95"/>
    <n v="265"/>
    <n v="0"/>
    <n v="0"/>
    <n v="0"/>
    <n v="0"/>
    <n v="0"/>
    <n v="1"/>
  </r>
  <r>
    <s v="Diglett"/>
    <x v="63"/>
    <n v="50"/>
    <s v="50_1"/>
    <x v="1"/>
    <n v="0.2"/>
    <n v="1"/>
    <x v="8"/>
    <s v="Steel"/>
    <s v="Sand Veil"/>
    <s v="Tangling Hair"/>
    <s v="Sand Force"/>
    <s v="Brown"/>
    <n v="50"/>
    <n v="50"/>
    <n v="0"/>
    <n v="20"/>
    <s v="Ground"/>
    <m/>
    <n v="255"/>
    <n v="53"/>
    <n v="1000000"/>
    <x v="0"/>
    <m/>
    <s v="Alolan"/>
    <n v="10"/>
    <n v="55"/>
    <n v="30"/>
    <n v="35"/>
    <n v="45"/>
    <n v="90"/>
    <n v="265"/>
    <n v="0"/>
    <n v="0"/>
    <n v="0"/>
    <n v="0"/>
    <n v="0"/>
    <n v="1"/>
  </r>
  <r>
    <s v="Dugtrio"/>
    <x v="64"/>
    <n v="51"/>
    <s v="51_0"/>
    <x v="0"/>
    <n v="0.7"/>
    <n v="33.299999999999997"/>
    <x v="8"/>
    <m/>
    <s v="Sand Veil"/>
    <s v="Arena Trap"/>
    <s v="Sand Force"/>
    <s v="Brown"/>
    <n v="50"/>
    <n v="50"/>
    <n v="0"/>
    <n v="20"/>
    <s v="Ground"/>
    <m/>
    <n v="50"/>
    <n v="149"/>
    <n v="1000000"/>
    <x v="0"/>
    <m/>
    <m/>
    <n v="35"/>
    <n v="100"/>
    <n v="50"/>
    <n v="50"/>
    <n v="70"/>
    <n v="120"/>
    <n v="425"/>
    <n v="0"/>
    <n v="0"/>
    <n v="0"/>
    <n v="0"/>
    <n v="0"/>
    <n v="2"/>
  </r>
  <r>
    <s v="Dugtrio"/>
    <x v="65"/>
    <n v="51"/>
    <s v="51_1"/>
    <x v="1"/>
    <n v="0.7"/>
    <n v="66.599999999999994"/>
    <x v="8"/>
    <s v="Steel"/>
    <s v="Sand Veil"/>
    <s v="Tangling Hair"/>
    <s v="Sand Force"/>
    <s v="Brown"/>
    <n v="50"/>
    <n v="50"/>
    <n v="0"/>
    <n v="20"/>
    <s v="Ground"/>
    <m/>
    <n v="50"/>
    <n v="149"/>
    <n v="1000000"/>
    <x v="0"/>
    <m/>
    <s v="Alolan"/>
    <n v="35"/>
    <n v="100"/>
    <n v="60"/>
    <n v="50"/>
    <n v="70"/>
    <n v="110"/>
    <n v="425"/>
    <n v="0"/>
    <n v="2"/>
    <n v="0"/>
    <n v="0"/>
    <n v="0"/>
    <n v="0"/>
  </r>
  <r>
    <s v="Meowth"/>
    <x v="66"/>
    <n v="52"/>
    <s v="52_0"/>
    <x v="0"/>
    <n v="0.4"/>
    <n v="4.2"/>
    <x v="4"/>
    <m/>
    <s v="Pickup"/>
    <s v="Technician"/>
    <s v="Unnerve"/>
    <s v="Yellow"/>
    <n v="50"/>
    <n v="50"/>
    <n v="0"/>
    <n v="20"/>
    <s v="Ground"/>
    <m/>
    <n v="255"/>
    <n v="58"/>
    <n v="1000000"/>
    <x v="0"/>
    <m/>
    <m/>
    <n v="40"/>
    <n v="45"/>
    <n v="35"/>
    <n v="40"/>
    <n v="40"/>
    <n v="90"/>
    <n v="290"/>
    <n v="0"/>
    <n v="0"/>
    <n v="0"/>
    <n v="0"/>
    <n v="0"/>
    <n v="1"/>
  </r>
  <r>
    <s v="Meowth"/>
    <x v="67"/>
    <n v="52"/>
    <s v="52_1"/>
    <x v="1"/>
    <n v="0.4"/>
    <n v="4.2"/>
    <x v="5"/>
    <m/>
    <s v="Pickup"/>
    <s v="Technician"/>
    <s v="Rattled"/>
    <s v="Blue"/>
    <n v="50"/>
    <n v="50"/>
    <n v="0"/>
    <n v="20"/>
    <s v="Ground"/>
    <m/>
    <n v="255"/>
    <n v="58"/>
    <n v="1000000"/>
    <x v="0"/>
    <m/>
    <s v="Alolan"/>
    <n v="40"/>
    <n v="35"/>
    <n v="35"/>
    <n v="50"/>
    <n v="40"/>
    <n v="90"/>
    <n v="290"/>
    <n v="0"/>
    <n v="0"/>
    <n v="0"/>
    <n v="0"/>
    <n v="0"/>
    <n v="1"/>
  </r>
  <r>
    <s v="Meowth"/>
    <x v="68"/>
    <n v="52"/>
    <s v="52_2"/>
    <x v="2"/>
    <n v="0.4"/>
    <n v="7.5"/>
    <x v="11"/>
    <m/>
    <s v="Pickup"/>
    <s v="Tough Claws"/>
    <s v="Unnerve"/>
    <s v="Brown"/>
    <n v="50"/>
    <n v="50"/>
    <n v="0"/>
    <n v="20"/>
    <s v="Ground"/>
    <m/>
    <n v="255"/>
    <n v="58"/>
    <n v="1000000"/>
    <x v="0"/>
    <m/>
    <s v="Galarian"/>
    <n v="50"/>
    <n v="65"/>
    <n v="55"/>
    <n v="40"/>
    <n v="40"/>
    <n v="40"/>
    <n v="290"/>
    <n v="0"/>
    <n v="1"/>
    <n v="0"/>
    <n v="0"/>
    <n v="0"/>
    <n v="0"/>
  </r>
  <r>
    <s v="Persian"/>
    <x v="69"/>
    <n v="53"/>
    <s v="53_0"/>
    <x v="0"/>
    <n v="1"/>
    <n v="32"/>
    <x v="4"/>
    <m/>
    <s v="Limber"/>
    <s v="Technician"/>
    <s v="Unnerve"/>
    <s v="Yellow"/>
    <n v="50"/>
    <n v="50"/>
    <n v="0"/>
    <n v="20"/>
    <s v="Ground"/>
    <m/>
    <n v="90"/>
    <n v="154"/>
    <n v="1000000"/>
    <x v="0"/>
    <m/>
    <m/>
    <n v="65"/>
    <n v="70"/>
    <n v="60"/>
    <n v="65"/>
    <n v="65"/>
    <n v="115"/>
    <n v="440"/>
    <n v="0"/>
    <n v="0"/>
    <n v="0"/>
    <n v="0"/>
    <n v="0"/>
    <n v="2"/>
  </r>
  <r>
    <s v="Persian"/>
    <x v="70"/>
    <n v="53"/>
    <s v="53_1"/>
    <x v="1"/>
    <n v="1.1000000000000001"/>
    <n v="33"/>
    <x v="5"/>
    <m/>
    <s v="Fur Coat"/>
    <s v="Technician"/>
    <s v="Rattled"/>
    <s v="Blue"/>
    <n v="50"/>
    <n v="50"/>
    <n v="0"/>
    <n v="20"/>
    <s v="Ground"/>
    <m/>
    <n v="90"/>
    <n v="154"/>
    <n v="1000000"/>
    <x v="0"/>
    <m/>
    <s v="Alolan"/>
    <n v="65"/>
    <n v="60"/>
    <n v="60"/>
    <n v="75"/>
    <n v="65"/>
    <n v="115"/>
    <n v="440"/>
    <n v="0"/>
    <n v="0"/>
    <n v="0"/>
    <n v="0"/>
    <n v="0"/>
    <n v="2"/>
  </r>
  <r>
    <s v="Psyduck"/>
    <x v="71"/>
    <n v="54"/>
    <s v="54_0"/>
    <x v="0"/>
    <n v="0.8"/>
    <n v="19.600000000000001"/>
    <x v="2"/>
    <m/>
    <s v="Damp"/>
    <s v="Cloud Nine"/>
    <s v="Swift Swim"/>
    <s v="Yellow"/>
    <n v="50"/>
    <n v="50"/>
    <n v="0"/>
    <n v="20"/>
    <s v="Water1"/>
    <s v="Ground"/>
    <n v="190"/>
    <n v="64"/>
    <n v="1000000"/>
    <x v="0"/>
    <m/>
    <m/>
    <n v="50"/>
    <n v="52"/>
    <n v="48"/>
    <n v="65"/>
    <n v="50"/>
    <n v="55"/>
    <n v="320"/>
    <n v="0"/>
    <n v="0"/>
    <n v="0"/>
    <n v="1"/>
    <n v="0"/>
    <n v="0"/>
  </r>
  <r>
    <s v="Golduck"/>
    <x v="72"/>
    <n v="55"/>
    <s v="55_0"/>
    <x v="0"/>
    <n v="1.7"/>
    <n v="76.599999999999994"/>
    <x v="2"/>
    <m/>
    <s v="Damp"/>
    <s v="Cloud Nine"/>
    <s v="Swift Swim"/>
    <s v="Blue"/>
    <n v="50"/>
    <n v="50"/>
    <n v="0"/>
    <n v="20"/>
    <s v="Water1"/>
    <s v="Ground"/>
    <n v="75"/>
    <n v="175"/>
    <n v="1000000"/>
    <x v="0"/>
    <m/>
    <m/>
    <n v="80"/>
    <n v="82"/>
    <n v="78"/>
    <n v="95"/>
    <n v="80"/>
    <n v="85"/>
    <n v="500"/>
    <n v="0"/>
    <n v="0"/>
    <n v="0"/>
    <n v="2"/>
    <n v="0"/>
    <n v="0"/>
  </r>
  <r>
    <s v="Mankey"/>
    <x v="73"/>
    <n v="56"/>
    <s v="56_0"/>
    <x v="0"/>
    <n v="0.5"/>
    <n v="28"/>
    <x v="12"/>
    <m/>
    <s v="Vital Spirit"/>
    <s v="Anger Point"/>
    <s v="Defiant"/>
    <s v="Brown"/>
    <n v="50"/>
    <n v="50"/>
    <n v="0"/>
    <n v="20"/>
    <s v="Ground"/>
    <m/>
    <n v="190"/>
    <n v="61"/>
    <n v="1000000"/>
    <x v="0"/>
    <m/>
    <m/>
    <n v="40"/>
    <n v="80"/>
    <n v="35"/>
    <n v="35"/>
    <n v="45"/>
    <n v="70"/>
    <n v="305"/>
    <n v="0"/>
    <n v="1"/>
    <n v="0"/>
    <n v="0"/>
    <n v="0"/>
    <n v="0"/>
  </r>
  <r>
    <s v="Primeape"/>
    <x v="74"/>
    <n v="57"/>
    <s v="57_0"/>
    <x v="0"/>
    <n v="1"/>
    <n v="32"/>
    <x v="12"/>
    <m/>
    <s v="Vital Spirit"/>
    <s v="Anger Point"/>
    <s v="Defiant"/>
    <s v="Brown"/>
    <n v="50"/>
    <n v="50"/>
    <n v="0"/>
    <n v="20"/>
    <s v="Ground"/>
    <m/>
    <n v="75"/>
    <n v="159"/>
    <n v="1000000"/>
    <x v="0"/>
    <m/>
    <m/>
    <n v="65"/>
    <n v="105"/>
    <n v="60"/>
    <n v="60"/>
    <n v="70"/>
    <n v="95"/>
    <n v="455"/>
    <n v="0"/>
    <n v="2"/>
    <n v="0"/>
    <n v="0"/>
    <n v="0"/>
    <n v="0"/>
  </r>
  <r>
    <s v="Growlithe"/>
    <x v="75"/>
    <n v="58"/>
    <s v="58_0"/>
    <x v="0"/>
    <n v="0.7"/>
    <n v="19"/>
    <x v="1"/>
    <m/>
    <s v="Intimidate"/>
    <s v="Flash Fire"/>
    <s v="Justified"/>
    <s v="Brown"/>
    <n v="75"/>
    <n v="25"/>
    <n v="0"/>
    <n v="20"/>
    <s v="Ground"/>
    <m/>
    <n v="190"/>
    <n v="70"/>
    <n v="1250000"/>
    <x v="0"/>
    <m/>
    <m/>
    <n v="55"/>
    <n v="70"/>
    <n v="45"/>
    <n v="70"/>
    <n v="50"/>
    <n v="60"/>
    <n v="350"/>
    <n v="0"/>
    <n v="1"/>
    <n v="0"/>
    <n v="0"/>
    <n v="0"/>
    <n v="0"/>
  </r>
  <r>
    <s v="Growlithe"/>
    <x v="76"/>
    <n v="58"/>
    <s v="58_1"/>
    <x v="2"/>
    <n v="0.8"/>
    <n v="22.7"/>
    <x v="1"/>
    <s v="Rock"/>
    <s v="Intimidate"/>
    <s v="Flash Fire"/>
    <s v="Rock Head"/>
    <s v="Brown"/>
    <n v="75"/>
    <n v="25"/>
    <n v="0"/>
    <n v="20"/>
    <s v="Ground"/>
    <m/>
    <n v="190"/>
    <n v="70"/>
    <n v="1250000"/>
    <x v="0"/>
    <m/>
    <s v="Hisuian"/>
    <n v="60"/>
    <n v="75"/>
    <n v="45"/>
    <n v="65"/>
    <n v="50"/>
    <n v="55"/>
    <n v="350"/>
    <n v="0"/>
    <n v="1"/>
    <n v="0"/>
    <n v="0"/>
    <n v="0"/>
    <n v="0"/>
  </r>
  <r>
    <s v="Arcanine"/>
    <x v="77"/>
    <n v="59"/>
    <s v="59_0"/>
    <x v="0"/>
    <n v="1.9"/>
    <n v="155"/>
    <x v="1"/>
    <m/>
    <s v="Intimidate"/>
    <s v="Flash Fire"/>
    <s v="Justified"/>
    <s v="Brown"/>
    <n v="75"/>
    <n v="25"/>
    <n v="0"/>
    <n v="20"/>
    <s v="Ground"/>
    <m/>
    <n v="75"/>
    <n v="194"/>
    <n v="1250000"/>
    <x v="0"/>
    <m/>
    <m/>
    <n v="90"/>
    <n v="110"/>
    <n v="80"/>
    <n v="100"/>
    <n v="80"/>
    <n v="95"/>
    <n v="555"/>
    <n v="0"/>
    <n v="2"/>
    <n v="0"/>
    <n v="0"/>
    <n v="0"/>
    <n v="0"/>
  </r>
  <r>
    <s v="Arcanine"/>
    <x v="78"/>
    <n v="59"/>
    <s v="59_1"/>
    <x v="2"/>
    <n v="2"/>
    <n v="168"/>
    <x v="1"/>
    <s v="Rock"/>
    <s v="Intimidate"/>
    <s v="Flash Fire"/>
    <s v="Rock Head"/>
    <s v="Brown"/>
    <n v="75"/>
    <n v="25"/>
    <n v="0"/>
    <n v="20"/>
    <s v="Ground"/>
    <m/>
    <n v="75"/>
    <n v="194"/>
    <n v="1250000"/>
    <x v="0"/>
    <m/>
    <s v="Hisuian"/>
    <n v="95"/>
    <n v="115"/>
    <n v="80"/>
    <n v="95"/>
    <n v="80"/>
    <n v="90"/>
    <n v="555"/>
    <n v="0"/>
    <n v="2"/>
    <n v="0"/>
    <n v="0"/>
    <n v="0"/>
    <n v="0"/>
  </r>
  <r>
    <s v="Poliwag"/>
    <x v="79"/>
    <n v="60"/>
    <s v="60_0"/>
    <x v="0"/>
    <n v="0.6"/>
    <n v="12.4"/>
    <x v="2"/>
    <m/>
    <s v="Water Absorb"/>
    <s v="Damp"/>
    <s v="Swift Swim"/>
    <s v="Blue"/>
    <n v="50"/>
    <n v="50"/>
    <n v="0"/>
    <n v="20"/>
    <s v="Water1"/>
    <m/>
    <n v="255"/>
    <n v="60"/>
    <n v="1059860"/>
    <x v="0"/>
    <m/>
    <m/>
    <n v="40"/>
    <n v="50"/>
    <n v="40"/>
    <n v="40"/>
    <n v="40"/>
    <n v="90"/>
    <n v="300"/>
    <n v="0"/>
    <n v="0"/>
    <n v="0"/>
    <n v="0"/>
    <n v="0"/>
    <n v="1"/>
  </r>
  <r>
    <s v="Poliwhirl"/>
    <x v="80"/>
    <n v="61"/>
    <s v="61_0"/>
    <x v="0"/>
    <n v="1"/>
    <n v="20"/>
    <x v="2"/>
    <m/>
    <s v="Water Absorb"/>
    <s v="Damp"/>
    <s v="Swift Swim"/>
    <s v="Blue"/>
    <n v="50"/>
    <n v="50"/>
    <n v="0"/>
    <n v="20"/>
    <s v="Water1"/>
    <m/>
    <n v="120"/>
    <n v="135"/>
    <n v="1059860"/>
    <x v="0"/>
    <m/>
    <m/>
    <n v="65"/>
    <n v="65"/>
    <n v="65"/>
    <n v="50"/>
    <n v="50"/>
    <n v="90"/>
    <n v="385"/>
    <n v="0"/>
    <n v="0"/>
    <n v="0"/>
    <n v="0"/>
    <n v="0"/>
    <n v="2"/>
  </r>
  <r>
    <s v="Poliwrath"/>
    <x v="81"/>
    <n v="62"/>
    <s v="62_0"/>
    <x v="0"/>
    <n v="1.3"/>
    <n v="54"/>
    <x v="2"/>
    <s v="Fighting"/>
    <s v="Water Absorb"/>
    <s v="Damp"/>
    <s v="Swift Swim"/>
    <s v="Blue"/>
    <n v="50"/>
    <n v="50"/>
    <n v="0"/>
    <n v="20"/>
    <s v="Water1"/>
    <m/>
    <n v="45"/>
    <n v="255"/>
    <n v="1059860"/>
    <x v="0"/>
    <m/>
    <m/>
    <n v="90"/>
    <n v="95"/>
    <n v="95"/>
    <n v="70"/>
    <n v="90"/>
    <n v="70"/>
    <n v="510"/>
    <n v="0"/>
    <n v="0"/>
    <n v="3"/>
    <n v="0"/>
    <n v="0"/>
    <n v="0"/>
  </r>
  <r>
    <s v="Abra"/>
    <x v="82"/>
    <n v="63"/>
    <s v="63_0"/>
    <x v="0"/>
    <n v="0.9"/>
    <n v="19.5"/>
    <x v="13"/>
    <m/>
    <s v="Synchronize"/>
    <s v="Inner Focus"/>
    <s v="Magic Guard"/>
    <s v="Brown"/>
    <n v="75"/>
    <n v="25"/>
    <n v="0"/>
    <n v="20"/>
    <s v="Human-Like"/>
    <m/>
    <n v="200"/>
    <n v="62"/>
    <n v="1059860"/>
    <x v="0"/>
    <m/>
    <m/>
    <n v="25"/>
    <n v="20"/>
    <n v="15"/>
    <n v="105"/>
    <n v="55"/>
    <n v="90"/>
    <n v="310"/>
    <n v="0"/>
    <n v="0"/>
    <n v="0"/>
    <n v="1"/>
    <n v="0"/>
    <n v="0"/>
  </r>
  <r>
    <s v="Kadabra"/>
    <x v="83"/>
    <n v="64"/>
    <s v="64_0"/>
    <x v="0"/>
    <n v="1.3"/>
    <n v="56.5"/>
    <x v="13"/>
    <m/>
    <s v="Synchronize"/>
    <s v="Inner Focus"/>
    <s v="Magic Guard"/>
    <s v="Brown"/>
    <n v="75"/>
    <n v="25"/>
    <n v="0"/>
    <n v="20"/>
    <s v="Human-Like"/>
    <m/>
    <n v="100"/>
    <n v="140"/>
    <n v="1059860"/>
    <x v="0"/>
    <m/>
    <m/>
    <n v="40"/>
    <n v="35"/>
    <n v="30"/>
    <n v="120"/>
    <n v="70"/>
    <n v="105"/>
    <n v="400"/>
    <n v="0"/>
    <n v="0"/>
    <n v="0"/>
    <n v="2"/>
    <n v="0"/>
    <n v="0"/>
  </r>
  <r>
    <s v="Alakazam"/>
    <x v="84"/>
    <n v="65"/>
    <s v="65_0"/>
    <x v="0"/>
    <n v="1.5"/>
    <n v="48"/>
    <x v="13"/>
    <m/>
    <s v="Synchronize"/>
    <s v="Inner Focus"/>
    <s v="Magic Guard"/>
    <s v="Brown"/>
    <n v="75"/>
    <n v="25"/>
    <n v="0"/>
    <n v="20"/>
    <s v="Human-Like"/>
    <m/>
    <n v="50"/>
    <n v="250"/>
    <n v="1059860"/>
    <x v="0"/>
    <m/>
    <m/>
    <n v="55"/>
    <n v="50"/>
    <n v="45"/>
    <n v="135"/>
    <n v="95"/>
    <n v="120"/>
    <n v="500"/>
    <n v="0"/>
    <n v="0"/>
    <n v="0"/>
    <n v="3"/>
    <n v="0"/>
    <n v="0"/>
  </r>
  <r>
    <s v="Alakazam"/>
    <x v="85"/>
    <n v="65"/>
    <s v="65_1"/>
    <x v="0"/>
    <n v="1.2"/>
    <n v="48"/>
    <x v="13"/>
    <m/>
    <s v="Trace"/>
    <m/>
    <m/>
    <s v="Brown"/>
    <n v="75"/>
    <n v="25"/>
    <n v="0"/>
    <n v="20"/>
    <s v="Human-Like"/>
    <m/>
    <n v="50"/>
    <n v="270"/>
    <n v="1059860"/>
    <x v="0"/>
    <s v="Mega"/>
    <m/>
    <n v="55"/>
    <n v="50"/>
    <n v="65"/>
    <n v="175"/>
    <n v="105"/>
    <n v="150"/>
    <n v="600"/>
    <n v="0"/>
    <n v="0"/>
    <n v="0"/>
    <n v="3"/>
    <n v="0"/>
    <n v="0"/>
  </r>
  <r>
    <s v="Machop"/>
    <x v="86"/>
    <n v="66"/>
    <s v="66_0"/>
    <x v="0"/>
    <n v="0.8"/>
    <n v="19.5"/>
    <x v="12"/>
    <m/>
    <s v="Guts"/>
    <s v="No Guard"/>
    <s v="Steadfast"/>
    <s v="Gray"/>
    <n v="75"/>
    <n v="25"/>
    <n v="0"/>
    <n v="20"/>
    <s v="Human-Like"/>
    <m/>
    <n v="180"/>
    <n v="61"/>
    <n v="1059860"/>
    <x v="0"/>
    <m/>
    <m/>
    <n v="70"/>
    <n v="80"/>
    <n v="50"/>
    <n v="35"/>
    <n v="35"/>
    <n v="35"/>
    <n v="305"/>
    <n v="0"/>
    <n v="1"/>
    <n v="0"/>
    <n v="0"/>
    <n v="0"/>
    <n v="0"/>
  </r>
  <r>
    <s v="Machoke"/>
    <x v="87"/>
    <n v="67"/>
    <s v="67_0"/>
    <x v="0"/>
    <n v="1.5"/>
    <n v="70.5"/>
    <x v="12"/>
    <m/>
    <s v="Guts"/>
    <s v="No Guard"/>
    <s v="Steadfast"/>
    <s v="Gray"/>
    <n v="75"/>
    <n v="25"/>
    <n v="0"/>
    <n v="20"/>
    <s v="Human-Like"/>
    <m/>
    <n v="90"/>
    <n v="142"/>
    <n v="1059860"/>
    <x v="0"/>
    <m/>
    <m/>
    <n v="80"/>
    <n v="100"/>
    <n v="70"/>
    <n v="50"/>
    <n v="60"/>
    <n v="45"/>
    <n v="405"/>
    <n v="0"/>
    <n v="2"/>
    <n v="0"/>
    <n v="0"/>
    <n v="0"/>
    <n v="0"/>
  </r>
  <r>
    <s v="Machamp"/>
    <x v="88"/>
    <n v="68"/>
    <s v="68_0"/>
    <x v="0"/>
    <n v="1.6"/>
    <n v="130"/>
    <x v="12"/>
    <m/>
    <s v="Guts"/>
    <s v="No Guard"/>
    <s v="Steadfast"/>
    <s v="Gray"/>
    <n v="75"/>
    <n v="25"/>
    <n v="0"/>
    <n v="20"/>
    <s v="Human-Like"/>
    <m/>
    <n v="45"/>
    <n v="253"/>
    <n v="1059860"/>
    <x v="0"/>
    <m/>
    <m/>
    <n v="90"/>
    <n v="130"/>
    <n v="80"/>
    <n v="65"/>
    <n v="85"/>
    <n v="55"/>
    <n v="505"/>
    <n v="0"/>
    <n v="3"/>
    <n v="0"/>
    <n v="0"/>
    <n v="0"/>
    <n v="0"/>
  </r>
  <r>
    <s v="Bellsprout"/>
    <x v="89"/>
    <n v="69"/>
    <s v="69_0"/>
    <x v="0"/>
    <n v="0.7"/>
    <n v="4"/>
    <x v="0"/>
    <s v="Poison"/>
    <s v="Chlorophyll"/>
    <m/>
    <s v="Gluttony"/>
    <s v="Green"/>
    <n v="50"/>
    <n v="50"/>
    <n v="0"/>
    <n v="20"/>
    <s v="Grass"/>
    <m/>
    <n v="255"/>
    <n v="60"/>
    <n v="1059860"/>
    <x v="0"/>
    <m/>
    <m/>
    <n v="50"/>
    <n v="75"/>
    <n v="35"/>
    <n v="70"/>
    <n v="30"/>
    <n v="40"/>
    <n v="300"/>
    <n v="0"/>
    <n v="1"/>
    <n v="0"/>
    <n v="0"/>
    <n v="0"/>
    <n v="0"/>
  </r>
  <r>
    <s v="Weepinbell"/>
    <x v="90"/>
    <n v="70"/>
    <s v="70_0"/>
    <x v="0"/>
    <n v="1"/>
    <n v="6.4"/>
    <x v="0"/>
    <s v="Poison"/>
    <s v="Chlorophyll"/>
    <m/>
    <s v="Gluttony"/>
    <s v="Green"/>
    <n v="50"/>
    <n v="50"/>
    <n v="0"/>
    <n v="20"/>
    <s v="Grass"/>
    <m/>
    <n v="120"/>
    <n v="137"/>
    <n v="1059860"/>
    <x v="0"/>
    <m/>
    <m/>
    <n v="65"/>
    <n v="90"/>
    <n v="50"/>
    <n v="85"/>
    <n v="45"/>
    <n v="55"/>
    <n v="390"/>
    <n v="0"/>
    <n v="2"/>
    <n v="0"/>
    <n v="0"/>
    <n v="0"/>
    <n v="0"/>
  </r>
  <r>
    <s v="Victreebel"/>
    <x v="91"/>
    <n v="71"/>
    <s v="71_0"/>
    <x v="0"/>
    <n v="1.7"/>
    <n v="15.5"/>
    <x v="0"/>
    <s v="Poison"/>
    <s v="Chlorophyll"/>
    <m/>
    <s v="Gluttony"/>
    <s v="Green"/>
    <n v="50"/>
    <n v="50"/>
    <n v="0"/>
    <n v="20"/>
    <s v="Grass"/>
    <m/>
    <n v="45"/>
    <n v="245"/>
    <n v="1059860"/>
    <x v="0"/>
    <m/>
    <m/>
    <n v="80"/>
    <n v="105"/>
    <n v="65"/>
    <n v="100"/>
    <n v="70"/>
    <n v="70"/>
    <n v="490"/>
    <n v="0"/>
    <n v="3"/>
    <n v="0"/>
    <n v="0"/>
    <n v="0"/>
    <n v="0"/>
  </r>
  <r>
    <s v="Tentacool"/>
    <x v="92"/>
    <n v="72"/>
    <s v="72_0"/>
    <x v="0"/>
    <n v="0.9"/>
    <n v="45.5"/>
    <x v="2"/>
    <s v="Poison"/>
    <s v="Clear Body"/>
    <s v="Liquid Ooze"/>
    <s v="Rain Dish"/>
    <s v="Blue"/>
    <n v="50"/>
    <n v="50"/>
    <n v="0"/>
    <n v="20"/>
    <s v="Water3"/>
    <m/>
    <n v="190"/>
    <n v="67"/>
    <n v="1250000"/>
    <x v="0"/>
    <m/>
    <m/>
    <n v="40"/>
    <n v="40"/>
    <n v="35"/>
    <n v="50"/>
    <n v="100"/>
    <n v="70"/>
    <n v="335"/>
    <n v="0"/>
    <n v="0"/>
    <n v="0"/>
    <n v="0"/>
    <n v="1"/>
    <n v="0"/>
  </r>
  <r>
    <s v="Tentacruel"/>
    <x v="93"/>
    <n v="73"/>
    <s v="73_0"/>
    <x v="0"/>
    <n v="1.6"/>
    <n v="55"/>
    <x v="2"/>
    <s v="Poison"/>
    <s v="Clear Body"/>
    <s v="Liquid Ooze"/>
    <s v="Rain Dish"/>
    <s v="Blue"/>
    <n v="50"/>
    <n v="50"/>
    <n v="0"/>
    <n v="20"/>
    <s v="Water3"/>
    <m/>
    <n v="60"/>
    <n v="180"/>
    <n v="1250000"/>
    <x v="0"/>
    <m/>
    <m/>
    <n v="80"/>
    <n v="70"/>
    <n v="65"/>
    <n v="80"/>
    <n v="120"/>
    <n v="100"/>
    <n v="515"/>
    <n v="0"/>
    <n v="0"/>
    <n v="0"/>
    <n v="0"/>
    <n v="2"/>
    <n v="0"/>
  </r>
  <r>
    <s v="Geodude"/>
    <x v="94"/>
    <n v="74"/>
    <s v="74_0"/>
    <x v="0"/>
    <n v="0.4"/>
    <n v="20"/>
    <x v="14"/>
    <s v="Ground"/>
    <s v="Rock Head"/>
    <s v="Sturdy"/>
    <s v="Sand Veil"/>
    <s v="Brown"/>
    <n v="50"/>
    <n v="50"/>
    <n v="0"/>
    <n v="15"/>
    <s v="Mineral"/>
    <m/>
    <n v="255"/>
    <n v="60"/>
    <n v="1059860"/>
    <x v="0"/>
    <m/>
    <m/>
    <n v="40"/>
    <n v="80"/>
    <n v="100"/>
    <n v="30"/>
    <n v="30"/>
    <n v="20"/>
    <n v="300"/>
    <n v="0"/>
    <n v="0"/>
    <n v="1"/>
    <n v="0"/>
    <n v="0"/>
    <n v="0"/>
  </r>
  <r>
    <s v="Geodude"/>
    <x v="95"/>
    <n v="74"/>
    <s v="74_1"/>
    <x v="1"/>
    <n v="0.4"/>
    <n v="20.3"/>
    <x v="14"/>
    <s v="Electric"/>
    <s v="Magnet Pull"/>
    <s v="Sturdy"/>
    <s v="Galvanize"/>
    <s v="Gray"/>
    <n v="50"/>
    <n v="50"/>
    <n v="0"/>
    <n v="15"/>
    <s v="Mineral"/>
    <m/>
    <n v="255"/>
    <n v="60"/>
    <n v="1059860"/>
    <x v="0"/>
    <m/>
    <s v="Alolan"/>
    <n v="40"/>
    <n v="80"/>
    <n v="100"/>
    <n v="30"/>
    <n v="30"/>
    <n v="20"/>
    <n v="300"/>
    <n v="0"/>
    <n v="0"/>
    <n v="1"/>
    <n v="0"/>
    <n v="0"/>
    <n v="0"/>
  </r>
  <r>
    <s v="Graveler"/>
    <x v="96"/>
    <n v="75"/>
    <s v="75_0"/>
    <x v="0"/>
    <n v="1"/>
    <n v="105"/>
    <x v="14"/>
    <s v="Ground"/>
    <s v="Rock Head"/>
    <s v="Sturdy"/>
    <s v="Sand Veil"/>
    <s v="Brown"/>
    <n v="50"/>
    <n v="50"/>
    <n v="0"/>
    <n v="15"/>
    <s v="Mineral"/>
    <m/>
    <n v="120"/>
    <n v="137"/>
    <n v="1059860"/>
    <x v="0"/>
    <m/>
    <m/>
    <n v="55"/>
    <n v="95"/>
    <n v="115"/>
    <n v="45"/>
    <n v="45"/>
    <n v="35"/>
    <n v="390"/>
    <n v="0"/>
    <n v="0"/>
    <n v="2"/>
    <n v="0"/>
    <n v="0"/>
    <n v="0"/>
  </r>
  <r>
    <s v="Graveler"/>
    <x v="97"/>
    <n v="75"/>
    <s v="75_1"/>
    <x v="1"/>
    <n v="1"/>
    <n v="110"/>
    <x v="14"/>
    <s v="Electric"/>
    <s v="Magnet Pull"/>
    <s v="Sturdy"/>
    <s v="Galvanize"/>
    <s v="Gray"/>
    <n v="50"/>
    <n v="50"/>
    <n v="0"/>
    <n v="15"/>
    <s v="Mineral"/>
    <m/>
    <n v="120"/>
    <n v="137"/>
    <n v="1059860"/>
    <x v="0"/>
    <m/>
    <s v="Alolan"/>
    <n v="55"/>
    <n v="95"/>
    <n v="115"/>
    <n v="45"/>
    <n v="45"/>
    <n v="35"/>
    <n v="390"/>
    <n v="0"/>
    <n v="0"/>
    <n v="2"/>
    <n v="0"/>
    <n v="0"/>
    <n v="0"/>
  </r>
  <r>
    <s v="Golem"/>
    <x v="98"/>
    <n v="76"/>
    <s v="76_0"/>
    <x v="0"/>
    <n v="1.4"/>
    <n v="300"/>
    <x v="14"/>
    <s v="Ground"/>
    <s v="Rock Head"/>
    <s v="Sturdy"/>
    <s v="Sand Veil"/>
    <s v="Brown"/>
    <n v="50"/>
    <n v="50"/>
    <n v="0"/>
    <n v="15"/>
    <s v="Mineral"/>
    <m/>
    <n v="45"/>
    <n v="223"/>
    <n v="1059860"/>
    <x v="0"/>
    <m/>
    <m/>
    <n v="80"/>
    <n v="120"/>
    <n v="130"/>
    <n v="55"/>
    <n v="65"/>
    <n v="45"/>
    <n v="495"/>
    <n v="0"/>
    <n v="0"/>
    <n v="3"/>
    <n v="0"/>
    <n v="0"/>
    <n v="0"/>
  </r>
  <r>
    <s v="Golem"/>
    <x v="99"/>
    <n v="76"/>
    <s v="76_1"/>
    <x v="1"/>
    <n v="1.7"/>
    <n v="316"/>
    <x v="14"/>
    <s v="Electric"/>
    <s v="Magnet Pull"/>
    <s v="Sturdy"/>
    <s v="Galvanize"/>
    <s v="Gray"/>
    <n v="50"/>
    <n v="50"/>
    <n v="0"/>
    <n v="15"/>
    <s v="Mineral"/>
    <m/>
    <n v="45"/>
    <n v="223"/>
    <n v="1059860"/>
    <x v="0"/>
    <m/>
    <s v="Alolan"/>
    <n v="80"/>
    <n v="120"/>
    <n v="130"/>
    <n v="55"/>
    <n v="65"/>
    <n v="45"/>
    <n v="495"/>
    <n v="0"/>
    <n v="0"/>
    <n v="3"/>
    <n v="0"/>
    <n v="0"/>
    <n v="0"/>
  </r>
  <r>
    <s v="Ponyta"/>
    <x v="100"/>
    <n v="77"/>
    <s v="77_0"/>
    <x v="0"/>
    <n v="1"/>
    <n v="30"/>
    <x v="1"/>
    <m/>
    <s v="Run Away"/>
    <s v="Flash Fire"/>
    <s v="Flame Body"/>
    <s v="Yellow"/>
    <n v="50"/>
    <n v="50"/>
    <n v="0"/>
    <n v="20"/>
    <s v="Ground"/>
    <m/>
    <n v="190"/>
    <n v="82"/>
    <n v="1000000"/>
    <x v="0"/>
    <m/>
    <m/>
    <n v="50"/>
    <n v="85"/>
    <n v="55"/>
    <n v="65"/>
    <n v="65"/>
    <n v="90"/>
    <n v="410"/>
    <n v="0"/>
    <n v="0"/>
    <n v="0"/>
    <n v="0"/>
    <n v="0"/>
    <n v="1"/>
  </r>
  <r>
    <s v="Ponyta"/>
    <x v="101"/>
    <n v="77"/>
    <s v="77_1"/>
    <x v="2"/>
    <n v="0.8"/>
    <n v="24"/>
    <x v="13"/>
    <m/>
    <s v="Run Away"/>
    <s v="Pastel Veil"/>
    <s v="Anticipation"/>
    <s v="White"/>
    <n v="50"/>
    <n v="50"/>
    <n v="0"/>
    <n v="20"/>
    <s v="Ground"/>
    <m/>
    <n v="190"/>
    <n v="82"/>
    <n v="1000000"/>
    <x v="0"/>
    <m/>
    <s v="Galarian"/>
    <n v="50"/>
    <n v="85"/>
    <n v="55"/>
    <n v="65"/>
    <n v="65"/>
    <n v="90"/>
    <n v="410"/>
    <n v="0"/>
    <n v="0"/>
    <n v="0"/>
    <n v="0"/>
    <n v="0"/>
    <n v="1"/>
  </r>
  <r>
    <s v="Rapidash"/>
    <x v="102"/>
    <n v="78"/>
    <s v="78_0"/>
    <x v="0"/>
    <n v="1.7"/>
    <n v="95"/>
    <x v="1"/>
    <m/>
    <s v="Run Away"/>
    <s v="Flash Fire"/>
    <s v="Flame Body"/>
    <s v="Yellow"/>
    <n v="50"/>
    <n v="50"/>
    <n v="0"/>
    <n v="20"/>
    <s v="Ground"/>
    <m/>
    <n v="60"/>
    <n v="175"/>
    <n v="1000000"/>
    <x v="0"/>
    <m/>
    <m/>
    <n v="65"/>
    <n v="100"/>
    <n v="70"/>
    <n v="80"/>
    <n v="80"/>
    <n v="105"/>
    <n v="500"/>
    <n v="0"/>
    <n v="0"/>
    <n v="0"/>
    <n v="0"/>
    <n v="0"/>
    <n v="2"/>
  </r>
  <r>
    <s v="Rapidash"/>
    <x v="103"/>
    <n v="78"/>
    <s v="78_1"/>
    <x v="2"/>
    <n v="1.7"/>
    <n v="80"/>
    <x v="13"/>
    <s v="Fairy"/>
    <s v="Run Away"/>
    <s v="Pastel Veil"/>
    <s v="Anticipation"/>
    <s v="White"/>
    <n v="50"/>
    <n v="50"/>
    <n v="0"/>
    <n v="20"/>
    <s v="Ground"/>
    <m/>
    <n v="60"/>
    <n v="175"/>
    <n v="1000000"/>
    <x v="0"/>
    <m/>
    <s v="Galarian"/>
    <n v="65"/>
    <n v="100"/>
    <n v="70"/>
    <n v="80"/>
    <n v="80"/>
    <n v="105"/>
    <n v="500"/>
    <n v="0"/>
    <n v="0"/>
    <n v="0"/>
    <n v="0"/>
    <n v="0"/>
    <n v="2"/>
  </r>
  <r>
    <s v="Slowpoke"/>
    <x v="104"/>
    <n v="79"/>
    <s v="79_0"/>
    <x v="0"/>
    <n v="1.2"/>
    <n v="36"/>
    <x v="2"/>
    <s v="Psychic"/>
    <s v="Oblivious"/>
    <s v="Own Tempo"/>
    <s v="Regenerator"/>
    <s v="Pink"/>
    <n v="50"/>
    <n v="50"/>
    <n v="0"/>
    <n v="20"/>
    <s v="Monster"/>
    <s v="Water1"/>
    <n v="190"/>
    <n v="63"/>
    <n v="1000000"/>
    <x v="0"/>
    <m/>
    <m/>
    <n v="90"/>
    <n v="65"/>
    <n v="65"/>
    <n v="40"/>
    <n v="40"/>
    <n v="15"/>
    <n v="315"/>
    <n v="1"/>
    <n v="0"/>
    <n v="0"/>
    <n v="0"/>
    <n v="0"/>
    <n v="0"/>
  </r>
  <r>
    <s v="Slowpoke"/>
    <x v="105"/>
    <n v="79"/>
    <s v="79_1"/>
    <x v="2"/>
    <n v="1.2"/>
    <n v="36"/>
    <x v="13"/>
    <m/>
    <s v="Gluttony"/>
    <s v="Own Tempo"/>
    <s v="Regenerator"/>
    <s v="Pink"/>
    <n v="50"/>
    <n v="50"/>
    <n v="0"/>
    <n v="20"/>
    <s v="Monster"/>
    <s v="Water1"/>
    <n v="190"/>
    <n v="63"/>
    <n v="1000000"/>
    <x v="0"/>
    <m/>
    <s v="Galarian"/>
    <n v="90"/>
    <n v="65"/>
    <n v="65"/>
    <n v="40"/>
    <n v="40"/>
    <n v="15"/>
    <n v="315"/>
    <n v="1"/>
    <n v="0"/>
    <n v="0"/>
    <n v="0"/>
    <n v="0"/>
    <n v="0"/>
  </r>
  <r>
    <s v="Slowbro"/>
    <x v="106"/>
    <n v="80"/>
    <s v="80_0"/>
    <x v="0"/>
    <n v="1.6"/>
    <n v="78.5"/>
    <x v="2"/>
    <s v="Psychic"/>
    <s v="Oblivious"/>
    <s v="Own Tempo"/>
    <s v="Regenerator"/>
    <s v="Pink"/>
    <n v="50"/>
    <n v="50"/>
    <n v="0"/>
    <n v="20"/>
    <s v="Monster"/>
    <s v="Water1"/>
    <n v="75"/>
    <n v="172"/>
    <n v="1000000"/>
    <x v="0"/>
    <m/>
    <m/>
    <n v="95"/>
    <n v="75"/>
    <n v="110"/>
    <n v="100"/>
    <n v="80"/>
    <n v="30"/>
    <n v="490"/>
    <n v="0"/>
    <n v="0"/>
    <n v="2"/>
    <n v="0"/>
    <n v="0"/>
    <n v="0"/>
  </r>
  <r>
    <s v="Slowbro"/>
    <x v="107"/>
    <n v="80"/>
    <s v="80_1"/>
    <x v="2"/>
    <n v="1.6"/>
    <n v="70.5"/>
    <x v="6"/>
    <s v="Psychic"/>
    <s v="Quick Draw"/>
    <s v="Own Tempo"/>
    <s v="Regenerator"/>
    <s v="Pink"/>
    <n v="50"/>
    <n v="50"/>
    <n v="0"/>
    <n v="20"/>
    <s v="Monster"/>
    <s v="Water1"/>
    <n v="75"/>
    <n v="172"/>
    <n v="1000000"/>
    <x v="0"/>
    <m/>
    <s v="Galarian"/>
    <n v="95"/>
    <n v="100"/>
    <n v="95"/>
    <n v="100"/>
    <n v="70"/>
    <n v="30"/>
    <n v="490"/>
    <n v="0"/>
    <n v="2"/>
    <n v="0"/>
    <n v="0"/>
    <n v="0"/>
    <n v="0"/>
  </r>
  <r>
    <s v="Slowbro"/>
    <x v="108"/>
    <n v="80"/>
    <s v="80_2"/>
    <x v="0"/>
    <n v="2"/>
    <n v="120"/>
    <x v="2"/>
    <s v="Psychic"/>
    <s v="Shell Armor"/>
    <m/>
    <m/>
    <s v="Pink"/>
    <n v="50"/>
    <n v="50"/>
    <n v="0"/>
    <n v="20"/>
    <s v="Monster"/>
    <s v="Water1"/>
    <n v="75"/>
    <n v="207"/>
    <n v="1000000"/>
    <x v="0"/>
    <s v="Mega"/>
    <m/>
    <n v="95"/>
    <n v="75"/>
    <n v="180"/>
    <n v="130"/>
    <n v="80"/>
    <n v="30"/>
    <n v="590"/>
    <n v="0"/>
    <n v="0"/>
    <n v="2"/>
    <n v="0"/>
    <n v="0"/>
    <n v="0"/>
  </r>
  <r>
    <s v="Magnemite"/>
    <x v="109"/>
    <n v="81"/>
    <s v="81_0"/>
    <x v="0"/>
    <n v="0.3"/>
    <n v="6"/>
    <x v="7"/>
    <s v="Steel"/>
    <s v="Magnet Pull"/>
    <s v="Sturdy"/>
    <s v="Analytic"/>
    <s v="Gray"/>
    <n v="0"/>
    <n v="0"/>
    <n v="100"/>
    <n v="20"/>
    <s v="Mineral"/>
    <m/>
    <n v="190"/>
    <n v="65"/>
    <n v="1000000"/>
    <x v="0"/>
    <m/>
    <m/>
    <n v="25"/>
    <n v="35"/>
    <n v="70"/>
    <n v="95"/>
    <n v="55"/>
    <n v="45"/>
    <n v="325"/>
    <n v="0"/>
    <n v="0"/>
    <n v="0"/>
    <n v="1"/>
    <n v="0"/>
    <n v="0"/>
  </r>
  <r>
    <s v="Magneton"/>
    <x v="110"/>
    <n v="82"/>
    <s v="82_0"/>
    <x v="0"/>
    <n v="1"/>
    <n v="60"/>
    <x v="7"/>
    <s v="Steel"/>
    <s v="Magnet Pull"/>
    <s v="Sturdy"/>
    <s v="Analytic"/>
    <s v="Gray"/>
    <n v="0"/>
    <n v="0"/>
    <n v="100"/>
    <n v="20"/>
    <s v="Mineral"/>
    <m/>
    <n v="60"/>
    <n v="163"/>
    <n v="1000000"/>
    <x v="0"/>
    <m/>
    <m/>
    <n v="50"/>
    <n v="60"/>
    <n v="95"/>
    <n v="120"/>
    <n v="70"/>
    <n v="70"/>
    <n v="465"/>
    <n v="0"/>
    <n v="0"/>
    <n v="0"/>
    <n v="2"/>
    <n v="0"/>
    <n v="0"/>
  </r>
  <r>
    <s v="Farfetch'd"/>
    <x v="111"/>
    <n v="83"/>
    <s v="83_0"/>
    <x v="0"/>
    <n v="0.8"/>
    <n v="15"/>
    <x v="4"/>
    <s v="Flying"/>
    <s v="Keen Eye"/>
    <s v="Inner Focus"/>
    <s v="Defiant"/>
    <s v="Brown"/>
    <n v="50"/>
    <n v="50"/>
    <n v="0"/>
    <n v="20"/>
    <s v="Flying"/>
    <s v="Ground"/>
    <n v="45"/>
    <n v="132"/>
    <n v="1000000"/>
    <x v="0"/>
    <m/>
    <m/>
    <n v="52"/>
    <n v="90"/>
    <n v="55"/>
    <n v="58"/>
    <n v="62"/>
    <n v="60"/>
    <n v="377"/>
    <n v="0"/>
    <n v="1"/>
    <n v="0"/>
    <n v="0"/>
    <n v="0"/>
    <n v="0"/>
  </r>
  <r>
    <s v="Farfetch'd"/>
    <x v="112"/>
    <n v="83"/>
    <s v="83_1"/>
    <x v="2"/>
    <n v="0.8"/>
    <n v="42"/>
    <x v="12"/>
    <m/>
    <s v="Steadfast"/>
    <m/>
    <s v="Scrappy"/>
    <s v="Brown"/>
    <n v="50"/>
    <n v="50"/>
    <n v="0"/>
    <n v="20"/>
    <s v="Flying"/>
    <s v="Ground"/>
    <n v="45"/>
    <n v="132"/>
    <n v="1000000"/>
    <x v="0"/>
    <m/>
    <s v="Galarian"/>
    <n v="52"/>
    <n v="95"/>
    <n v="55"/>
    <n v="58"/>
    <n v="62"/>
    <n v="55"/>
    <n v="377"/>
    <n v="0"/>
    <n v="1"/>
    <n v="0"/>
    <n v="0"/>
    <n v="0"/>
    <n v="0"/>
  </r>
  <r>
    <s v="Doduo"/>
    <x v="113"/>
    <n v="84"/>
    <s v="84_0"/>
    <x v="0"/>
    <n v="1.4"/>
    <n v="39.200000000000003"/>
    <x v="4"/>
    <s v="Flying"/>
    <s v="Run Away"/>
    <s v="Early Bird"/>
    <s v="Tangled Feet"/>
    <s v="Brown"/>
    <n v="50"/>
    <n v="50"/>
    <n v="0"/>
    <n v="20"/>
    <s v="Flying"/>
    <m/>
    <n v="190"/>
    <n v="62"/>
    <n v="1000000"/>
    <x v="0"/>
    <m/>
    <m/>
    <n v="35"/>
    <n v="85"/>
    <n v="45"/>
    <n v="35"/>
    <n v="35"/>
    <n v="75"/>
    <n v="310"/>
    <n v="0"/>
    <n v="1"/>
    <n v="0"/>
    <n v="0"/>
    <n v="0"/>
    <n v="0"/>
  </r>
  <r>
    <s v="Dodrio"/>
    <x v="114"/>
    <n v="85"/>
    <s v="85_0"/>
    <x v="0"/>
    <n v="1.8"/>
    <n v="85.2"/>
    <x v="4"/>
    <s v="Flying"/>
    <s v="Run Away"/>
    <s v="Early Bird"/>
    <s v="Tangled Feet"/>
    <s v="Brown"/>
    <n v="50"/>
    <n v="50"/>
    <n v="0"/>
    <n v="20"/>
    <s v="Flying"/>
    <m/>
    <n v="45"/>
    <n v="165"/>
    <n v="1000000"/>
    <x v="0"/>
    <m/>
    <m/>
    <n v="60"/>
    <n v="110"/>
    <n v="70"/>
    <n v="60"/>
    <n v="60"/>
    <n v="110"/>
    <n v="470"/>
    <n v="0"/>
    <n v="2"/>
    <n v="0"/>
    <n v="0"/>
    <n v="0"/>
    <n v="0"/>
  </r>
  <r>
    <s v="Seel"/>
    <x v="115"/>
    <n v="86"/>
    <s v="86_0"/>
    <x v="0"/>
    <n v="1.1000000000000001"/>
    <n v="90"/>
    <x v="2"/>
    <m/>
    <s v="Thick Fat"/>
    <s v="Hydration"/>
    <s v="Ice Body"/>
    <s v="White"/>
    <n v="50"/>
    <n v="50"/>
    <n v="0"/>
    <n v="20"/>
    <s v="Water1"/>
    <s v="Ground"/>
    <n v="190"/>
    <n v="65"/>
    <n v="1000000"/>
    <x v="0"/>
    <m/>
    <m/>
    <n v="65"/>
    <n v="45"/>
    <n v="55"/>
    <n v="45"/>
    <n v="70"/>
    <n v="45"/>
    <n v="325"/>
    <n v="0"/>
    <n v="0"/>
    <n v="0"/>
    <n v="0"/>
    <n v="1"/>
    <n v="0"/>
  </r>
  <r>
    <s v="Dewgong"/>
    <x v="116"/>
    <n v="87"/>
    <s v="87_0"/>
    <x v="0"/>
    <n v="1.7"/>
    <n v="120"/>
    <x v="2"/>
    <s v="Ice"/>
    <s v="Thick Fat"/>
    <s v="Hydration"/>
    <s v="Ice Body"/>
    <s v="White"/>
    <n v="50"/>
    <n v="50"/>
    <n v="0"/>
    <n v="20"/>
    <s v="Water1"/>
    <s v="Ground"/>
    <n v="75"/>
    <n v="166"/>
    <n v="1000000"/>
    <x v="0"/>
    <m/>
    <m/>
    <n v="90"/>
    <n v="70"/>
    <n v="80"/>
    <n v="70"/>
    <n v="95"/>
    <n v="70"/>
    <n v="475"/>
    <n v="0"/>
    <n v="0"/>
    <n v="0"/>
    <n v="0"/>
    <n v="2"/>
    <n v="0"/>
  </r>
  <r>
    <s v="Grimer"/>
    <x v="117"/>
    <n v="88"/>
    <s v="88_0"/>
    <x v="0"/>
    <n v="0.9"/>
    <n v="30"/>
    <x v="6"/>
    <m/>
    <s v="Stench"/>
    <s v="Sticky Hold"/>
    <s v="Poison Touch"/>
    <s v="Purple"/>
    <n v="50"/>
    <n v="50"/>
    <n v="0"/>
    <n v="20"/>
    <s v="Amorphous"/>
    <m/>
    <n v="190"/>
    <n v="65"/>
    <n v="1000000"/>
    <x v="0"/>
    <m/>
    <m/>
    <n v="80"/>
    <n v="80"/>
    <n v="50"/>
    <n v="40"/>
    <n v="50"/>
    <n v="25"/>
    <n v="325"/>
    <n v="1"/>
    <n v="0"/>
    <n v="0"/>
    <n v="0"/>
    <n v="0"/>
    <n v="0"/>
  </r>
  <r>
    <s v="Grimer"/>
    <x v="118"/>
    <n v="88"/>
    <s v="88_1"/>
    <x v="1"/>
    <n v="0.7"/>
    <n v="42"/>
    <x v="6"/>
    <s v="Dark"/>
    <s v="Poison Touch"/>
    <s v="Gluttony"/>
    <s v="Power of Alchemy"/>
    <s v="Green"/>
    <n v="50"/>
    <n v="50"/>
    <n v="0"/>
    <n v="20"/>
    <s v="Amorphous"/>
    <m/>
    <n v="190"/>
    <n v="65"/>
    <n v="1000000"/>
    <x v="0"/>
    <m/>
    <s v="Alolan"/>
    <n v="80"/>
    <n v="80"/>
    <n v="50"/>
    <n v="40"/>
    <n v="50"/>
    <n v="25"/>
    <n v="325"/>
    <n v="1"/>
    <n v="0"/>
    <n v="0"/>
    <n v="0"/>
    <n v="0"/>
    <n v="0"/>
  </r>
  <r>
    <s v="Muk"/>
    <x v="119"/>
    <n v="89"/>
    <s v="89_0"/>
    <x v="0"/>
    <n v="1.2"/>
    <n v="30"/>
    <x v="6"/>
    <m/>
    <s v="Stench"/>
    <s v="Sticky Hold"/>
    <s v="Poison Touch"/>
    <s v="Purple"/>
    <n v="50"/>
    <n v="50"/>
    <n v="0"/>
    <n v="20"/>
    <s v="Amorphous"/>
    <m/>
    <n v="75"/>
    <n v="175"/>
    <n v="1000000"/>
    <x v="0"/>
    <m/>
    <m/>
    <n v="105"/>
    <n v="105"/>
    <n v="75"/>
    <n v="65"/>
    <n v="100"/>
    <n v="50"/>
    <n v="500"/>
    <n v="1"/>
    <n v="1"/>
    <n v="0"/>
    <n v="0"/>
    <n v="0"/>
    <n v="0"/>
  </r>
  <r>
    <s v="Muk"/>
    <x v="120"/>
    <n v="89"/>
    <s v="89_1"/>
    <x v="1"/>
    <n v="1"/>
    <n v="52"/>
    <x v="6"/>
    <s v="Dark"/>
    <s v="Poison Touch"/>
    <s v="Gluttony"/>
    <s v="Power of Alchemy"/>
    <s v="Green"/>
    <n v="50"/>
    <n v="50"/>
    <n v="0"/>
    <n v="20"/>
    <s v="Amorphous"/>
    <m/>
    <n v="75"/>
    <n v="175"/>
    <n v="1000000"/>
    <x v="0"/>
    <m/>
    <s v="Alolan"/>
    <n v="105"/>
    <n v="105"/>
    <n v="75"/>
    <n v="65"/>
    <n v="100"/>
    <n v="50"/>
    <n v="500"/>
    <n v="1"/>
    <n v="1"/>
    <n v="0"/>
    <n v="0"/>
    <n v="0"/>
    <n v="0"/>
  </r>
  <r>
    <s v="Shellder"/>
    <x v="121"/>
    <n v="90"/>
    <s v="90_0"/>
    <x v="0"/>
    <n v="0.3"/>
    <n v="4"/>
    <x v="2"/>
    <m/>
    <s v="Shell Armor"/>
    <s v="Skill Link"/>
    <s v="Overcoat"/>
    <s v="Purple"/>
    <n v="50"/>
    <n v="50"/>
    <n v="0"/>
    <n v="20"/>
    <s v="Water3"/>
    <m/>
    <n v="190"/>
    <n v="61"/>
    <n v="1250000"/>
    <x v="0"/>
    <m/>
    <m/>
    <n v="30"/>
    <n v="65"/>
    <n v="100"/>
    <n v="45"/>
    <n v="25"/>
    <n v="40"/>
    <n v="305"/>
    <n v="0"/>
    <n v="0"/>
    <n v="1"/>
    <n v="0"/>
    <n v="0"/>
    <n v="0"/>
  </r>
  <r>
    <s v="Cloyster"/>
    <x v="122"/>
    <n v="91"/>
    <s v="91_0"/>
    <x v="0"/>
    <n v="1.5"/>
    <n v="132.5"/>
    <x v="2"/>
    <s v="Ice"/>
    <s v="Shell Armor"/>
    <s v="Skill Link"/>
    <s v="Overcoat"/>
    <s v="Purple"/>
    <n v="50"/>
    <n v="50"/>
    <n v="0"/>
    <n v="20"/>
    <s v="Water3"/>
    <m/>
    <n v="60"/>
    <n v="184"/>
    <n v="1250000"/>
    <x v="0"/>
    <m/>
    <m/>
    <n v="50"/>
    <n v="95"/>
    <n v="180"/>
    <n v="85"/>
    <n v="45"/>
    <n v="70"/>
    <n v="525"/>
    <n v="0"/>
    <n v="0"/>
    <n v="2"/>
    <n v="0"/>
    <n v="0"/>
    <n v="0"/>
  </r>
  <r>
    <s v="Gastly"/>
    <x v="123"/>
    <n v="92"/>
    <s v="92_0"/>
    <x v="0"/>
    <n v="1.3"/>
    <n v="0.1"/>
    <x v="15"/>
    <s v="Poison"/>
    <s v="Levitate"/>
    <m/>
    <m/>
    <s v="Purple"/>
    <n v="50"/>
    <n v="50"/>
    <n v="0"/>
    <n v="20"/>
    <s v="Amorphous"/>
    <m/>
    <n v="190"/>
    <n v="62"/>
    <n v="1059860"/>
    <x v="0"/>
    <m/>
    <m/>
    <n v="30"/>
    <n v="35"/>
    <n v="30"/>
    <n v="100"/>
    <n v="35"/>
    <n v="80"/>
    <n v="310"/>
    <n v="0"/>
    <n v="0"/>
    <n v="0"/>
    <n v="1"/>
    <n v="0"/>
    <n v="0"/>
  </r>
  <r>
    <s v="Haunter"/>
    <x v="124"/>
    <n v="93"/>
    <s v="93_0"/>
    <x v="0"/>
    <n v="1.6"/>
    <n v="0.1"/>
    <x v="15"/>
    <s v="Poison"/>
    <s v="Levitate"/>
    <m/>
    <m/>
    <s v="Purple"/>
    <n v="50"/>
    <n v="50"/>
    <n v="0"/>
    <n v="20"/>
    <s v="Amorphous"/>
    <m/>
    <n v="90"/>
    <n v="142"/>
    <n v="1059860"/>
    <x v="0"/>
    <m/>
    <m/>
    <n v="45"/>
    <n v="50"/>
    <n v="45"/>
    <n v="115"/>
    <n v="55"/>
    <n v="95"/>
    <n v="405"/>
    <n v="0"/>
    <n v="0"/>
    <n v="0"/>
    <n v="2"/>
    <n v="0"/>
    <n v="0"/>
  </r>
  <r>
    <s v="Gengar"/>
    <x v="125"/>
    <n v="94"/>
    <s v="94_0"/>
    <x v="0"/>
    <n v="1.5"/>
    <n v="40.5"/>
    <x v="15"/>
    <s v="Poison"/>
    <s v="Cursed Body"/>
    <m/>
    <m/>
    <s v="Purple"/>
    <n v="50"/>
    <n v="50"/>
    <n v="0"/>
    <n v="20"/>
    <s v="Amorphous"/>
    <m/>
    <n v="45"/>
    <n v="250"/>
    <n v="1059860"/>
    <x v="0"/>
    <m/>
    <m/>
    <n v="60"/>
    <n v="65"/>
    <n v="60"/>
    <n v="130"/>
    <n v="75"/>
    <n v="110"/>
    <n v="500"/>
    <n v="0"/>
    <n v="0"/>
    <n v="0"/>
    <n v="3"/>
    <n v="0"/>
    <n v="0"/>
  </r>
  <r>
    <s v="Gengar"/>
    <x v="126"/>
    <n v="94"/>
    <s v="94_1"/>
    <x v="0"/>
    <n v="1.4"/>
    <n v="40.5"/>
    <x v="15"/>
    <s v="Poison"/>
    <s v="Shadow Tag"/>
    <m/>
    <m/>
    <s v="Purple"/>
    <n v="50"/>
    <n v="50"/>
    <n v="0"/>
    <n v="20"/>
    <s v="Amorphous"/>
    <m/>
    <n v="45"/>
    <n v="270"/>
    <n v="1059860"/>
    <x v="0"/>
    <s v="Mega"/>
    <m/>
    <n v="60"/>
    <n v="65"/>
    <n v="80"/>
    <n v="170"/>
    <n v="95"/>
    <n v="130"/>
    <n v="600"/>
    <n v="0"/>
    <n v="0"/>
    <n v="0"/>
    <n v="3"/>
    <n v="0"/>
    <n v="0"/>
  </r>
  <r>
    <s v="Onix"/>
    <x v="127"/>
    <n v="95"/>
    <s v="95_0"/>
    <x v="0"/>
    <n v="8.8000000000000007"/>
    <n v="210"/>
    <x v="14"/>
    <s v="Ground"/>
    <s v="Rock Head"/>
    <s v="Sturdy"/>
    <s v="Weak Armor"/>
    <s v="Gray"/>
    <n v="50"/>
    <n v="50"/>
    <n v="0"/>
    <n v="25"/>
    <s v="Mineral"/>
    <m/>
    <n v="45"/>
    <n v="77"/>
    <n v="1000000"/>
    <x v="0"/>
    <m/>
    <m/>
    <n v="35"/>
    <n v="45"/>
    <n v="160"/>
    <n v="30"/>
    <n v="45"/>
    <n v="70"/>
    <n v="385"/>
    <n v="0"/>
    <n v="0"/>
    <n v="1"/>
    <n v="0"/>
    <n v="0"/>
    <n v="0"/>
  </r>
  <r>
    <s v="Drowzee"/>
    <x v="128"/>
    <n v="96"/>
    <s v="96_0"/>
    <x v="0"/>
    <n v="1"/>
    <n v="32.4"/>
    <x v="13"/>
    <m/>
    <s v="Insomnia"/>
    <s v="Forewarn"/>
    <s v="Inner Focus"/>
    <s v="Yellow"/>
    <n v="50"/>
    <n v="50"/>
    <n v="0"/>
    <n v="20"/>
    <s v="Human-Like"/>
    <m/>
    <n v="190"/>
    <n v="66"/>
    <n v="1000000"/>
    <x v="0"/>
    <m/>
    <m/>
    <n v="60"/>
    <n v="48"/>
    <n v="45"/>
    <n v="43"/>
    <n v="90"/>
    <n v="42"/>
    <n v="328"/>
    <n v="0"/>
    <n v="0"/>
    <n v="0"/>
    <n v="0"/>
    <n v="1"/>
    <n v="0"/>
  </r>
  <r>
    <s v="Hypno"/>
    <x v="129"/>
    <n v="97"/>
    <s v="97_0"/>
    <x v="0"/>
    <n v="1.6"/>
    <n v="75.599999999999994"/>
    <x v="13"/>
    <m/>
    <s v="Insomnia"/>
    <s v="Forewarn"/>
    <s v="Inner Focus"/>
    <s v="Yellow"/>
    <n v="50"/>
    <n v="50"/>
    <n v="0"/>
    <n v="20"/>
    <s v="Human-Like"/>
    <m/>
    <n v="75"/>
    <n v="169"/>
    <n v="1000000"/>
    <x v="0"/>
    <m/>
    <m/>
    <n v="85"/>
    <n v="73"/>
    <n v="70"/>
    <n v="73"/>
    <n v="115"/>
    <n v="67"/>
    <n v="483"/>
    <n v="0"/>
    <n v="0"/>
    <n v="0"/>
    <n v="0"/>
    <n v="2"/>
    <n v="0"/>
  </r>
  <r>
    <s v="Krabby"/>
    <x v="130"/>
    <n v="98"/>
    <s v="98_0"/>
    <x v="0"/>
    <n v="0.4"/>
    <n v="6.5"/>
    <x v="2"/>
    <m/>
    <s v="Hyper Cutter"/>
    <s v="Shell Armor"/>
    <s v="Sheer Force"/>
    <s v="Red"/>
    <n v="50"/>
    <n v="50"/>
    <n v="0"/>
    <n v="20"/>
    <s v="Water3"/>
    <m/>
    <n v="225"/>
    <n v="65"/>
    <n v="1000000"/>
    <x v="0"/>
    <m/>
    <m/>
    <n v="30"/>
    <n v="105"/>
    <n v="90"/>
    <n v="25"/>
    <n v="25"/>
    <n v="50"/>
    <n v="325"/>
    <n v="0"/>
    <n v="1"/>
    <n v="0"/>
    <n v="0"/>
    <n v="0"/>
    <n v="0"/>
  </r>
  <r>
    <s v="Kingler"/>
    <x v="131"/>
    <n v="99"/>
    <s v="99_0"/>
    <x v="0"/>
    <n v="1.3"/>
    <n v="60"/>
    <x v="2"/>
    <m/>
    <s v="Hyper Cutter"/>
    <s v="Shell Armor"/>
    <s v="Sheer Force"/>
    <s v="Red"/>
    <n v="50"/>
    <n v="50"/>
    <n v="0"/>
    <n v="20"/>
    <s v="Water3"/>
    <m/>
    <n v="60"/>
    <n v="166"/>
    <n v="1000000"/>
    <x v="0"/>
    <m/>
    <m/>
    <n v="55"/>
    <n v="130"/>
    <n v="115"/>
    <n v="50"/>
    <n v="50"/>
    <n v="75"/>
    <n v="475"/>
    <n v="0"/>
    <n v="2"/>
    <n v="0"/>
    <n v="0"/>
    <n v="0"/>
    <n v="0"/>
  </r>
  <r>
    <s v="Voltorb"/>
    <x v="132"/>
    <n v="100"/>
    <s v="100_0"/>
    <x v="0"/>
    <n v="0.5"/>
    <n v="10.4"/>
    <x v="7"/>
    <m/>
    <s v="Soundproof"/>
    <s v="Static"/>
    <s v="Aftermath"/>
    <s v="Red"/>
    <n v="0"/>
    <n v="0"/>
    <n v="100"/>
    <n v="20"/>
    <s v="Mineral"/>
    <m/>
    <n v="190"/>
    <n v="66"/>
    <n v="1000000"/>
    <x v="0"/>
    <m/>
    <m/>
    <n v="40"/>
    <n v="30"/>
    <n v="50"/>
    <n v="55"/>
    <n v="55"/>
    <n v="100"/>
    <n v="330"/>
    <n v="0"/>
    <n v="0"/>
    <n v="0"/>
    <n v="0"/>
    <n v="0"/>
    <n v="1"/>
  </r>
  <r>
    <s v="Voltorb"/>
    <x v="133"/>
    <n v="100"/>
    <s v="100_1"/>
    <x v="2"/>
    <n v="0.5"/>
    <n v="13"/>
    <x v="7"/>
    <s v="Grass"/>
    <s v="Soundproof"/>
    <s v="Static"/>
    <s v="Aftermath"/>
    <s v="Red"/>
    <n v="0"/>
    <n v="0"/>
    <n v="100"/>
    <n v="20"/>
    <s v="Mineral"/>
    <m/>
    <n v="190"/>
    <n v="66"/>
    <n v="1000000"/>
    <x v="0"/>
    <m/>
    <s v="Hisuian"/>
    <n v="40"/>
    <n v="30"/>
    <n v="50"/>
    <n v="55"/>
    <n v="55"/>
    <n v="100"/>
    <n v="330"/>
    <n v="0"/>
    <n v="0"/>
    <n v="0"/>
    <n v="0"/>
    <n v="0"/>
    <n v="1"/>
  </r>
  <r>
    <s v="Electrode"/>
    <x v="134"/>
    <n v="101"/>
    <s v="101_0"/>
    <x v="0"/>
    <n v="1.2"/>
    <n v="66.599999999999994"/>
    <x v="7"/>
    <m/>
    <s v="Soundproof"/>
    <s v="Static"/>
    <s v="Aftermath"/>
    <s v="Red"/>
    <n v="0"/>
    <n v="0"/>
    <n v="100"/>
    <n v="20"/>
    <s v="Mineral"/>
    <m/>
    <n v="60"/>
    <n v="172"/>
    <n v="1000000"/>
    <x v="0"/>
    <m/>
    <m/>
    <n v="60"/>
    <n v="50"/>
    <n v="70"/>
    <n v="80"/>
    <n v="80"/>
    <n v="150"/>
    <n v="490"/>
    <n v="0"/>
    <n v="0"/>
    <n v="0"/>
    <n v="0"/>
    <n v="0"/>
    <n v="2"/>
  </r>
  <r>
    <s v="Electrode"/>
    <x v="135"/>
    <n v="101"/>
    <s v="101_1"/>
    <x v="2"/>
    <n v="1.2"/>
    <n v="71"/>
    <x v="7"/>
    <s v="Grass"/>
    <s v="Soundproof"/>
    <s v="Static"/>
    <s v="Aftermath"/>
    <s v="Red"/>
    <n v="0"/>
    <n v="0"/>
    <n v="100"/>
    <n v="20"/>
    <s v="Mineral"/>
    <m/>
    <n v="60"/>
    <n v="172"/>
    <n v="1000000"/>
    <x v="0"/>
    <m/>
    <s v="Hisuian"/>
    <n v="60"/>
    <n v="50"/>
    <n v="70"/>
    <n v="80"/>
    <n v="80"/>
    <n v="150"/>
    <n v="490"/>
    <n v="0"/>
    <n v="0"/>
    <n v="0"/>
    <n v="0"/>
    <n v="0"/>
    <n v="2"/>
  </r>
  <r>
    <s v="Exeggcute"/>
    <x v="136"/>
    <n v="102"/>
    <s v="102_0"/>
    <x v="0"/>
    <n v="0.4"/>
    <n v="2.5"/>
    <x v="0"/>
    <s v="Psychic"/>
    <s v="Chlorophyll"/>
    <m/>
    <s v="Harvest"/>
    <s v="Pink"/>
    <n v="50"/>
    <n v="50"/>
    <n v="0"/>
    <n v="20"/>
    <s v="Grass"/>
    <m/>
    <n v="90"/>
    <n v="65"/>
    <n v="1250000"/>
    <x v="0"/>
    <m/>
    <m/>
    <n v="60"/>
    <n v="40"/>
    <n v="80"/>
    <n v="60"/>
    <n v="45"/>
    <n v="40"/>
    <n v="325"/>
    <n v="0"/>
    <n v="0"/>
    <n v="1"/>
    <n v="0"/>
    <n v="0"/>
    <n v="0"/>
  </r>
  <r>
    <s v="Exeggutor"/>
    <x v="137"/>
    <n v="103"/>
    <s v="103_0"/>
    <x v="0"/>
    <n v="2"/>
    <n v="120"/>
    <x v="0"/>
    <s v="Psychic"/>
    <s v="Chlorophyll"/>
    <m/>
    <s v="Harvest"/>
    <s v="Yellow"/>
    <n v="50"/>
    <n v="50"/>
    <n v="0"/>
    <n v="20"/>
    <s v="Grass"/>
    <m/>
    <n v="45"/>
    <n v="186"/>
    <n v="1250000"/>
    <x v="0"/>
    <m/>
    <m/>
    <n v="95"/>
    <n v="95"/>
    <n v="85"/>
    <n v="125"/>
    <n v="75"/>
    <n v="55"/>
    <n v="530"/>
    <n v="0"/>
    <n v="0"/>
    <n v="0"/>
    <n v="2"/>
    <n v="0"/>
    <n v="0"/>
  </r>
  <r>
    <s v="Exeggutor"/>
    <x v="138"/>
    <n v="103"/>
    <s v="103_1"/>
    <x v="1"/>
    <n v="10.9"/>
    <n v="415.6"/>
    <x v="0"/>
    <s v="Dragon"/>
    <s v="Frisk"/>
    <m/>
    <s v="Harvest"/>
    <s v="Yellow"/>
    <n v="50"/>
    <n v="50"/>
    <n v="0"/>
    <n v="20"/>
    <s v="Grass"/>
    <m/>
    <n v="45"/>
    <n v="186"/>
    <n v="1250000"/>
    <x v="0"/>
    <m/>
    <s v="Alolan"/>
    <n v="95"/>
    <n v="105"/>
    <n v="85"/>
    <n v="125"/>
    <n v="75"/>
    <n v="45"/>
    <n v="530"/>
    <n v="0"/>
    <n v="0"/>
    <n v="0"/>
    <n v="2"/>
    <n v="0"/>
    <n v="0"/>
  </r>
  <r>
    <s v="Cubone"/>
    <x v="139"/>
    <n v="104"/>
    <s v="104_0"/>
    <x v="0"/>
    <n v="0.4"/>
    <n v="6.5"/>
    <x v="8"/>
    <m/>
    <s v="Rock Head"/>
    <s v="Lightning Rod"/>
    <s v="Battle Armor"/>
    <s v="Brown"/>
    <n v="50"/>
    <n v="50"/>
    <n v="0"/>
    <n v="20"/>
    <s v="Monster"/>
    <m/>
    <n v="190"/>
    <n v="64"/>
    <n v="1000000"/>
    <x v="0"/>
    <m/>
    <m/>
    <n v="50"/>
    <n v="50"/>
    <n v="95"/>
    <n v="40"/>
    <n v="50"/>
    <n v="35"/>
    <n v="320"/>
    <n v="0"/>
    <n v="0"/>
    <n v="1"/>
    <n v="0"/>
    <n v="0"/>
    <n v="0"/>
  </r>
  <r>
    <s v="Marowak"/>
    <x v="140"/>
    <n v="105"/>
    <s v="105_0"/>
    <x v="0"/>
    <n v="1"/>
    <n v="45"/>
    <x v="8"/>
    <m/>
    <s v="Rock Head"/>
    <s v="Lightning Rod"/>
    <s v="Battle Armor"/>
    <s v="Brown"/>
    <n v="50"/>
    <n v="50"/>
    <n v="0"/>
    <n v="20"/>
    <s v="Monster"/>
    <m/>
    <n v="75"/>
    <n v="149"/>
    <n v="1000000"/>
    <x v="0"/>
    <m/>
    <m/>
    <n v="60"/>
    <n v="80"/>
    <n v="110"/>
    <n v="50"/>
    <n v="80"/>
    <n v="45"/>
    <n v="425"/>
    <n v="0"/>
    <n v="0"/>
    <n v="2"/>
    <n v="0"/>
    <n v="0"/>
    <n v="0"/>
  </r>
  <r>
    <s v="Marowak"/>
    <x v="141"/>
    <n v="105"/>
    <s v="105_1"/>
    <x v="1"/>
    <n v="1"/>
    <n v="34"/>
    <x v="1"/>
    <s v="Ghost"/>
    <s v="Cursed Body"/>
    <s v="Lightning Rod"/>
    <s v="Rock Head"/>
    <s v="Purple"/>
    <n v="50"/>
    <n v="50"/>
    <n v="0"/>
    <n v="20"/>
    <s v="Monster"/>
    <m/>
    <n v="75"/>
    <n v="149"/>
    <n v="1000000"/>
    <x v="0"/>
    <m/>
    <s v="Alolan"/>
    <n v="60"/>
    <n v="80"/>
    <n v="110"/>
    <n v="50"/>
    <n v="80"/>
    <n v="45"/>
    <n v="425"/>
    <n v="0"/>
    <n v="0"/>
    <n v="2"/>
    <n v="0"/>
    <n v="0"/>
    <n v="0"/>
  </r>
  <r>
    <s v="Hitmonlee"/>
    <x v="142"/>
    <n v="106"/>
    <s v="106_0"/>
    <x v="0"/>
    <n v="1.5"/>
    <n v="49.8"/>
    <x v="12"/>
    <m/>
    <s v="Limber"/>
    <s v="Reckless"/>
    <s v="Unburden"/>
    <s v="Brown"/>
    <n v="100"/>
    <n v="0"/>
    <n v="0"/>
    <n v="25"/>
    <s v="Human-Like"/>
    <m/>
    <n v="45"/>
    <n v="159"/>
    <n v="1000000"/>
    <x v="0"/>
    <m/>
    <m/>
    <n v="50"/>
    <n v="120"/>
    <n v="53"/>
    <n v="35"/>
    <n v="110"/>
    <n v="87"/>
    <n v="455"/>
    <n v="0"/>
    <n v="2"/>
    <n v="0"/>
    <n v="0"/>
    <n v="0"/>
    <n v="0"/>
  </r>
  <r>
    <s v="Hitmonchan"/>
    <x v="143"/>
    <n v="107"/>
    <s v="107_0"/>
    <x v="0"/>
    <n v="1.4"/>
    <n v="50.2"/>
    <x v="12"/>
    <m/>
    <s v="Keen Eye"/>
    <s v="Iron Fist"/>
    <s v="Inner Focus"/>
    <s v="Brown"/>
    <n v="100"/>
    <n v="0"/>
    <n v="0"/>
    <n v="25"/>
    <s v="Human-Like"/>
    <m/>
    <n v="45"/>
    <n v="159"/>
    <n v="1000000"/>
    <x v="0"/>
    <m/>
    <m/>
    <n v="50"/>
    <n v="105"/>
    <n v="79"/>
    <n v="35"/>
    <n v="110"/>
    <n v="76"/>
    <n v="455"/>
    <n v="0"/>
    <n v="0"/>
    <n v="0"/>
    <n v="0"/>
    <n v="2"/>
    <n v="0"/>
  </r>
  <r>
    <s v="Lickitung"/>
    <x v="144"/>
    <n v="108"/>
    <s v="108_0"/>
    <x v="0"/>
    <n v="1.2"/>
    <n v="65.5"/>
    <x v="4"/>
    <m/>
    <s v="Own Tempo"/>
    <s v="Oblivious"/>
    <s v="Cloud Nine"/>
    <s v="Pink"/>
    <n v="50"/>
    <n v="50"/>
    <n v="0"/>
    <n v="20"/>
    <s v="Monster"/>
    <m/>
    <n v="45"/>
    <n v="77"/>
    <n v="1000000"/>
    <x v="0"/>
    <m/>
    <m/>
    <n v="90"/>
    <n v="55"/>
    <n v="75"/>
    <n v="60"/>
    <n v="75"/>
    <n v="30"/>
    <n v="385"/>
    <n v="2"/>
    <n v="0"/>
    <n v="0"/>
    <n v="0"/>
    <n v="0"/>
    <n v="0"/>
  </r>
  <r>
    <s v="Koffing"/>
    <x v="145"/>
    <n v="109"/>
    <s v="109_0"/>
    <x v="0"/>
    <n v="0.6"/>
    <n v="1"/>
    <x v="6"/>
    <m/>
    <s v="Levitate"/>
    <s v="Neutralizing Gas"/>
    <s v="Stench"/>
    <s v="Purple"/>
    <n v="50"/>
    <n v="50"/>
    <n v="0"/>
    <n v="20"/>
    <s v="Amorphous"/>
    <m/>
    <n v="190"/>
    <n v="68"/>
    <n v="1000000"/>
    <x v="0"/>
    <m/>
    <m/>
    <n v="40"/>
    <n v="65"/>
    <n v="95"/>
    <n v="60"/>
    <n v="45"/>
    <n v="35"/>
    <n v="340"/>
    <n v="0"/>
    <n v="0"/>
    <n v="1"/>
    <n v="0"/>
    <n v="0"/>
    <n v="0"/>
  </r>
  <r>
    <s v="Weezing"/>
    <x v="146"/>
    <n v="110"/>
    <s v="110_0"/>
    <x v="0"/>
    <n v="1.2"/>
    <n v="9.5"/>
    <x v="6"/>
    <m/>
    <s v="Levitate"/>
    <s v="Neutralizing Gas"/>
    <s v="Stench"/>
    <s v="Purple"/>
    <n v="50"/>
    <n v="50"/>
    <n v="0"/>
    <n v="20"/>
    <s v="Amorphous"/>
    <m/>
    <n v="60"/>
    <n v="172"/>
    <n v="1000000"/>
    <x v="0"/>
    <m/>
    <m/>
    <n v="65"/>
    <n v="90"/>
    <n v="120"/>
    <n v="85"/>
    <n v="70"/>
    <n v="60"/>
    <n v="490"/>
    <n v="0"/>
    <n v="0"/>
    <n v="2"/>
    <n v="0"/>
    <n v="0"/>
    <n v="0"/>
  </r>
  <r>
    <s v="Weezing"/>
    <x v="147"/>
    <n v="110"/>
    <s v="110_1"/>
    <x v="2"/>
    <n v="3"/>
    <n v="16"/>
    <x v="6"/>
    <s v="Fairy"/>
    <s v="Levitate"/>
    <s v="Neutralizing Gas"/>
    <s v="Misty Surge"/>
    <s v="Gray"/>
    <n v="50"/>
    <n v="50"/>
    <n v="0"/>
    <n v="20"/>
    <s v="Amorphous"/>
    <m/>
    <n v="60"/>
    <n v="172"/>
    <n v="1000000"/>
    <x v="0"/>
    <m/>
    <s v="Galarian"/>
    <n v="65"/>
    <n v="90"/>
    <n v="120"/>
    <n v="85"/>
    <n v="70"/>
    <n v="60"/>
    <n v="490"/>
    <n v="0"/>
    <n v="0"/>
    <n v="2"/>
    <n v="0"/>
    <n v="0"/>
    <n v="0"/>
  </r>
  <r>
    <s v="Rhyhorn"/>
    <x v="148"/>
    <n v="111"/>
    <s v="111_0"/>
    <x v="0"/>
    <n v="1"/>
    <n v="115"/>
    <x v="8"/>
    <s v="Rock"/>
    <s v="Lightning Rod"/>
    <s v="Rock Head"/>
    <s v="Reckless"/>
    <s v="Gray"/>
    <n v="50"/>
    <n v="50"/>
    <n v="0"/>
    <n v="20"/>
    <s v="Monster"/>
    <s v="Ground"/>
    <n v="120"/>
    <n v="69"/>
    <n v="1250000"/>
    <x v="0"/>
    <m/>
    <m/>
    <n v="80"/>
    <n v="85"/>
    <n v="95"/>
    <n v="30"/>
    <n v="30"/>
    <n v="25"/>
    <n v="345"/>
    <n v="0"/>
    <n v="0"/>
    <n v="1"/>
    <n v="0"/>
    <n v="0"/>
    <n v="0"/>
  </r>
  <r>
    <s v="Rhydon"/>
    <x v="149"/>
    <n v="112"/>
    <s v="112_0"/>
    <x v="0"/>
    <n v="1.9"/>
    <n v="120"/>
    <x v="8"/>
    <s v="Rock"/>
    <s v="Lightning Rod"/>
    <s v="Rock Head"/>
    <s v="Reckless"/>
    <s v="Gray"/>
    <n v="50"/>
    <n v="50"/>
    <n v="0"/>
    <n v="20"/>
    <s v="Monster"/>
    <s v="Ground"/>
    <n v="60"/>
    <n v="170"/>
    <n v="1250000"/>
    <x v="0"/>
    <m/>
    <m/>
    <n v="105"/>
    <n v="130"/>
    <n v="120"/>
    <n v="45"/>
    <n v="45"/>
    <n v="40"/>
    <n v="485"/>
    <n v="0"/>
    <n v="2"/>
    <n v="0"/>
    <n v="0"/>
    <n v="0"/>
    <n v="0"/>
  </r>
  <r>
    <s v="Chansey"/>
    <x v="150"/>
    <n v="113"/>
    <s v="113_0"/>
    <x v="0"/>
    <n v="1.1000000000000001"/>
    <n v="34.6"/>
    <x v="4"/>
    <m/>
    <s v="Natural Cure"/>
    <s v="Serene Grace"/>
    <s v="Healer"/>
    <s v="Pink"/>
    <n v="0"/>
    <n v="100"/>
    <n v="0"/>
    <n v="40"/>
    <s v="Fairy"/>
    <m/>
    <n v="30"/>
    <n v="395"/>
    <n v="800000"/>
    <x v="0"/>
    <m/>
    <m/>
    <n v="250"/>
    <n v="5"/>
    <n v="5"/>
    <n v="35"/>
    <n v="105"/>
    <n v="50"/>
    <n v="450"/>
    <n v="2"/>
    <n v="0"/>
    <n v="0"/>
    <n v="0"/>
    <n v="0"/>
    <n v="0"/>
  </r>
  <r>
    <s v="Tangela"/>
    <x v="151"/>
    <n v="114"/>
    <s v="114_0"/>
    <x v="0"/>
    <n v="1"/>
    <n v="35"/>
    <x v="0"/>
    <m/>
    <s v="Chlorophyll"/>
    <s v="Leaf Guard"/>
    <s v="Regenerator"/>
    <s v="Blue"/>
    <n v="50"/>
    <n v="50"/>
    <n v="0"/>
    <n v="20"/>
    <s v="Grass"/>
    <m/>
    <n v="45"/>
    <n v="87"/>
    <n v="1000000"/>
    <x v="0"/>
    <m/>
    <m/>
    <n v="65"/>
    <n v="55"/>
    <n v="115"/>
    <n v="100"/>
    <n v="40"/>
    <n v="60"/>
    <n v="435"/>
    <n v="0"/>
    <n v="0"/>
    <n v="1"/>
    <n v="0"/>
    <n v="0"/>
    <n v="0"/>
  </r>
  <r>
    <s v="Kangaskhan"/>
    <x v="152"/>
    <n v="115"/>
    <s v="115_0"/>
    <x v="0"/>
    <n v="2.2000000000000002"/>
    <n v="80"/>
    <x v="4"/>
    <m/>
    <s v="Early Bird"/>
    <s v="Scrappy"/>
    <s v="Inner Focus"/>
    <s v="Brown"/>
    <n v="0"/>
    <n v="100"/>
    <n v="0"/>
    <n v="20"/>
    <s v="Monster"/>
    <m/>
    <n v="45"/>
    <n v="172"/>
    <n v="1000000"/>
    <x v="0"/>
    <m/>
    <m/>
    <n v="105"/>
    <n v="95"/>
    <n v="80"/>
    <n v="40"/>
    <n v="80"/>
    <n v="90"/>
    <n v="490"/>
    <n v="2"/>
    <n v="0"/>
    <n v="0"/>
    <n v="0"/>
    <n v="0"/>
    <n v="0"/>
  </r>
  <r>
    <s v="Kangaskhan"/>
    <x v="153"/>
    <n v="115"/>
    <s v="115_1"/>
    <x v="0"/>
    <n v="2.2000000000000002"/>
    <n v="100"/>
    <x v="4"/>
    <m/>
    <s v="Parental Bond"/>
    <m/>
    <m/>
    <s v="Brown"/>
    <n v="0"/>
    <n v="100"/>
    <n v="0"/>
    <n v="20"/>
    <s v="Monster"/>
    <m/>
    <n v="45"/>
    <n v="207"/>
    <n v="1000000"/>
    <x v="0"/>
    <s v="Mega"/>
    <m/>
    <n v="105"/>
    <n v="125"/>
    <n v="100"/>
    <n v="60"/>
    <n v="100"/>
    <n v="100"/>
    <n v="590"/>
    <n v="2"/>
    <n v="0"/>
    <n v="0"/>
    <n v="0"/>
    <n v="0"/>
    <n v="0"/>
  </r>
  <r>
    <s v="Horsea"/>
    <x v="154"/>
    <n v="116"/>
    <s v="116_0"/>
    <x v="0"/>
    <n v="0.4"/>
    <n v="8"/>
    <x v="2"/>
    <m/>
    <s v="Swift Swim"/>
    <s v="Sniper"/>
    <s v="Damp"/>
    <s v="Blue"/>
    <n v="50"/>
    <n v="50"/>
    <n v="0"/>
    <n v="20"/>
    <s v="Water1"/>
    <s v="Dragon"/>
    <n v="225"/>
    <n v="59"/>
    <n v="1000000"/>
    <x v="0"/>
    <m/>
    <m/>
    <n v="30"/>
    <n v="40"/>
    <n v="70"/>
    <n v="70"/>
    <n v="25"/>
    <n v="60"/>
    <n v="295"/>
    <n v="0"/>
    <n v="0"/>
    <n v="0"/>
    <n v="1"/>
    <n v="0"/>
    <n v="0"/>
  </r>
  <r>
    <s v="Seadra"/>
    <x v="155"/>
    <n v="117"/>
    <s v="117_0"/>
    <x v="0"/>
    <n v="1.2"/>
    <n v="25"/>
    <x v="2"/>
    <m/>
    <s v="Poison Point"/>
    <s v="Sniper"/>
    <s v="Damp"/>
    <s v="Blue"/>
    <n v="50"/>
    <n v="50"/>
    <n v="0"/>
    <n v="20"/>
    <s v="Water1"/>
    <s v="Dragon"/>
    <n v="75"/>
    <n v="154"/>
    <n v="1000000"/>
    <x v="0"/>
    <m/>
    <m/>
    <n v="55"/>
    <n v="65"/>
    <n v="95"/>
    <n v="95"/>
    <n v="45"/>
    <n v="85"/>
    <n v="440"/>
    <n v="0"/>
    <n v="0"/>
    <n v="1"/>
    <n v="1"/>
    <n v="0"/>
    <n v="0"/>
  </r>
  <r>
    <s v="Goldeen"/>
    <x v="156"/>
    <n v="118"/>
    <s v="118_0"/>
    <x v="0"/>
    <n v="0.6"/>
    <n v="15"/>
    <x v="2"/>
    <m/>
    <s v="Swift Swim"/>
    <s v="Water Veil"/>
    <s v="Lightning Rod"/>
    <s v="Red"/>
    <n v="50"/>
    <n v="50"/>
    <n v="0"/>
    <n v="20"/>
    <s v="Water2"/>
    <m/>
    <n v="225"/>
    <n v="64"/>
    <n v="1000000"/>
    <x v="0"/>
    <m/>
    <m/>
    <n v="45"/>
    <n v="67"/>
    <n v="60"/>
    <n v="35"/>
    <n v="50"/>
    <n v="63"/>
    <n v="320"/>
    <n v="0"/>
    <n v="1"/>
    <n v="0"/>
    <n v="0"/>
    <n v="0"/>
    <n v="0"/>
  </r>
  <r>
    <s v="Seaking"/>
    <x v="157"/>
    <n v="119"/>
    <s v="119_0"/>
    <x v="0"/>
    <n v="1.3"/>
    <n v="39"/>
    <x v="2"/>
    <m/>
    <s v="Swift Swim"/>
    <s v="Water Veil"/>
    <s v="Lightning Rod"/>
    <s v="Red"/>
    <n v="50"/>
    <n v="50"/>
    <n v="0"/>
    <n v="20"/>
    <s v="Water2"/>
    <m/>
    <n v="60"/>
    <n v="158"/>
    <n v="1000000"/>
    <x v="0"/>
    <m/>
    <m/>
    <n v="80"/>
    <n v="92"/>
    <n v="65"/>
    <n v="65"/>
    <n v="80"/>
    <n v="68"/>
    <n v="450"/>
    <n v="0"/>
    <n v="2"/>
    <n v="0"/>
    <n v="0"/>
    <n v="0"/>
    <n v="0"/>
  </r>
  <r>
    <s v="Staryu"/>
    <x v="158"/>
    <n v="120"/>
    <s v="120_0"/>
    <x v="0"/>
    <n v="0.8"/>
    <n v="34.5"/>
    <x v="2"/>
    <m/>
    <s v="Illuminate"/>
    <s v="Natural Cure"/>
    <s v="Analytic"/>
    <s v="Brown"/>
    <n v="0"/>
    <n v="0"/>
    <n v="100"/>
    <n v="20"/>
    <s v="Water3"/>
    <m/>
    <n v="225"/>
    <n v="68"/>
    <n v="1250000"/>
    <x v="0"/>
    <m/>
    <m/>
    <n v="30"/>
    <n v="45"/>
    <n v="55"/>
    <n v="70"/>
    <n v="55"/>
    <n v="85"/>
    <n v="340"/>
    <n v="0"/>
    <n v="0"/>
    <n v="0"/>
    <n v="0"/>
    <n v="0"/>
    <n v="1"/>
  </r>
  <r>
    <s v="Starmie"/>
    <x v="159"/>
    <n v="121"/>
    <s v="121_0"/>
    <x v="0"/>
    <n v="1.1000000000000001"/>
    <n v="80"/>
    <x v="2"/>
    <s v="Psychic"/>
    <s v="Illuminate"/>
    <s v="Natural Cure"/>
    <s v="Analytic"/>
    <s v="Purple"/>
    <n v="0"/>
    <n v="0"/>
    <n v="100"/>
    <n v="20"/>
    <s v="Water3"/>
    <m/>
    <n v="60"/>
    <n v="182"/>
    <n v="1250000"/>
    <x v="0"/>
    <m/>
    <m/>
    <n v="60"/>
    <n v="75"/>
    <n v="85"/>
    <n v="100"/>
    <n v="85"/>
    <n v="115"/>
    <n v="520"/>
    <n v="0"/>
    <n v="0"/>
    <n v="0"/>
    <n v="0"/>
    <n v="0"/>
    <n v="2"/>
  </r>
  <r>
    <s v="Mr. Mime"/>
    <x v="160"/>
    <n v="122"/>
    <s v="122_0"/>
    <x v="0"/>
    <n v="1.3"/>
    <n v="54.5"/>
    <x v="13"/>
    <s v="Fairy"/>
    <s v="Soundproof"/>
    <s v="Filter"/>
    <s v="Technician"/>
    <s v="Pink"/>
    <n v="50"/>
    <n v="50"/>
    <n v="0"/>
    <n v="25"/>
    <s v="Human-Like"/>
    <m/>
    <n v="45"/>
    <n v="161"/>
    <n v="1000000"/>
    <x v="0"/>
    <m/>
    <m/>
    <n v="40"/>
    <n v="45"/>
    <n v="65"/>
    <n v="100"/>
    <n v="120"/>
    <n v="90"/>
    <n v="460"/>
    <n v="0"/>
    <n v="0"/>
    <n v="0"/>
    <n v="0"/>
    <n v="2"/>
    <n v="0"/>
  </r>
  <r>
    <s v="Mr. Mime"/>
    <x v="161"/>
    <n v="122"/>
    <s v="122_1"/>
    <x v="2"/>
    <n v="1.4"/>
    <n v="56.8"/>
    <x v="9"/>
    <s v="Psychic"/>
    <s v="Vital Spirit"/>
    <s v="Screen Cleaner"/>
    <s v="Ice Body"/>
    <s v="White"/>
    <n v="50"/>
    <n v="50"/>
    <n v="0"/>
    <n v="25"/>
    <s v="Human-Like"/>
    <m/>
    <n v="45"/>
    <n v="161"/>
    <n v="1000000"/>
    <x v="0"/>
    <m/>
    <s v="Galarian"/>
    <n v="50"/>
    <n v="65"/>
    <n v="65"/>
    <n v="90"/>
    <n v="90"/>
    <n v="100"/>
    <n v="460"/>
    <n v="0"/>
    <n v="0"/>
    <n v="0"/>
    <n v="0"/>
    <n v="0"/>
    <n v="2"/>
  </r>
  <r>
    <s v="Scyther"/>
    <x v="162"/>
    <n v="123"/>
    <s v="123_0"/>
    <x v="0"/>
    <n v="1.5"/>
    <n v="56"/>
    <x v="3"/>
    <s v="Flying"/>
    <s v="Swarm"/>
    <s v="Technician"/>
    <s v="Steadfast"/>
    <s v="Green"/>
    <n v="50"/>
    <n v="50"/>
    <n v="0"/>
    <n v="25"/>
    <s v="Bug"/>
    <m/>
    <n v="45"/>
    <n v="100"/>
    <n v="1000000"/>
    <x v="0"/>
    <m/>
    <m/>
    <n v="70"/>
    <n v="110"/>
    <n v="80"/>
    <n v="55"/>
    <n v="80"/>
    <n v="105"/>
    <n v="500"/>
    <n v="0"/>
    <n v="1"/>
    <n v="0"/>
    <n v="0"/>
    <n v="0"/>
    <n v="0"/>
  </r>
  <r>
    <s v="Jynx"/>
    <x v="163"/>
    <n v="124"/>
    <s v="124_0"/>
    <x v="0"/>
    <n v="1.4"/>
    <n v="40.6"/>
    <x v="9"/>
    <s v="Psychic"/>
    <s v="Oblivious"/>
    <s v="Forewarn"/>
    <s v="Dry Skin"/>
    <s v="Red"/>
    <n v="0"/>
    <n v="100"/>
    <n v="0"/>
    <n v="25"/>
    <s v="Human-Like"/>
    <m/>
    <n v="45"/>
    <n v="159"/>
    <n v="1000000"/>
    <x v="0"/>
    <m/>
    <m/>
    <n v="65"/>
    <n v="50"/>
    <n v="35"/>
    <n v="115"/>
    <n v="95"/>
    <n v="95"/>
    <n v="455"/>
    <n v="0"/>
    <n v="0"/>
    <n v="0"/>
    <n v="2"/>
    <n v="0"/>
    <n v="0"/>
  </r>
  <r>
    <s v="Electabuzz"/>
    <x v="164"/>
    <n v="125"/>
    <s v="125_0"/>
    <x v="0"/>
    <n v="1.1000000000000001"/>
    <n v="30"/>
    <x v="7"/>
    <m/>
    <s v="Static"/>
    <m/>
    <s v="Vital Spirit"/>
    <s v="Yellow"/>
    <n v="75"/>
    <n v="25"/>
    <n v="0"/>
    <n v="25"/>
    <s v="Human-Like"/>
    <m/>
    <n v="45"/>
    <n v="172"/>
    <n v="1000000"/>
    <x v="0"/>
    <m/>
    <m/>
    <n v="65"/>
    <n v="83"/>
    <n v="57"/>
    <n v="95"/>
    <n v="85"/>
    <n v="105"/>
    <n v="490"/>
    <n v="0"/>
    <n v="0"/>
    <n v="0"/>
    <n v="0"/>
    <n v="0"/>
    <n v="2"/>
  </r>
  <r>
    <s v="Magmar"/>
    <x v="165"/>
    <n v="126"/>
    <s v="126_0"/>
    <x v="0"/>
    <n v="1.3"/>
    <n v="44.5"/>
    <x v="1"/>
    <m/>
    <s v="Flame Body"/>
    <m/>
    <s v="Vital Spirit"/>
    <s v="Red"/>
    <n v="75"/>
    <n v="25"/>
    <n v="0"/>
    <n v="25"/>
    <s v="Human-Like"/>
    <m/>
    <n v="45"/>
    <n v="173"/>
    <n v="1000000"/>
    <x v="0"/>
    <m/>
    <m/>
    <n v="65"/>
    <n v="95"/>
    <n v="57"/>
    <n v="100"/>
    <n v="85"/>
    <n v="93"/>
    <n v="495"/>
    <n v="0"/>
    <n v="0"/>
    <n v="0"/>
    <n v="2"/>
    <n v="0"/>
    <n v="0"/>
  </r>
  <r>
    <s v="Pinsir"/>
    <x v="166"/>
    <n v="127"/>
    <s v="127_0"/>
    <x v="0"/>
    <n v="1.5"/>
    <n v="55"/>
    <x v="3"/>
    <m/>
    <s v="Hyper Cutter"/>
    <s v="Mold Breaker"/>
    <s v="Moxie"/>
    <s v="Brown"/>
    <n v="50"/>
    <n v="50"/>
    <n v="0"/>
    <n v="25"/>
    <s v="Bug"/>
    <m/>
    <n v="45"/>
    <n v="175"/>
    <n v="1250000"/>
    <x v="0"/>
    <m/>
    <m/>
    <n v="65"/>
    <n v="125"/>
    <n v="100"/>
    <n v="55"/>
    <n v="70"/>
    <n v="85"/>
    <n v="500"/>
    <n v="0"/>
    <n v="2"/>
    <n v="0"/>
    <n v="0"/>
    <n v="0"/>
    <n v="0"/>
  </r>
  <r>
    <s v="Pinsir"/>
    <x v="167"/>
    <n v="127"/>
    <s v="127_1"/>
    <x v="0"/>
    <n v="1.7"/>
    <n v="59"/>
    <x v="3"/>
    <s v="Flying"/>
    <s v="Aerilate"/>
    <m/>
    <m/>
    <s v="Brown"/>
    <n v="50"/>
    <n v="50"/>
    <n v="0"/>
    <n v="25"/>
    <s v="Bug"/>
    <m/>
    <n v="45"/>
    <n v="210"/>
    <n v="1250000"/>
    <x v="0"/>
    <s v="Mega"/>
    <m/>
    <n v="65"/>
    <n v="155"/>
    <n v="120"/>
    <n v="65"/>
    <n v="90"/>
    <n v="105"/>
    <n v="600"/>
    <n v="0"/>
    <n v="2"/>
    <n v="0"/>
    <n v="0"/>
    <n v="0"/>
    <n v="0"/>
  </r>
  <r>
    <s v="Tauros"/>
    <x v="168"/>
    <n v="128"/>
    <s v="128_0"/>
    <x v="0"/>
    <n v="1.4"/>
    <n v="88.4"/>
    <x v="4"/>
    <m/>
    <s v="Intimidate"/>
    <s v="Anger Point"/>
    <s v="Sheer Force"/>
    <s v="Brown"/>
    <n v="100"/>
    <n v="0"/>
    <n v="0"/>
    <n v="20"/>
    <s v="Ground"/>
    <m/>
    <n v="45"/>
    <n v="172"/>
    <n v="1250000"/>
    <x v="0"/>
    <m/>
    <m/>
    <n v="75"/>
    <n v="100"/>
    <n v="95"/>
    <n v="40"/>
    <n v="70"/>
    <n v="110"/>
    <n v="490"/>
    <n v="0"/>
    <n v="1"/>
    <n v="0"/>
    <n v="0"/>
    <n v="0"/>
    <n v="1"/>
  </r>
  <r>
    <s v="Tauros"/>
    <x v="169"/>
    <n v="128"/>
    <s v="128_1"/>
    <x v="0"/>
    <n v="1.4"/>
    <n v="115"/>
    <x v="12"/>
    <m/>
    <s v="Intimidate"/>
    <s v="Anger Point"/>
    <s v="Cud Chew"/>
    <s v="Brown"/>
    <n v="100"/>
    <n v="0"/>
    <n v="0"/>
    <n v="20"/>
    <s v="Ground"/>
    <m/>
    <n v="45"/>
    <n v="172"/>
    <n v="1250000"/>
    <x v="0"/>
    <m/>
    <m/>
    <n v="75"/>
    <n v="110"/>
    <n v="105"/>
    <n v="30"/>
    <n v="70"/>
    <n v="100"/>
    <n v="490"/>
    <n v="0"/>
    <n v="2"/>
    <n v="0"/>
    <n v="0"/>
    <n v="0"/>
    <n v="0"/>
  </r>
  <r>
    <s v="Tauros"/>
    <x v="170"/>
    <n v="128"/>
    <s v="128_2"/>
    <x v="3"/>
    <n v="1.4"/>
    <n v="85"/>
    <x v="12"/>
    <s v="Fire"/>
    <s v="Intimidate"/>
    <s v="Anger Point"/>
    <s v="Cud Chew"/>
    <s v="Brown"/>
    <n v="100"/>
    <n v="0"/>
    <n v="0"/>
    <n v="20"/>
    <s v="Ground"/>
    <m/>
    <n v="45"/>
    <n v="172"/>
    <n v="1250000"/>
    <x v="0"/>
    <m/>
    <s v="Paldean"/>
    <n v="75"/>
    <n v="110"/>
    <n v="105"/>
    <n v="30"/>
    <n v="70"/>
    <n v="100"/>
    <n v="490"/>
    <n v="0"/>
    <n v="2"/>
    <n v="0"/>
    <n v="0"/>
    <n v="0"/>
    <n v="0"/>
  </r>
  <r>
    <s v="Tauros"/>
    <x v="171"/>
    <n v="128"/>
    <s v="128_3"/>
    <x v="3"/>
    <n v="1.4"/>
    <n v="110"/>
    <x v="12"/>
    <s v="Water"/>
    <s v="Intimidate"/>
    <s v="Anger Point"/>
    <s v="Cud Chew"/>
    <s v="Brown"/>
    <n v="100"/>
    <n v="0"/>
    <n v="0"/>
    <n v="20"/>
    <s v="Ground"/>
    <m/>
    <n v="45"/>
    <n v="172"/>
    <n v="1250000"/>
    <x v="0"/>
    <m/>
    <s v="Paldean"/>
    <n v="75"/>
    <n v="110"/>
    <n v="105"/>
    <n v="30"/>
    <n v="70"/>
    <n v="100"/>
    <n v="490"/>
    <n v="0"/>
    <n v="2"/>
    <n v="0"/>
    <n v="0"/>
    <n v="0"/>
    <n v="0"/>
  </r>
  <r>
    <s v="Magikarp"/>
    <x v="172"/>
    <n v="129"/>
    <s v="129_0"/>
    <x v="0"/>
    <n v="0.9"/>
    <n v="10"/>
    <x v="2"/>
    <m/>
    <s v="Swift Swim"/>
    <m/>
    <s v="Rattled"/>
    <s v="Red"/>
    <n v="50"/>
    <n v="50"/>
    <n v="0"/>
    <n v="5"/>
    <s v="Water2"/>
    <s v="Dragon"/>
    <n v="255"/>
    <n v="40"/>
    <n v="1250000"/>
    <x v="0"/>
    <m/>
    <m/>
    <n v="20"/>
    <n v="10"/>
    <n v="55"/>
    <n v="15"/>
    <n v="20"/>
    <n v="80"/>
    <n v="200"/>
    <n v="0"/>
    <n v="0"/>
    <n v="0"/>
    <n v="0"/>
    <n v="0"/>
    <n v="1"/>
  </r>
  <r>
    <s v="Gyarados"/>
    <x v="173"/>
    <n v="130"/>
    <s v="130_0"/>
    <x v="0"/>
    <n v="6.5"/>
    <n v="235"/>
    <x v="2"/>
    <s v="Flying"/>
    <s v="Intimidate"/>
    <m/>
    <s v="Moxie"/>
    <s v="Blue"/>
    <n v="50"/>
    <n v="50"/>
    <n v="0"/>
    <n v="5"/>
    <s v="Water2"/>
    <s v="Dragon"/>
    <n v="45"/>
    <n v="189"/>
    <n v="1250000"/>
    <x v="0"/>
    <m/>
    <m/>
    <n v="95"/>
    <n v="125"/>
    <n v="79"/>
    <n v="60"/>
    <n v="100"/>
    <n v="81"/>
    <n v="540"/>
    <n v="0"/>
    <n v="2"/>
    <n v="0"/>
    <n v="0"/>
    <n v="0"/>
    <n v="0"/>
  </r>
  <r>
    <s v="Gyarados"/>
    <x v="174"/>
    <n v="130"/>
    <s v="130_1"/>
    <x v="0"/>
    <n v="6.5"/>
    <n v="305"/>
    <x v="2"/>
    <s v="Dark"/>
    <s v="Mold Breaker"/>
    <m/>
    <m/>
    <s v="Blue"/>
    <n v="50"/>
    <n v="50"/>
    <n v="0"/>
    <n v="5"/>
    <s v="Water2"/>
    <s v="Dragon"/>
    <n v="45"/>
    <n v="224"/>
    <n v="1250000"/>
    <x v="0"/>
    <s v="Mega"/>
    <m/>
    <n v="95"/>
    <n v="155"/>
    <n v="109"/>
    <n v="70"/>
    <n v="130"/>
    <n v="81"/>
    <n v="640"/>
    <n v="0"/>
    <n v="2"/>
    <n v="0"/>
    <n v="0"/>
    <n v="0"/>
    <n v="0"/>
  </r>
  <r>
    <s v="Lapras"/>
    <x v="175"/>
    <n v="131"/>
    <s v="131_0"/>
    <x v="0"/>
    <n v="2.5"/>
    <n v="220"/>
    <x v="2"/>
    <s v="Ice"/>
    <s v="Water Absorb"/>
    <s v="Shell Armor"/>
    <s v="Hydration"/>
    <s v="Blue"/>
    <n v="50"/>
    <n v="50"/>
    <n v="0"/>
    <n v="40"/>
    <s v="Monster"/>
    <s v="Water1"/>
    <n v="45"/>
    <n v="187"/>
    <n v="1250000"/>
    <x v="0"/>
    <m/>
    <m/>
    <n v="130"/>
    <n v="85"/>
    <n v="80"/>
    <n v="85"/>
    <n v="95"/>
    <n v="60"/>
    <n v="535"/>
    <n v="2"/>
    <n v="0"/>
    <n v="0"/>
    <n v="0"/>
    <n v="0"/>
    <n v="0"/>
  </r>
  <r>
    <s v="Ditto"/>
    <x v="176"/>
    <n v="132"/>
    <s v="132_0"/>
    <x v="0"/>
    <n v="0.3"/>
    <n v="4"/>
    <x v="4"/>
    <m/>
    <s v="Limber"/>
    <m/>
    <s v="Imposter"/>
    <s v="Purple"/>
    <n v="0"/>
    <n v="0"/>
    <n v="100"/>
    <n v="20"/>
    <s v="Ditto"/>
    <m/>
    <n v="35"/>
    <n v="101"/>
    <n v="1000000"/>
    <x v="0"/>
    <m/>
    <m/>
    <n v="48"/>
    <n v="48"/>
    <n v="48"/>
    <n v="48"/>
    <n v="48"/>
    <n v="48"/>
    <n v="288"/>
    <n v="1"/>
    <n v="0"/>
    <n v="0"/>
    <n v="0"/>
    <n v="0"/>
    <n v="0"/>
  </r>
  <r>
    <s v="Eevee"/>
    <x v="177"/>
    <n v="133"/>
    <s v="133_0"/>
    <x v="0"/>
    <n v="0.3"/>
    <n v="6.5"/>
    <x v="4"/>
    <m/>
    <s v="Run Away"/>
    <s v="Adaptability"/>
    <s v="Anticipation"/>
    <s v="Brown"/>
    <n v="87.5"/>
    <n v="12.5"/>
    <n v="0"/>
    <n v="35"/>
    <s v="Ground"/>
    <m/>
    <n v="45"/>
    <n v="65"/>
    <n v="1000000"/>
    <x v="0"/>
    <m/>
    <m/>
    <n v="55"/>
    <n v="55"/>
    <n v="50"/>
    <n v="45"/>
    <n v="65"/>
    <n v="55"/>
    <n v="325"/>
    <n v="0"/>
    <n v="0"/>
    <n v="0"/>
    <n v="0"/>
    <n v="1"/>
    <n v="0"/>
  </r>
  <r>
    <s v="Vaporeon"/>
    <x v="178"/>
    <n v="134"/>
    <s v="134_0"/>
    <x v="0"/>
    <n v="1"/>
    <n v="29"/>
    <x v="2"/>
    <m/>
    <s v="Water Absorb"/>
    <m/>
    <s v="Hydration"/>
    <s v="Blue"/>
    <n v="87.5"/>
    <n v="12.5"/>
    <n v="0"/>
    <n v="35"/>
    <s v="Ground"/>
    <m/>
    <n v="45"/>
    <n v="184"/>
    <n v="1000000"/>
    <x v="0"/>
    <m/>
    <m/>
    <n v="130"/>
    <n v="65"/>
    <n v="60"/>
    <n v="110"/>
    <n v="95"/>
    <n v="65"/>
    <n v="525"/>
    <n v="2"/>
    <n v="0"/>
    <n v="0"/>
    <n v="0"/>
    <n v="0"/>
    <n v="0"/>
  </r>
  <r>
    <s v="Jolteon"/>
    <x v="179"/>
    <n v="135"/>
    <s v="135_0"/>
    <x v="0"/>
    <n v="0.8"/>
    <n v="24.5"/>
    <x v="7"/>
    <m/>
    <s v="Volt Absorb"/>
    <m/>
    <s v="Quick Feet"/>
    <s v="Yellow"/>
    <n v="87.5"/>
    <n v="12.5"/>
    <n v="0"/>
    <n v="35"/>
    <s v="Ground"/>
    <m/>
    <n v="45"/>
    <n v="184"/>
    <n v="1000000"/>
    <x v="0"/>
    <m/>
    <m/>
    <n v="65"/>
    <n v="65"/>
    <n v="60"/>
    <n v="110"/>
    <n v="95"/>
    <n v="130"/>
    <n v="525"/>
    <n v="0"/>
    <n v="0"/>
    <n v="0"/>
    <n v="0"/>
    <n v="0"/>
    <n v="2"/>
  </r>
  <r>
    <s v="Flareon"/>
    <x v="180"/>
    <n v="136"/>
    <s v="136_0"/>
    <x v="0"/>
    <n v="0.9"/>
    <n v="25"/>
    <x v="1"/>
    <m/>
    <s v="Flash Fire"/>
    <m/>
    <s v="Guts"/>
    <s v="Red"/>
    <n v="87.5"/>
    <n v="12.5"/>
    <n v="0"/>
    <n v="35"/>
    <s v="Ground"/>
    <m/>
    <n v="45"/>
    <n v="184"/>
    <n v="1000000"/>
    <x v="0"/>
    <m/>
    <m/>
    <n v="65"/>
    <n v="130"/>
    <n v="60"/>
    <n v="95"/>
    <n v="110"/>
    <n v="65"/>
    <n v="525"/>
    <n v="0"/>
    <n v="2"/>
    <n v="0"/>
    <n v="0"/>
    <n v="0"/>
    <n v="0"/>
  </r>
  <r>
    <s v="Porygon"/>
    <x v="181"/>
    <n v="137"/>
    <s v="137_0"/>
    <x v="0"/>
    <n v="0.8"/>
    <n v="36.5"/>
    <x v="4"/>
    <m/>
    <s v="Trace"/>
    <s v="Download"/>
    <s v="Analytic"/>
    <s v="Pink"/>
    <n v="0"/>
    <n v="0"/>
    <n v="100"/>
    <n v="20"/>
    <s v="Mineral"/>
    <m/>
    <n v="45"/>
    <n v="79"/>
    <n v="1000000"/>
    <x v="0"/>
    <m/>
    <m/>
    <n v="65"/>
    <n v="60"/>
    <n v="70"/>
    <n v="85"/>
    <n v="75"/>
    <n v="40"/>
    <n v="395"/>
    <n v="0"/>
    <n v="0"/>
    <n v="0"/>
    <n v="1"/>
    <n v="0"/>
    <n v="0"/>
  </r>
  <r>
    <s v="Omanyte"/>
    <x v="182"/>
    <n v="138"/>
    <s v="138_0"/>
    <x v="0"/>
    <n v="0.4"/>
    <n v="7.5"/>
    <x v="14"/>
    <s v="Water"/>
    <s v="Swift Swim"/>
    <s v="Shell Armor"/>
    <s v="Weak Armor"/>
    <s v="Blue"/>
    <n v="87.5"/>
    <n v="12.5"/>
    <n v="0"/>
    <n v="30"/>
    <s v="Water1"/>
    <s v="Water3"/>
    <n v="45"/>
    <n v="71"/>
    <n v="1000000"/>
    <x v="0"/>
    <m/>
    <m/>
    <n v="35"/>
    <n v="40"/>
    <n v="100"/>
    <n v="90"/>
    <n v="55"/>
    <n v="35"/>
    <n v="355"/>
    <n v="0"/>
    <n v="0"/>
    <n v="1"/>
    <n v="0"/>
    <n v="0"/>
    <n v="0"/>
  </r>
  <r>
    <s v="Omastar"/>
    <x v="183"/>
    <n v="139"/>
    <s v="139_0"/>
    <x v="0"/>
    <n v="1"/>
    <n v="35"/>
    <x v="14"/>
    <s v="Water"/>
    <s v="Swift Swim"/>
    <s v="Shell Armor"/>
    <s v="Weak Armor"/>
    <s v="Blue"/>
    <n v="87.5"/>
    <n v="12.5"/>
    <n v="0"/>
    <n v="30"/>
    <s v="Water1"/>
    <s v="Water3"/>
    <n v="45"/>
    <n v="173"/>
    <n v="1000000"/>
    <x v="0"/>
    <m/>
    <m/>
    <n v="70"/>
    <n v="60"/>
    <n v="125"/>
    <n v="115"/>
    <n v="70"/>
    <n v="55"/>
    <n v="495"/>
    <n v="0"/>
    <n v="0"/>
    <n v="2"/>
    <n v="0"/>
    <n v="0"/>
    <n v="0"/>
  </r>
  <r>
    <s v="Kabuto"/>
    <x v="184"/>
    <n v="140"/>
    <s v="140_0"/>
    <x v="0"/>
    <n v="0.5"/>
    <n v="11.5"/>
    <x v="14"/>
    <s v="Water"/>
    <s v="Swift Swim"/>
    <s v="Battle Armor"/>
    <s v="Weak Armor"/>
    <s v="Brown"/>
    <n v="87.5"/>
    <n v="12.5"/>
    <n v="0"/>
    <n v="30"/>
    <s v="Water1"/>
    <s v="Water3"/>
    <n v="45"/>
    <n v="71"/>
    <n v="1000000"/>
    <x v="0"/>
    <m/>
    <m/>
    <n v="30"/>
    <n v="80"/>
    <n v="90"/>
    <n v="55"/>
    <n v="45"/>
    <n v="55"/>
    <n v="355"/>
    <n v="0"/>
    <n v="0"/>
    <n v="1"/>
    <n v="0"/>
    <n v="0"/>
    <n v="0"/>
  </r>
  <r>
    <s v="Kabutops"/>
    <x v="185"/>
    <n v="141"/>
    <s v="141_0"/>
    <x v="0"/>
    <n v="1.3"/>
    <n v="40.5"/>
    <x v="14"/>
    <s v="Water"/>
    <s v="Swift Swim"/>
    <s v="Battle Armor"/>
    <s v="Weak Armor"/>
    <s v="Brown"/>
    <n v="87.5"/>
    <n v="12.5"/>
    <n v="0"/>
    <n v="30"/>
    <s v="Water1"/>
    <s v="Water3"/>
    <n v="45"/>
    <n v="173"/>
    <n v="1000000"/>
    <x v="0"/>
    <m/>
    <m/>
    <n v="60"/>
    <n v="115"/>
    <n v="105"/>
    <n v="65"/>
    <n v="70"/>
    <n v="80"/>
    <n v="495"/>
    <n v="0"/>
    <n v="2"/>
    <n v="0"/>
    <n v="0"/>
    <n v="0"/>
    <n v="0"/>
  </r>
  <r>
    <s v="Aerodactyl"/>
    <x v="186"/>
    <n v="142"/>
    <s v="142_0"/>
    <x v="0"/>
    <n v="1.8"/>
    <n v="59"/>
    <x v="14"/>
    <s v="Flying"/>
    <s v="Rock Head"/>
    <s v="Pressure"/>
    <s v="Unnerve"/>
    <s v="Purple"/>
    <n v="87.5"/>
    <n v="12.5"/>
    <n v="0"/>
    <n v="35"/>
    <s v="Flying"/>
    <m/>
    <n v="45"/>
    <n v="180"/>
    <n v="1250000"/>
    <x v="0"/>
    <m/>
    <m/>
    <n v="80"/>
    <n v="105"/>
    <n v="65"/>
    <n v="60"/>
    <n v="75"/>
    <n v="130"/>
    <n v="515"/>
    <n v="0"/>
    <n v="0"/>
    <n v="0"/>
    <n v="0"/>
    <n v="0"/>
    <n v="2"/>
  </r>
  <r>
    <s v="Aerodactyl"/>
    <x v="187"/>
    <n v="142"/>
    <s v="142_1"/>
    <x v="0"/>
    <n v="2.1"/>
    <n v="79"/>
    <x v="14"/>
    <s v="Flying"/>
    <s v="Tough Claws"/>
    <m/>
    <m/>
    <s v="Purple"/>
    <n v="87.5"/>
    <n v="12.5"/>
    <n v="0"/>
    <n v="35"/>
    <s v="Flying"/>
    <m/>
    <n v="45"/>
    <n v="215"/>
    <n v="1250000"/>
    <x v="0"/>
    <s v="Mega"/>
    <m/>
    <n v="80"/>
    <n v="135"/>
    <n v="85"/>
    <n v="70"/>
    <n v="95"/>
    <n v="150"/>
    <n v="615"/>
    <n v="0"/>
    <n v="0"/>
    <n v="0"/>
    <n v="0"/>
    <n v="0"/>
    <n v="2"/>
  </r>
  <r>
    <s v="Snorlax"/>
    <x v="188"/>
    <n v="143"/>
    <s v="143_0"/>
    <x v="0"/>
    <n v="2.1"/>
    <n v="460"/>
    <x v="4"/>
    <m/>
    <s v="Immunity"/>
    <s v="Thick Fat"/>
    <s v="Gluttony"/>
    <s v="Black"/>
    <n v="87.5"/>
    <n v="12.5"/>
    <n v="0"/>
    <n v="40"/>
    <s v="Monster"/>
    <m/>
    <n v="25"/>
    <n v="189"/>
    <n v="1250000"/>
    <x v="0"/>
    <m/>
    <m/>
    <n v="160"/>
    <n v="110"/>
    <n v="65"/>
    <n v="65"/>
    <n v="110"/>
    <n v="30"/>
    <n v="540"/>
    <n v="2"/>
    <n v="0"/>
    <n v="0"/>
    <n v="0"/>
    <n v="0"/>
    <n v="0"/>
  </r>
  <r>
    <s v="Articuno"/>
    <x v="189"/>
    <n v="144"/>
    <s v="144_0"/>
    <x v="0"/>
    <n v="1.7"/>
    <n v="55.4"/>
    <x v="9"/>
    <s v="Flying"/>
    <s v="Pressure"/>
    <m/>
    <s v="Snow Cloak"/>
    <s v="Blue"/>
    <n v="0"/>
    <n v="0"/>
    <n v="100"/>
    <n v="80"/>
    <s v="Undiscovered"/>
    <m/>
    <n v="3"/>
    <n v="290"/>
    <n v="1250000"/>
    <x v="1"/>
    <m/>
    <m/>
    <n v="90"/>
    <n v="85"/>
    <n v="100"/>
    <n v="95"/>
    <n v="125"/>
    <n v="85"/>
    <n v="580"/>
    <n v="0"/>
    <n v="0"/>
    <n v="0"/>
    <n v="0"/>
    <n v="3"/>
    <n v="0"/>
  </r>
  <r>
    <s v="Articuno"/>
    <x v="190"/>
    <n v="144"/>
    <s v="144_1"/>
    <x v="2"/>
    <n v="1.7"/>
    <n v="50.9"/>
    <x v="13"/>
    <s v="Flying"/>
    <s v="Competitive"/>
    <m/>
    <m/>
    <s v="Purple"/>
    <n v="0"/>
    <n v="0"/>
    <n v="100"/>
    <n v="120"/>
    <s v="Undiscovered"/>
    <m/>
    <n v="3"/>
    <n v="290"/>
    <n v="1250000"/>
    <x v="1"/>
    <m/>
    <s v="Galarian"/>
    <n v="90"/>
    <n v="85"/>
    <n v="85"/>
    <n v="125"/>
    <n v="100"/>
    <n v="95"/>
    <n v="580"/>
    <n v="0"/>
    <n v="0"/>
    <n v="0"/>
    <n v="3"/>
    <n v="0"/>
    <n v="0"/>
  </r>
  <r>
    <s v="Zapdos"/>
    <x v="191"/>
    <n v="145"/>
    <s v="145_0"/>
    <x v="0"/>
    <n v="1.6"/>
    <n v="52.6"/>
    <x v="7"/>
    <s v="Flying"/>
    <s v="Pressure"/>
    <m/>
    <s v="Static"/>
    <s v="Yellow"/>
    <n v="0"/>
    <n v="0"/>
    <n v="100"/>
    <n v="80"/>
    <s v="Undiscovered"/>
    <m/>
    <n v="3"/>
    <n v="290"/>
    <n v="1250000"/>
    <x v="1"/>
    <m/>
    <m/>
    <n v="90"/>
    <n v="90"/>
    <n v="85"/>
    <n v="125"/>
    <n v="90"/>
    <n v="100"/>
    <n v="580"/>
    <n v="0"/>
    <n v="0"/>
    <n v="0"/>
    <n v="3"/>
    <n v="0"/>
    <n v="0"/>
  </r>
  <r>
    <s v="Zapdos"/>
    <x v="192"/>
    <n v="145"/>
    <s v="145_1"/>
    <x v="2"/>
    <n v="1.6"/>
    <n v="58.2"/>
    <x v="12"/>
    <s v="Flying"/>
    <s v="Defiant"/>
    <m/>
    <m/>
    <s v="Yellow"/>
    <n v="0"/>
    <n v="0"/>
    <n v="100"/>
    <n v="120"/>
    <s v="Undiscovered"/>
    <m/>
    <n v="3"/>
    <n v="290"/>
    <n v="1250000"/>
    <x v="1"/>
    <m/>
    <s v="Galarian"/>
    <n v="90"/>
    <n v="125"/>
    <n v="90"/>
    <n v="85"/>
    <n v="90"/>
    <n v="100"/>
    <n v="580"/>
    <n v="0"/>
    <n v="3"/>
    <n v="0"/>
    <n v="0"/>
    <n v="0"/>
    <n v="0"/>
  </r>
  <r>
    <s v="Moltres"/>
    <x v="193"/>
    <n v="146"/>
    <s v="146_0"/>
    <x v="0"/>
    <n v="2"/>
    <n v="60"/>
    <x v="1"/>
    <s v="Flying"/>
    <s v="Pressure"/>
    <m/>
    <s v="Flame Body"/>
    <s v="Yellow"/>
    <n v="0"/>
    <n v="0"/>
    <n v="100"/>
    <n v="80"/>
    <s v="Undiscovered"/>
    <m/>
    <n v="3"/>
    <n v="290"/>
    <n v="1250000"/>
    <x v="1"/>
    <m/>
    <m/>
    <n v="90"/>
    <n v="100"/>
    <n v="90"/>
    <n v="125"/>
    <n v="85"/>
    <n v="90"/>
    <n v="580"/>
    <n v="0"/>
    <n v="0"/>
    <n v="0"/>
    <n v="3"/>
    <n v="0"/>
    <n v="0"/>
  </r>
  <r>
    <s v="Moltres"/>
    <x v="194"/>
    <n v="146"/>
    <s v="146_1"/>
    <x v="2"/>
    <n v="2"/>
    <n v="66"/>
    <x v="5"/>
    <s v="Flying"/>
    <s v="Berserk"/>
    <m/>
    <m/>
    <s v="Red"/>
    <n v="0"/>
    <n v="0"/>
    <n v="100"/>
    <n v="120"/>
    <s v="Undiscovered"/>
    <m/>
    <n v="3"/>
    <n v="290"/>
    <n v="1250000"/>
    <x v="1"/>
    <m/>
    <s v="Galarian"/>
    <n v="90"/>
    <n v="85"/>
    <n v="90"/>
    <n v="100"/>
    <n v="125"/>
    <n v="90"/>
    <n v="580"/>
    <n v="0"/>
    <n v="0"/>
    <n v="0"/>
    <n v="0"/>
    <n v="3"/>
    <n v="0"/>
  </r>
  <r>
    <s v="Dratini"/>
    <x v="195"/>
    <n v="147"/>
    <s v="147_0"/>
    <x v="0"/>
    <n v="1.8"/>
    <n v="3.3"/>
    <x v="16"/>
    <m/>
    <s v="Shed Skin"/>
    <m/>
    <s v="Marvel Scale"/>
    <s v="Blue"/>
    <n v="50"/>
    <n v="50"/>
    <n v="0"/>
    <n v="40"/>
    <s v="Water1"/>
    <s v="Dragon"/>
    <n v="45"/>
    <n v="60"/>
    <n v="1250000"/>
    <x v="0"/>
    <m/>
    <m/>
    <n v="41"/>
    <n v="64"/>
    <n v="45"/>
    <n v="50"/>
    <n v="50"/>
    <n v="50"/>
    <n v="300"/>
    <n v="0"/>
    <n v="1"/>
    <n v="0"/>
    <n v="0"/>
    <n v="0"/>
    <n v="0"/>
  </r>
  <r>
    <s v="Dragonair"/>
    <x v="196"/>
    <n v="148"/>
    <s v="148_0"/>
    <x v="0"/>
    <n v="4"/>
    <n v="16.5"/>
    <x v="16"/>
    <m/>
    <s v="Shed Skin"/>
    <m/>
    <s v="Marvel Scale"/>
    <s v="Blue"/>
    <n v="50"/>
    <n v="50"/>
    <n v="0"/>
    <n v="40"/>
    <s v="Water1"/>
    <s v="Dragon"/>
    <n v="45"/>
    <n v="147"/>
    <n v="1250000"/>
    <x v="0"/>
    <m/>
    <m/>
    <n v="61"/>
    <n v="84"/>
    <n v="65"/>
    <n v="70"/>
    <n v="70"/>
    <n v="70"/>
    <n v="420"/>
    <n v="0"/>
    <n v="2"/>
    <n v="0"/>
    <n v="0"/>
    <n v="0"/>
    <n v="0"/>
  </r>
  <r>
    <s v="Dragonite"/>
    <x v="197"/>
    <n v="149"/>
    <s v="149_0"/>
    <x v="0"/>
    <n v="2.2000000000000002"/>
    <n v="210"/>
    <x v="16"/>
    <s v="Flying"/>
    <s v="Inner Focus"/>
    <m/>
    <s v="Multiscale"/>
    <s v="Brown"/>
    <n v="50"/>
    <n v="50"/>
    <n v="0"/>
    <n v="40"/>
    <s v="Water1"/>
    <s v="Dragon"/>
    <n v="45"/>
    <n v="300"/>
    <n v="1250000"/>
    <x v="0"/>
    <m/>
    <m/>
    <n v="91"/>
    <n v="134"/>
    <n v="95"/>
    <n v="100"/>
    <n v="100"/>
    <n v="80"/>
    <n v="600"/>
    <n v="0"/>
    <n v="3"/>
    <n v="0"/>
    <n v="0"/>
    <n v="0"/>
    <n v="0"/>
  </r>
  <r>
    <s v="Mewtwo"/>
    <x v="198"/>
    <n v="150"/>
    <s v="150_0"/>
    <x v="0"/>
    <n v="2"/>
    <n v="122"/>
    <x v="13"/>
    <m/>
    <s v="Pressure"/>
    <m/>
    <s v="Unnerve"/>
    <s v="Purple"/>
    <n v="0"/>
    <n v="0"/>
    <n v="100"/>
    <n v="120"/>
    <s v="Undiscovered"/>
    <m/>
    <n v="3"/>
    <n v="340"/>
    <n v="1250000"/>
    <x v="2"/>
    <m/>
    <m/>
    <n v="106"/>
    <n v="110"/>
    <n v="90"/>
    <n v="154"/>
    <n v="90"/>
    <n v="130"/>
    <n v="680"/>
    <n v="0"/>
    <n v="0"/>
    <n v="0"/>
    <n v="3"/>
    <n v="0"/>
    <n v="0"/>
  </r>
  <r>
    <s v="Mewtwo"/>
    <x v="199"/>
    <n v="150"/>
    <s v="150_1"/>
    <x v="0"/>
    <n v="2.2999999999999998"/>
    <n v="127"/>
    <x v="13"/>
    <s v="Fighting"/>
    <s v="Steadfast"/>
    <m/>
    <m/>
    <s v="Purple"/>
    <n v="0"/>
    <n v="0"/>
    <n v="100"/>
    <n v="120"/>
    <s v="Undiscovered"/>
    <m/>
    <n v="3"/>
    <n v="351"/>
    <n v="1250000"/>
    <x v="2"/>
    <s v="Mega"/>
    <m/>
    <n v="106"/>
    <n v="190"/>
    <n v="100"/>
    <n v="154"/>
    <n v="100"/>
    <n v="130"/>
    <n v="780"/>
    <n v="0"/>
    <n v="0"/>
    <n v="0"/>
    <n v="3"/>
    <n v="0"/>
    <n v="0"/>
  </r>
  <r>
    <s v="Mewtwo"/>
    <x v="200"/>
    <n v="150"/>
    <s v="150_2"/>
    <x v="0"/>
    <n v="1.5"/>
    <n v="33"/>
    <x v="13"/>
    <m/>
    <s v="Insomnia"/>
    <m/>
    <m/>
    <s v="Purple"/>
    <n v="0"/>
    <n v="0"/>
    <n v="100"/>
    <n v="120"/>
    <s v="Undiscovered"/>
    <m/>
    <n v="3"/>
    <n v="351"/>
    <n v="1250000"/>
    <x v="2"/>
    <s v="Mega"/>
    <m/>
    <n v="106"/>
    <n v="150"/>
    <n v="70"/>
    <n v="194"/>
    <n v="120"/>
    <n v="140"/>
    <n v="780"/>
    <n v="0"/>
    <n v="0"/>
    <n v="0"/>
    <n v="3"/>
    <n v="0"/>
    <n v="0"/>
  </r>
  <r>
    <s v="Mew"/>
    <x v="201"/>
    <n v="151"/>
    <s v="151_0"/>
    <x v="0"/>
    <n v="0.4"/>
    <n v="4"/>
    <x v="13"/>
    <m/>
    <s v="Synchronize"/>
    <m/>
    <m/>
    <s v="Pink"/>
    <n v="0"/>
    <n v="0"/>
    <n v="100"/>
    <n v="120"/>
    <s v="Undiscovered"/>
    <m/>
    <n v="45"/>
    <n v="300"/>
    <n v="1059860"/>
    <x v="3"/>
    <m/>
    <m/>
    <n v="100"/>
    <n v="100"/>
    <n v="100"/>
    <n v="100"/>
    <n v="100"/>
    <n v="100"/>
    <n v="600"/>
    <n v="3"/>
    <n v="0"/>
    <n v="0"/>
    <n v="0"/>
    <n v="0"/>
    <n v="0"/>
  </r>
  <r>
    <s v="Chikorita"/>
    <x v="202"/>
    <n v="152"/>
    <s v="152_0"/>
    <x v="4"/>
    <n v="0.9"/>
    <n v="6.4"/>
    <x v="0"/>
    <m/>
    <s v="Overgrow"/>
    <m/>
    <s v="Leaf Guard"/>
    <s v="Green"/>
    <n v="87.5"/>
    <n v="12.5"/>
    <n v="0"/>
    <n v="20"/>
    <s v="Monster"/>
    <s v="Grass"/>
    <n v="45"/>
    <n v="64"/>
    <n v="1059860"/>
    <x v="0"/>
    <m/>
    <m/>
    <n v="45"/>
    <n v="49"/>
    <n v="65"/>
    <n v="49"/>
    <n v="65"/>
    <n v="45"/>
    <n v="318"/>
    <n v="0"/>
    <n v="0"/>
    <n v="0"/>
    <n v="0"/>
    <n v="1"/>
    <n v="0"/>
  </r>
  <r>
    <s v="Bayleef"/>
    <x v="203"/>
    <n v="153"/>
    <s v="153_0"/>
    <x v="4"/>
    <n v="1.2"/>
    <n v="15.8"/>
    <x v="0"/>
    <m/>
    <s v="Overgrow"/>
    <m/>
    <s v="Leaf Guard"/>
    <s v="Green"/>
    <n v="87.5"/>
    <n v="12.5"/>
    <n v="0"/>
    <n v="20"/>
    <s v="Monster"/>
    <s v="Grass"/>
    <n v="45"/>
    <n v="142"/>
    <n v="1059860"/>
    <x v="0"/>
    <m/>
    <m/>
    <n v="60"/>
    <n v="62"/>
    <n v="80"/>
    <n v="63"/>
    <n v="80"/>
    <n v="60"/>
    <n v="405"/>
    <n v="0"/>
    <n v="0"/>
    <n v="1"/>
    <n v="0"/>
    <n v="1"/>
    <n v="0"/>
  </r>
  <r>
    <s v="Meganium"/>
    <x v="204"/>
    <n v="154"/>
    <s v="154_0"/>
    <x v="4"/>
    <n v="1.8"/>
    <n v="100.5"/>
    <x v="0"/>
    <m/>
    <s v="Overgrow"/>
    <m/>
    <s v="Leaf Guard"/>
    <s v="Green"/>
    <n v="87.5"/>
    <n v="12.5"/>
    <n v="0"/>
    <n v="20"/>
    <s v="Monster"/>
    <s v="Grass"/>
    <n v="45"/>
    <n v="263"/>
    <n v="1059860"/>
    <x v="0"/>
    <m/>
    <m/>
    <n v="80"/>
    <n v="82"/>
    <n v="100"/>
    <n v="83"/>
    <n v="100"/>
    <n v="80"/>
    <n v="525"/>
    <n v="0"/>
    <n v="0"/>
    <n v="1"/>
    <n v="0"/>
    <n v="2"/>
    <n v="0"/>
  </r>
  <r>
    <s v="Cyndaquil"/>
    <x v="205"/>
    <n v="155"/>
    <s v="155_0"/>
    <x v="4"/>
    <n v="0.5"/>
    <n v="7.9"/>
    <x v="1"/>
    <m/>
    <s v="Blaze"/>
    <m/>
    <s v="Flash Fire"/>
    <s v="Yellow"/>
    <n v="87.5"/>
    <n v="12.5"/>
    <n v="0"/>
    <n v="20"/>
    <s v="Ground"/>
    <m/>
    <n v="45"/>
    <n v="62"/>
    <n v="1059860"/>
    <x v="0"/>
    <m/>
    <m/>
    <n v="39"/>
    <n v="52"/>
    <n v="43"/>
    <n v="60"/>
    <n v="50"/>
    <n v="65"/>
    <n v="309"/>
    <n v="0"/>
    <n v="0"/>
    <n v="0"/>
    <n v="0"/>
    <n v="0"/>
    <n v="1"/>
  </r>
  <r>
    <s v="Quilava"/>
    <x v="206"/>
    <n v="156"/>
    <s v="156_0"/>
    <x v="4"/>
    <n v="0.9"/>
    <n v="19"/>
    <x v="1"/>
    <m/>
    <s v="Blaze"/>
    <m/>
    <s v="Flash Fire"/>
    <s v="Yellow"/>
    <n v="87.5"/>
    <n v="12.5"/>
    <n v="0"/>
    <n v="20"/>
    <s v="Ground"/>
    <m/>
    <n v="45"/>
    <n v="142"/>
    <n v="1059860"/>
    <x v="0"/>
    <m/>
    <m/>
    <n v="58"/>
    <n v="64"/>
    <n v="58"/>
    <n v="80"/>
    <n v="65"/>
    <n v="80"/>
    <n v="405"/>
    <n v="0"/>
    <n v="0"/>
    <n v="0"/>
    <n v="1"/>
    <n v="0"/>
    <n v="1"/>
  </r>
  <r>
    <s v="Typhlosion"/>
    <x v="207"/>
    <n v="157"/>
    <s v="157_0"/>
    <x v="4"/>
    <n v="1.7"/>
    <n v="79.5"/>
    <x v="1"/>
    <m/>
    <s v="Blaze"/>
    <m/>
    <s v="Flash Fire"/>
    <s v="Yellow"/>
    <n v="87.5"/>
    <n v="12.5"/>
    <n v="0"/>
    <n v="20"/>
    <s v="Ground"/>
    <m/>
    <n v="45"/>
    <n v="267"/>
    <n v="1059860"/>
    <x v="0"/>
    <m/>
    <m/>
    <n v="78"/>
    <n v="84"/>
    <n v="78"/>
    <n v="109"/>
    <n v="85"/>
    <n v="100"/>
    <n v="534"/>
    <n v="0"/>
    <n v="0"/>
    <n v="0"/>
    <n v="3"/>
    <n v="0"/>
    <n v="0"/>
  </r>
  <r>
    <s v="Typhlosion"/>
    <x v="208"/>
    <n v="157"/>
    <s v="157_1"/>
    <x v="2"/>
    <n v="1.6"/>
    <n v="69.8"/>
    <x v="1"/>
    <s v="Ghost"/>
    <s v="Blaze"/>
    <m/>
    <s v="Frisk"/>
    <s v="Yellow"/>
    <n v="87.5"/>
    <n v="12.5"/>
    <n v="0"/>
    <n v="20"/>
    <s v="Ground"/>
    <m/>
    <n v="45"/>
    <n v="267"/>
    <n v="1059860"/>
    <x v="0"/>
    <m/>
    <s v="Hisuian"/>
    <n v="73"/>
    <n v="84"/>
    <n v="78"/>
    <n v="119"/>
    <n v="85"/>
    <n v="95"/>
    <n v="534"/>
    <n v="0"/>
    <n v="0"/>
    <n v="0"/>
    <n v="3"/>
    <n v="0"/>
    <n v="0"/>
  </r>
  <r>
    <s v="Totodile"/>
    <x v="209"/>
    <n v="158"/>
    <s v="158_0"/>
    <x v="4"/>
    <n v="0.6"/>
    <n v="9.5"/>
    <x v="2"/>
    <m/>
    <s v="Torrent"/>
    <m/>
    <s v="Sheer Force"/>
    <s v="Blue"/>
    <n v="87.5"/>
    <n v="12.5"/>
    <n v="0"/>
    <n v="20"/>
    <s v="Monster"/>
    <s v="Water1"/>
    <n v="45"/>
    <n v="63"/>
    <n v="1059860"/>
    <x v="0"/>
    <m/>
    <m/>
    <n v="50"/>
    <n v="65"/>
    <n v="64"/>
    <n v="44"/>
    <n v="48"/>
    <n v="43"/>
    <n v="314"/>
    <n v="0"/>
    <n v="1"/>
    <n v="0"/>
    <n v="0"/>
    <n v="0"/>
    <n v="0"/>
  </r>
  <r>
    <s v="Croconaw"/>
    <x v="210"/>
    <n v="159"/>
    <s v="159_0"/>
    <x v="4"/>
    <n v="1.1000000000000001"/>
    <n v="25"/>
    <x v="2"/>
    <m/>
    <s v="Torrent"/>
    <m/>
    <s v="Sheer Force"/>
    <s v="Blue"/>
    <n v="87.5"/>
    <n v="12.5"/>
    <n v="0"/>
    <n v="20"/>
    <s v="Monster"/>
    <s v="Water1"/>
    <n v="45"/>
    <n v="142"/>
    <n v="1059860"/>
    <x v="0"/>
    <m/>
    <m/>
    <n v="65"/>
    <n v="80"/>
    <n v="80"/>
    <n v="59"/>
    <n v="63"/>
    <n v="58"/>
    <n v="405"/>
    <n v="0"/>
    <n v="1"/>
    <n v="1"/>
    <n v="0"/>
    <n v="0"/>
    <n v="0"/>
  </r>
  <r>
    <s v="Feraligatr"/>
    <x v="211"/>
    <n v="160"/>
    <s v="160_0"/>
    <x v="4"/>
    <n v="2.2999999999999998"/>
    <n v="88.8"/>
    <x v="2"/>
    <m/>
    <s v="Torrent"/>
    <m/>
    <s v="Sheer Force"/>
    <s v="Blue"/>
    <n v="87.5"/>
    <n v="12.5"/>
    <n v="0"/>
    <n v="20"/>
    <s v="Monster"/>
    <s v="Water1"/>
    <n v="45"/>
    <n v="265"/>
    <n v="1059860"/>
    <x v="0"/>
    <m/>
    <m/>
    <n v="85"/>
    <n v="105"/>
    <n v="100"/>
    <n v="79"/>
    <n v="83"/>
    <n v="78"/>
    <n v="530"/>
    <n v="0"/>
    <n v="2"/>
    <n v="1"/>
    <n v="0"/>
    <n v="0"/>
    <n v="0"/>
  </r>
  <r>
    <s v="Sentret"/>
    <x v="212"/>
    <n v="161"/>
    <s v="161_0"/>
    <x v="4"/>
    <n v="0.8"/>
    <n v="6"/>
    <x v="4"/>
    <m/>
    <s v="Run Away"/>
    <s v="Keen Eye"/>
    <s v="Frisk"/>
    <s v="Brown"/>
    <n v="50"/>
    <n v="50"/>
    <n v="0"/>
    <n v="15"/>
    <s v="Ground"/>
    <m/>
    <n v="255"/>
    <n v="43"/>
    <n v="1000000"/>
    <x v="0"/>
    <m/>
    <m/>
    <n v="35"/>
    <n v="46"/>
    <n v="34"/>
    <n v="35"/>
    <n v="45"/>
    <n v="20"/>
    <n v="215"/>
    <n v="0"/>
    <n v="1"/>
    <n v="0"/>
    <n v="0"/>
    <n v="0"/>
    <n v="0"/>
  </r>
  <r>
    <s v="Furret"/>
    <x v="213"/>
    <n v="162"/>
    <s v="162_0"/>
    <x v="4"/>
    <n v="1.8"/>
    <n v="32.5"/>
    <x v="4"/>
    <m/>
    <s v="Run Away"/>
    <s v="Keen Eye"/>
    <s v="Frisk"/>
    <s v="Brown"/>
    <n v="50"/>
    <n v="50"/>
    <n v="0"/>
    <n v="15"/>
    <s v="Ground"/>
    <m/>
    <n v="90"/>
    <n v="145"/>
    <n v="1000000"/>
    <x v="0"/>
    <m/>
    <m/>
    <n v="85"/>
    <n v="76"/>
    <n v="64"/>
    <n v="45"/>
    <n v="55"/>
    <n v="90"/>
    <n v="415"/>
    <n v="0"/>
    <n v="0"/>
    <n v="0"/>
    <n v="0"/>
    <n v="0"/>
    <n v="2"/>
  </r>
  <r>
    <s v="Hoothoot"/>
    <x v="214"/>
    <n v="163"/>
    <s v="163_0"/>
    <x v="4"/>
    <n v="0.7"/>
    <n v="21.2"/>
    <x v="4"/>
    <s v="Flying"/>
    <s v="Insomnia"/>
    <s v="Keen Eye"/>
    <s v="Tinted Lens"/>
    <s v="Brown"/>
    <n v="50"/>
    <n v="50"/>
    <n v="0"/>
    <n v="15"/>
    <s v="Flying"/>
    <m/>
    <n v="255"/>
    <n v="52"/>
    <n v="1000000"/>
    <x v="0"/>
    <m/>
    <m/>
    <n v="60"/>
    <n v="30"/>
    <n v="30"/>
    <n v="36"/>
    <n v="56"/>
    <n v="50"/>
    <n v="262"/>
    <n v="1"/>
    <n v="0"/>
    <n v="0"/>
    <n v="0"/>
    <n v="0"/>
    <n v="0"/>
  </r>
  <r>
    <s v="Noctowl"/>
    <x v="215"/>
    <n v="164"/>
    <s v="164_0"/>
    <x v="4"/>
    <n v="1.6"/>
    <n v="40.799999999999997"/>
    <x v="4"/>
    <s v="Flying"/>
    <s v="Insomnia"/>
    <s v="Keen Eye"/>
    <s v="Tinted Lens"/>
    <s v="Brown"/>
    <n v="50"/>
    <n v="50"/>
    <n v="0"/>
    <n v="15"/>
    <s v="Flying"/>
    <m/>
    <n v="90"/>
    <n v="158"/>
    <n v="1000000"/>
    <x v="0"/>
    <m/>
    <m/>
    <n v="100"/>
    <n v="50"/>
    <n v="50"/>
    <n v="86"/>
    <n v="96"/>
    <n v="70"/>
    <n v="452"/>
    <n v="2"/>
    <n v="0"/>
    <n v="0"/>
    <n v="0"/>
    <n v="0"/>
    <n v="0"/>
  </r>
  <r>
    <s v="Ledyba"/>
    <x v="216"/>
    <n v="165"/>
    <s v="165_0"/>
    <x v="4"/>
    <n v="1"/>
    <n v="10.8"/>
    <x v="3"/>
    <s v="Flying"/>
    <s v="Swarm"/>
    <s v="Early Bird"/>
    <s v="Rattled"/>
    <s v="Red"/>
    <n v="50"/>
    <n v="50"/>
    <n v="0"/>
    <n v="15"/>
    <s v="Bug"/>
    <m/>
    <n v="255"/>
    <n v="53"/>
    <n v="800000"/>
    <x v="0"/>
    <m/>
    <m/>
    <n v="40"/>
    <n v="20"/>
    <n v="30"/>
    <n v="40"/>
    <n v="80"/>
    <n v="55"/>
    <n v="265"/>
    <n v="0"/>
    <n v="0"/>
    <n v="0"/>
    <n v="0"/>
    <n v="1"/>
    <n v="0"/>
  </r>
  <r>
    <s v="Ledian"/>
    <x v="217"/>
    <n v="166"/>
    <s v="166_0"/>
    <x v="4"/>
    <n v="1.4"/>
    <n v="35.6"/>
    <x v="3"/>
    <s v="Flying"/>
    <s v="Swarm"/>
    <s v="Early Bird"/>
    <s v="Iron Fist"/>
    <s v="Red"/>
    <n v="50"/>
    <n v="50"/>
    <n v="0"/>
    <n v="15"/>
    <s v="Bug"/>
    <m/>
    <n v="90"/>
    <n v="137"/>
    <n v="800000"/>
    <x v="0"/>
    <m/>
    <m/>
    <n v="55"/>
    <n v="35"/>
    <n v="50"/>
    <n v="55"/>
    <n v="110"/>
    <n v="85"/>
    <n v="390"/>
    <n v="0"/>
    <n v="0"/>
    <n v="0"/>
    <n v="0"/>
    <n v="2"/>
    <n v="0"/>
  </r>
  <r>
    <s v="Spinarak"/>
    <x v="218"/>
    <n v="167"/>
    <s v="167_0"/>
    <x v="4"/>
    <n v="0.5"/>
    <n v="8.5"/>
    <x v="3"/>
    <s v="Poison"/>
    <s v="Swarm"/>
    <s v="Insomnia"/>
    <s v="Sniper"/>
    <s v="Green"/>
    <n v="50"/>
    <n v="50"/>
    <n v="0"/>
    <n v="15"/>
    <s v="Bug"/>
    <m/>
    <n v="255"/>
    <n v="50"/>
    <n v="800000"/>
    <x v="0"/>
    <m/>
    <m/>
    <n v="40"/>
    <n v="60"/>
    <n v="40"/>
    <n v="40"/>
    <n v="40"/>
    <n v="30"/>
    <n v="250"/>
    <n v="0"/>
    <n v="1"/>
    <n v="0"/>
    <n v="0"/>
    <n v="0"/>
    <n v="0"/>
  </r>
  <r>
    <s v="Ariados"/>
    <x v="219"/>
    <n v="168"/>
    <s v="168_0"/>
    <x v="4"/>
    <n v="1.1000000000000001"/>
    <n v="33.5"/>
    <x v="3"/>
    <s v="Poison"/>
    <s v="Swarm"/>
    <s v="Insomnia"/>
    <s v="Sniper"/>
    <s v="Red"/>
    <n v="50"/>
    <n v="50"/>
    <n v="0"/>
    <n v="15"/>
    <s v="Bug"/>
    <m/>
    <n v="90"/>
    <n v="140"/>
    <n v="800000"/>
    <x v="0"/>
    <m/>
    <m/>
    <n v="70"/>
    <n v="90"/>
    <n v="70"/>
    <n v="60"/>
    <n v="70"/>
    <n v="40"/>
    <n v="400"/>
    <n v="0"/>
    <n v="2"/>
    <n v="0"/>
    <n v="0"/>
    <n v="0"/>
    <n v="0"/>
  </r>
  <r>
    <s v="Crobat"/>
    <x v="220"/>
    <n v="169"/>
    <s v="169_0"/>
    <x v="4"/>
    <n v="1.8"/>
    <n v="75"/>
    <x v="6"/>
    <s v="Flying"/>
    <s v="Inner Focus"/>
    <m/>
    <s v="Infiltrator"/>
    <s v="Purple"/>
    <n v="50"/>
    <n v="50"/>
    <n v="0"/>
    <n v="15"/>
    <s v="Flying"/>
    <m/>
    <n v="90"/>
    <n v="268"/>
    <n v="1000000"/>
    <x v="0"/>
    <m/>
    <m/>
    <n v="85"/>
    <n v="90"/>
    <n v="80"/>
    <n v="70"/>
    <n v="80"/>
    <n v="130"/>
    <n v="535"/>
    <n v="0"/>
    <n v="0"/>
    <n v="0"/>
    <n v="0"/>
    <n v="0"/>
    <n v="3"/>
  </r>
  <r>
    <s v="Chinchou"/>
    <x v="221"/>
    <n v="170"/>
    <s v="170_0"/>
    <x v="4"/>
    <n v="0.5"/>
    <n v="12"/>
    <x v="2"/>
    <s v="Electric"/>
    <s v="Volt Absorb"/>
    <s v="Illuminate"/>
    <s v="Water Absorb"/>
    <s v="Blue"/>
    <n v="50"/>
    <n v="50"/>
    <n v="0"/>
    <n v="20"/>
    <s v="Water2"/>
    <m/>
    <n v="190"/>
    <n v="66"/>
    <n v="1250000"/>
    <x v="0"/>
    <m/>
    <m/>
    <n v="75"/>
    <n v="38"/>
    <n v="38"/>
    <n v="56"/>
    <n v="56"/>
    <n v="67"/>
    <n v="330"/>
    <n v="1"/>
    <n v="0"/>
    <n v="0"/>
    <n v="0"/>
    <n v="0"/>
    <n v="0"/>
  </r>
  <r>
    <s v="Lanturn"/>
    <x v="222"/>
    <n v="171"/>
    <s v="171_0"/>
    <x v="4"/>
    <n v="1.2"/>
    <n v="22.5"/>
    <x v="2"/>
    <s v="Electric"/>
    <s v="Volt Absorb"/>
    <s v="Illuminate"/>
    <s v="Water Absorb"/>
    <s v="Blue"/>
    <n v="50"/>
    <n v="50"/>
    <n v="0"/>
    <n v="20"/>
    <s v="Water2"/>
    <m/>
    <n v="75"/>
    <n v="161"/>
    <n v="1250000"/>
    <x v="0"/>
    <m/>
    <m/>
    <n v="125"/>
    <n v="58"/>
    <n v="58"/>
    <n v="76"/>
    <n v="76"/>
    <n v="67"/>
    <n v="460"/>
    <n v="2"/>
    <n v="0"/>
    <n v="0"/>
    <n v="0"/>
    <n v="0"/>
    <n v="0"/>
  </r>
  <r>
    <s v="Pichu"/>
    <x v="223"/>
    <n v="172"/>
    <s v="172_0"/>
    <x v="4"/>
    <n v="0.3"/>
    <n v="2"/>
    <x v="7"/>
    <m/>
    <s v="Static"/>
    <m/>
    <s v="Lightning Rod"/>
    <s v="Yellow"/>
    <n v="50"/>
    <n v="50"/>
    <n v="0"/>
    <n v="10"/>
    <s v="Undiscovered"/>
    <m/>
    <n v="190"/>
    <n v="41"/>
    <n v="1000000"/>
    <x v="0"/>
    <m/>
    <m/>
    <n v="20"/>
    <n v="40"/>
    <n v="15"/>
    <n v="35"/>
    <n v="35"/>
    <n v="60"/>
    <n v="205"/>
    <n v="0"/>
    <n v="0"/>
    <n v="0"/>
    <n v="0"/>
    <n v="0"/>
    <n v="1"/>
  </r>
  <r>
    <s v="Cleffa"/>
    <x v="224"/>
    <n v="173"/>
    <s v="173_0"/>
    <x v="4"/>
    <n v="0.3"/>
    <n v="3"/>
    <x v="10"/>
    <m/>
    <s v="Cute Charm"/>
    <s v="Magic Guard"/>
    <s v="Friend Guard"/>
    <s v="Pink"/>
    <n v="25"/>
    <n v="75"/>
    <n v="0"/>
    <n v="10"/>
    <s v="Undiscovered"/>
    <m/>
    <n v="150"/>
    <n v="44"/>
    <n v="800000"/>
    <x v="0"/>
    <m/>
    <m/>
    <n v="50"/>
    <n v="25"/>
    <n v="28"/>
    <n v="45"/>
    <n v="55"/>
    <n v="15"/>
    <n v="218"/>
    <n v="0"/>
    <n v="0"/>
    <n v="0"/>
    <n v="0"/>
    <n v="1"/>
    <n v="0"/>
  </r>
  <r>
    <s v="Igglybuff"/>
    <x v="225"/>
    <n v="174"/>
    <s v="174_0"/>
    <x v="4"/>
    <n v="0.3"/>
    <n v="1"/>
    <x v="4"/>
    <s v="Fairy"/>
    <s v="Cute Charm"/>
    <s v="Competitive"/>
    <s v="Friend Guard"/>
    <s v="Pink"/>
    <n v="25"/>
    <n v="75"/>
    <n v="0"/>
    <n v="10"/>
    <s v="Undiscovered"/>
    <m/>
    <n v="170"/>
    <n v="42"/>
    <n v="800000"/>
    <x v="0"/>
    <m/>
    <m/>
    <n v="90"/>
    <n v="30"/>
    <n v="15"/>
    <n v="40"/>
    <n v="20"/>
    <n v="15"/>
    <n v="210"/>
    <n v="1"/>
    <n v="0"/>
    <n v="0"/>
    <n v="0"/>
    <n v="0"/>
    <n v="0"/>
  </r>
  <r>
    <s v="Togepi"/>
    <x v="226"/>
    <n v="175"/>
    <s v="175_0"/>
    <x v="4"/>
    <n v="0.3"/>
    <n v="1.5"/>
    <x v="10"/>
    <m/>
    <s v="Hustle"/>
    <s v="Serene Grace"/>
    <s v="Super Luck"/>
    <s v="White"/>
    <n v="87.5"/>
    <n v="12.5"/>
    <n v="0"/>
    <n v="10"/>
    <s v="Undiscovered"/>
    <m/>
    <n v="190"/>
    <n v="49"/>
    <n v="800000"/>
    <x v="0"/>
    <m/>
    <m/>
    <n v="35"/>
    <n v="20"/>
    <n v="65"/>
    <n v="40"/>
    <n v="65"/>
    <n v="20"/>
    <n v="245"/>
    <n v="0"/>
    <n v="0"/>
    <n v="0"/>
    <n v="0"/>
    <n v="1"/>
    <n v="0"/>
  </r>
  <r>
    <s v="Togetic"/>
    <x v="227"/>
    <n v="176"/>
    <s v="176_0"/>
    <x v="4"/>
    <n v="0.6"/>
    <n v="3.2"/>
    <x v="10"/>
    <s v="Flying"/>
    <s v="Hustle"/>
    <s v="Serene Grace"/>
    <s v="Super Luck"/>
    <s v="White"/>
    <n v="87.5"/>
    <n v="12.5"/>
    <n v="0"/>
    <n v="10"/>
    <s v="Flying"/>
    <s v="Fairy"/>
    <n v="75"/>
    <n v="142"/>
    <n v="800000"/>
    <x v="0"/>
    <m/>
    <m/>
    <n v="55"/>
    <n v="40"/>
    <n v="85"/>
    <n v="80"/>
    <n v="105"/>
    <n v="40"/>
    <n v="405"/>
    <n v="0"/>
    <n v="0"/>
    <n v="0"/>
    <n v="0"/>
    <n v="2"/>
    <n v="0"/>
  </r>
  <r>
    <s v="Natu"/>
    <x v="228"/>
    <n v="177"/>
    <s v="177_0"/>
    <x v="4"/>
    <n v="0.2"/>
    <n v="2"/>
    <x v="13"/>
    <s v="Flying"/>
    <s v="Synchronize"/>
    <s v="Early Bird"/>
    <s v="Magic Bounce"/>
    <s v="Green"/>
    <n v="50"/>
    <n v="50"/>
    <n v="0"/>
    <n v="20"/>
    <s v="Flying"/>
    <m/>
    <n v="190"/>
    <n v="64"/>
    <n v="1000000"/>
    <x v="0"/>
    <m/>
    <m/>
    <n v="40"/>
    <n v="50"/>
    <n v="45"/>
    <n v="70"/>
    <n v="45"/>
    <n v="70"/>
    <n v="320"/>
    <n v="0"/>
    <n v="0"/>
    <n v="0"/>
    <n v="1"/>
    <n v="0"/>
    <n v="0"/>
  </r>
  <r>
    <s v="Xatu"/>
    <x v="229"/>
    <n v="178"/>
    <s v="178_0"/>
    <x v="4"/>
    <n v="1.5"/>
    <n v="15"/>
    <x v="13"/>
    <s v="Flying"/>
    <s v="Synchronize"/>
    <s v="Early Bird"/>
    <s v="Magic Bounce"/>
    <s v="Green"/>
    <n v="50"/>
    <n v="50"/>
    <n v="0"/>
    <n v="20"/>
    <s v="Flying"/>
    <m/>
    <n v="75"/>
    <n v="165"/>
    <n v="1000000"/>
    <x v="0"/>
    <m/>
    <m/>
    <n v="65"/>
    <n v="75"/>
    <n v="70"/>
    <n v="95"/>
    <n v="70"/>
    <n v="95"/>
    <n v="470"/>
    <n v="0"/>
    <n v="0"/>
    <n v="0"/>
    <n v="1"/>
    <n v="0"/>
    <n v="1"/>
  </r>
  <r>
    <s v="Mareep"/>
    <x v="230"/>
    <n v="179"/>
    <s v="179_0"/>
    <x v="4"/>
    <n v="0.6"/>
    <n v="7.8"/>
    <x v="7"/>
    <m/>
    <s v="Static"/>
    <m/>
    <s v="Plus"/>
    <s v="White"/>
    <n v="50"/>
    <n v="50"/>
    <n v="0"/>
    <n v="20"/>
    <s v="Monster"/>
    <s v="Ground"/>
    <n v="235"/>
    <n v="56"/>
    <n v="1059860"/>
    <x v="0"/>
    <m/>
    <m/>
    <n v="55"/>
    <n v="40"/>
    <n v="40"/>
    <n v="65"/>
    <n v="45"/>
    <n v="35"/>
    <n v="280"/>
    <n v="0"/>
    <n v="0"/>
    <n v="0"/>
    <n v="1"/>
    <n v="0"/>
    <n v="0"/>
  </r>
  <r>
    <s v="Flaaffy"/>
    <x v="231"/>
    <n v="180"/>
    <s v="180_0"/>
    <x v="4"/>
    <n v="0.8"/>
    <n v="13.3"/>
    <x v="7"/>
    <m/>
    <s v="Static"/>
    <m/>
    <s v="Plus"/>
    <s v="Pink"/>
    <n v="50"/>
    <n v="50"/>
    <n v="0"/>
    <n v="20"/>
    <s v="Monster"/>
    <s v="Ground"/>
    <n v="120"/>
    <n v="128"/>
    <n v="1059860"/>
    <x v="0"/>
    <m/>
    <m/>
    <n v="70"/>
    <n v="55"/>
    <n v="55"/>
    <n v="80"/>
    <n v="60"/>
    <n v="45"/>
    <n v="365"/>
    <n v="0"/>
    <n v="0"/>
    <n v="0"/>
    <n v="2"/>
    <n v="0"/>
    <n v="0"/>
  </r>
  <r>
    <s v="Ampharos"/>
    <x v="232"/>
    <n v="181"/>
    <s v="181_0"/>
    <x v="4"/>
    <n v="1.4"/>
    <n v="61.5"/>
    <x v="7"/>
    <m/>
    <s v="Static"/>
    <m/>
    <s v="Plus"/>
    <s v="Yellow"/>
    <n v="50"/>
    <n v="50"/>
    <n v="0"/>
    <n v="20"/>
    <s v="Monster"/>
    <s v="Ground"/>
    <n v="45"/>
    <n v="255"/>
    <n v="1059860"/>
    <x v="0"/>
    <m/>
    <m/>
    <n v="90"/>
    <n v="75"/>
    <n v="85"/>
    <n v="115"/>
    <n v="90"/>
    <n v="55"/>
    <n v="510"/>
    <n v="0"/>
    <n v="0"/>
    <n v="0"/>
    <n v="3"/>
    <n v="0"/>
    <n v="0"/>
  </r>
  <r>
    <s v="Ampharos"/>
    <x v="233"/>
    <n v="181"/>
    <s v="181_1"/>
    <x v="4"/>
    <n v="1.4"/>
    <n v="61.5"/>
    <x v="7"/>
    <s v="Dragon"/>
    <s v="Mold Breaker"/>
    <m/>
    <m/>
    <s v="Yellow"/>
    <n v="50"/>
    <n v="50"/>
    <n v="0"/>
    <n v="20"/>
    <s v="Monster"/>
    <s v="Ground"/>
    <n v="45"/>
    <n v="275"/>
    <n v="1059860"/>
    <x v="0"/>
    <s v="Mega"/>
    <m/>
    <n v="90"/>
    <n v="95"/>
    <n v="105"/>
    <n v="165"/>
    <n v="110"/>
    <n v="45"/>
    <n v="610"/>
    <n v="0"/>
    <n v="0"/>
    <n v="0"/>
    <n v="3"/>
    <n v="0"/>
    <n v="0"/>
  </r>
  <r>
    <s v="Bellossom"/>
    <x v="234"/>
    <n v="182"/>
    <s v="182_0"/>
    <x v="4"/>
    <n v="0.4"/>
    <n v="5.8"/>
    <x v="0"/>
    <m/>
    <s v="Chlorophyll"/>
    <m/>
    <s v="Healer"/>
    <s v="Green"/>
    <n v="50"/>
    <n v="50"/>
    <n v="0"/>
    <n v="20"/>
    <s v="Grass"/>
    <m/>
    <n v="45"/>
    <n v="245"/>
    <n v="1059860"/>
    <x v="0"/>
    <m/>
    <m/>
    <n v="75"/>
    <n v="80"/>
    <n v="95"/>
    <n v="90"/>
    <n v="100"/>
    <n v="50"/>
    <n v="490"/>
    <n v="0"/>
    <n v="0"/>
    <n v="0"/>
    <n v="0"/>
    <n v="3"/>
    <n v="0"/>
  </r>
  <r>
    <s v="Marill"/>
    <x v="235"/>
    <n v="183"/>
    <s v="183_0"/>
    <x v="4"/>
    <n v="0.4"/>
    <n v="8.5"/>
    <x v="2"/>
    <s v="Fairy"/>
    <s v="Thick Fat"/>
    <s v="Huge Power"/>
    <s v="Sap Sipper"/>
    <s v="Blue"/>
    <n v="50"/>
    <n v="50"/>
    <n v="0"/>
    <n v="10"/>
    <s v="Water1"/>
    <s v="Fairy"/>
    <n v="190"/>
    <n v="88"/>
    <n v="800000"/>
    <x v="0"/>
    <m/>
    <m/>
    <n v="70"/>
    <n v="20"/>
    <n v="50"/>
    <n v="20"/>
    <n v="50"/>
    <n v="40"/>
    <n v="250"/>
    <n v="2"/>
    <n v="0"/>
    <n v="0"/>
    <n v="0"/>
    <n v="0"/>
    <n v="0"/>
  </r>
  <r>
    <s v="Azumarill"/>
    <x v="236"/>
    <n v="184"/>
    <s v="184_0"/>
    <x v="4"/>
    <n v="0.8"/>
    <n v="28.5"/>
    <x v="2"/>
    <s v="Fairy"/>
    <s v="Thick Fat"/>
    <s v="Huge Power"/>
    <s v="Sap Sipper"/>
    <s v="Blue"/>
    <n v="50"/>
    <n v="50"/>
    <n v="0"/>
    <n v="10"/>
    <s v="Water1"/>
    <s v="Fairy"/>
    <n v="75"/>
    <n v="210"/>
    <n v="800000"/>
    <x v="0"/>
    <m/>
    <m/>
    <n v="100"/>
    <n v="50"/>
    <n v="80"/>
    <n v="60"/>
    <n v="80"/>
    <n v="50"/>
    <n v="420"/>
    <n v="3"/>
    <n v="0"/>
    <n v="0"/>
    <n v="0"/>
    <n v="0"/>
    <n v="0"/>
  </r>
  <r>
    <s v="Sudowoodo"/>
    <x v="237"/>
    <n v="185"/>
    <s v="185_0"/>
    <x v="4"/>
    <n v="1.2"/>
    <n v="38"/>
    <x v="14"/>
    <m/>
    <s v="Sturdy"/>
    <s v="Rock Head"/>
    <s v="Rattled"/>
    <s v="Brown"/>
    <n v="50"/>
    <n v="50"/>
    <n v="0"/>
    <n v="20"/>
    <s v="Mineral"/>
    <m/>
    <n v="65"/>
    <n v="144"/>
    <n v="1000000"/>
    <x v="0"/>
    <m/>
    <m/>
    <n v="70"/>
    <n v="100"/>
    <n v="115"/>
    <n v="30"/>
    <n v="65"/>
    <n v="30"/>
    <n v="410"/>
    <n v="0"/>
    <n v="0"/>
    <n v="2"/>
    <n v="0"/>
    <n v="0"/>
    <n v="0"/>
  </r>
  <r>
    <s v="Politoed"/>
    <x v="238"/>
    <n v="186"/>
    <s v="186_0"/>
    <x v="4"/>
    <n v="1.1000000000000001"/>
    <n v="33.9"/>
    <x v="2"/>
    <m/>
    <s v="Water Absorb"/>
    <s v="Damp"/>
    <s v="Drizzle"/>
    <s v="Green"/>
    <n v="50"/>
    <n v="50"/>
    <n v="0"/>
    <n v="20"/>
    <s v="Water1"/>
    <m/>
    <n v="45"/>
    <n v="250"/>
    <n v="1059860"/>
    <x v="0"/>
    <m/>
    <m/>
    <n v="90"/>
    <n v="75"/>
    <n v="75"/>
    <n v="90"/>
    <n v="100"/>
    <n v="70"/>
    <n v="500"/>
    <n v="0"/>
    <n v="0"/>
    <n v="0"/>
    <n v="0"/>
    <n v="3"/>
    <n v="0"/>
  </r>
  <r>
    <s v="Hoppip"/>
    <x v="239"/>
    <n v="187"/>
    <s v="187_0"/>
    <x v="4"/>
    <n v="0.4"/>
    <n v="0.5"/>
    <x v="0"/>
    <s v="Flying"/>
    <s v="Chlorophyll"/>
    <s v="Leaf Guard"/>
    <s v="Infiltrator"/>
    <s v="Pink"/>
    <n v="50"/>
    <n v="50"/>
    <n v="0"/>
    <n v="20"/>
    <s v="Fairy"/>
    <s v="Grass"/>
    <n v="255"/>
    <n v="50"/>
    <n v="1059860"/>
    <x v="0"/>
    <m/>
    <m/>
    <n v="35"/>
    <n v="35"/>
    <n v="40"/>
    <n v="35"/>
    <n v="55"/>
    <n v="50"/>
    <n v="250"/>
    <n v="0"/>
    <n v="0"/>
    <n v="0"/>
    <n v="0"/>
    <n v="1"/>
    <n v="0"/>
  </r>
  <r>
    <s v="Skiploom"/>
    <x v="240"/>
    <n v="188"/>
    <s v="188_0"/>
    <x v="4"/>
    <n v="0.6"/>
    <n v="1"/>
    <x v="0"/>
    <s v="Flying"/>
    <s v="Chlorophyll"/>
    <s v="Leaf Guard"/>
    <s v="Infiltrator"/>
    <s v="Green"/>
    <n v="50"/>
    <n v="50"/>
    <n v="0"/>
    <n v="20"/>
    <s v="Fairy"/>
    <s v="Grass"/>
    <n v="120"/>
    <n v="119"/>
    <n v="1059860"/>
    <x v="0"/>
    <m/>
    <m/>
    <n v="55"/>
    <n v="45"/>
    <n v="50"/>
    <n v="45"/>
    <n v="65"/>
    <n v="80"/>
    <n v="340"/>
    <n v="0"/>
    <n v="0"/>
    <n v="0"/>
    <n v="0"/>
    <n v="0"/>
    <n v="2"/>
  </r>
  <r>
    <s v="Jumpluff"/>
    <x v="241"/>
    <n v="189"/>
    <s v="189_0"/>
    <x v="4"/>
    <n v="0.8"/>
    <n v="3"/>
    <x v="0"/>
    <s v="Flying"/>
    <s v="Chlorophyll"/>
    <s v="Leaf Guard"/>
    <s v="Infiltrator"/>
    <s v="Blue"/>
    <n v="50"/>
    <n v="50"/>
    <n v="0"/>
    <n v="20"/>
    <s v="Fairy"/>
    <s v="Grass"/>
    <n v="45"/>
    <n v="230"/>
    <n v="1059860"/>
    <x v="0"/>
    <m/>
    <m/>
    <n v="75"/>
    <n v="55"/>
    <n v="70"/>
    <n v="55"/>
    <n v="95"/>
    <n v="110"/>
    <n v="460"/>
    <n v="0"/>
    <n v="0"/>
    <n v="0"/>
    <n v="0"/>
    <n v="0"/>
    <n v="3"/>
  </r>
  <r>
    <s v="Aipom"/>
    <x v="242"/>
    <n v="190"/>
    <s v="190_0"/>
    <x v="4"/>
    <n v="0.8"/>
    <n v="11.5"/>
    <x v="4"/>
    <m/>
    <s v="Run Away"/>
    <s v="Pickup"/>
    <s v="Skill Link"/>
    <s v="Purple"/>
    <n v="50"/>
    <n v="50"/>
    <n v="0"/>
    <n v="20"/>
    <s v="Ground"/>
    <m/>
    <n v="45"/>
    <n v="72"/>
    <n v="800000"/>
    <x v="0"/>
    <m/>
    <m/>
    <n v="55"/>
    <n v="70"/>
    <n v="55"/>
    <n v="40"/>
    <n v="55"/>
    <n v="85"/>
    <n v="360"/>
    <n v="0"/>
    <n v="0"/>
    <n v="0"/>
    <n v="0"/>
    <n v="0"/>
    <n v="1"/>
  </r>
  <r>
    <s v="Sunkern"/>
    <x v="243"/>
    <n v="191"/>
    <s v="191_0"/>
    <x v="4"/>
    <n v="0.3"/>
    <n v="1.8"/>
    <x v="0"/>
    <m/>
    <s v="Chlorophyll"/>
    <s v="Solar Power"/>
    <s v="Early Bird"/>
    <s v="Yellow"/>
    <n v="50"/>
    <n v="50"/>
    <n v="0"/>
    <n v="20"/>
    <s v="Grass"/>
    <m/>
    <n v="235"/>
    <n v="36"/>
    <n v="1059860"/>
    <x v="0"/>
    <m/>
    <m/>
    <n v="30"/>
    <n v="30"/>
    <n v="30"/>
    <n v="30"/>
    <n v="30"/>
    <n v="30"/>
    <n v="180"/>
    <n v="0"/>
    <n v="0"/>
    <n v="0"/>
    <n v="1"/>
    <n v="0"/>
    <n v="0"/>
  </r>
  <r>
    <s v="Sunflora"/>
    <x v="244"/>
    <n v="192"/>
    <s v="192_0"/>
    <x v="4"/>
    <n v="0.8"/>
    <n v="8.5"/>
    <x v="0"/>
    <m/>
    <s v="Chlorophyll"/>
    <s v="Solar Power"/>
    <s v="Early Bird"/>
    <s v="Yellow"/>
    <n v="50"/>
    <n v="50"/>
    <n v="0"/>
    <n v="20"/>
    <s v="Grass"/>
    <m/>
    <n v="120"/>
    <n v="149"/>
    <n v="1059860"/>
    <x v="0"/>
    <m/>
    <m/>
    <n v="75"/>
    <n v="75"/>
    <n v="55"/>
    <n v="105"/>
    <n v="85"/>
    <n v="30"/>
    <n v="425"/>
    <n v="0"/>
    <n v="0"/>
    <n v="0"/>
    <n v="2"/>
    <n v="0"/>
    <n v="0"/>
  </r>
  <r>
    <s v="Yanma"/>
    <x v="245"/>
    <n v="193"/>
    <s v="193_0"/>
    <x v="4"/>
    <n v="1.2"/>
    <n v="38"/>
    <x v="3"/>
    <s v="Flying"/>
    <s v="Speed Boost"/>
    <s v="Compound Eyes"/>
    <s v="Frisk"/>
    <s v="Red"/>
    <n v="50"/>
    <n v="50"/>
    <n v="0"/>
    <n v="20"/>
    <s v="Bug"/>
    <m/>
    <n v="75"/>
    <n v="78"/>
    <n v="1000000"/>
    <x v="0"/>
    <m/>
    <m/>
    <n v="65"/>
    <n v="65"/>
    <n v="45"/>
    <n v="75"/>
    <n v="45"/>
    <n v="95"/>
    <n v="390"/>
    <n v="0"/>
    <n v="0"/>
    <n v="0"/>
    <n v="0"/>
    <n v="0"/>
    <n v="1"/>
  </r>
  <r>
    <s v="Wooper"/>
    <x v="246"/>
    <n v="194"/>
    <s v="194_0"/>
    <x v="3"/>
    <n v="0.4"/>
    <n v="11"/>
    <x v="6"/>
    <s v="Ground"/>
    <s v="Poison Point"/>
    <s v="Water Absorb"/>
    <s v="Unaware"/>
    <s v="Blue"/>
    <n v="50"/>
    <n v="50"/>
    <n v="0"/>
    <n v="20"/>
    <s v="Water1"/>
    <s v="Ground"/>
    <n v="255"/>
    <n v="42"/>
    <n v="1000000"/>
    <x v="0"/>
    <m/>
    <s v="Paldean"/>
    <n v="55"/>
    <n v="45"/>
    <n v="45"/>
    <n v="25"/>
    <n v="25"/>
    <n v="15"/>
    <n v="210"/>
    <n v="1"/>
    <n v="0"/>
    <n v="0"/>
    <n v="0"/>
    <n v="0"/>
    <n v="0"/>
  </r>
  <r>
    <s v="Wooper"/>
    <x v="247"/>
    <n v="194"/>
    <s v="194_1"/>
    <x v="4"/>
    <n v="0.4"/>
    <n v="8.5"/>
    <x v="2"/>
    <s v="Ground"/>
    <s v="Damp"/>
    <s v="Water Absorb"/>
    <s v="Unaware"/>
    <s v="Blue"/>
    <n v="50"/>
    <n v="50"/>
    <n v="0"/>
    <n v="20"/>
    <s v="Water1"/>
    <s v="Ground"/>
    <n v="255"/>
    <n v="42"/>
    <n v="1000000"/>
    <x v="0"/>
    <m/>
    <m/>
    <n v="55"/>
    <n v="45"/>
    <n v="45"/>
    <n v="25"/>
    <n v="25"/>
    <n v="15"/>
    <n v="210"/>
    <n v="1"/>
    <n v="0"/>
    <n v="0"/>
    <n v="0"/>
    <n v="0"/>
    <n v="0"/>
  </r>
  <r>
    <s v="Quagsire"/>
    <x v="248"/>
    <n v="195"/>
    <s v="195_0"/>
    <x v="4"/>
    <n v="1.4"/>
    <n v="75"/>
    <x v="2"/>
    <s v="Ground"/>
    <s v="Damp"/>
    <s v="Water Absorb"/>
    <s v="Unaware"/>
    <s v="Blue"/>
    <n v="50"/>
    <n v="50"/>
    <n v="0"/>
    <n v="20"/>
    <s v="Water1"/>
    <s v="Ground"/>
    <n v="90"/>
    <n v="151"/>
    <n v="1000000"/>
    <x v="0"/>
    <m/>
    <m/>
    <n v="95"/>
    <n v="85"/>
    <n v="85"/>
    <n v="65"/>
    <n v="65"/>
    <n v="35"/>
    <n v="430"/>
    <n v="2"/>
    <n v="0"/>
    <n v="0"/>
    <n v="0"/>
    <n v="0"/>
    <n v="0"/>
  </r>
  <r>
    <s v="Espeon"/>
    <x v="249"/>
    <n v="196"/>
    <s v="196_0"/>
    <x v="4"/>
    <n v="0.9"/>
    <n v="26.5"/>
    <x v="13"/>
    <m/>
    <s v="Synchronize"/>
    <m/>
    <s v="Magic Bounce"/>
    <s v="Purple"/>
    <n v="87.5"/>
    <n v="12.5"/>
    <n v="0"/>
    <n v="35"/>
    <s v="Ground"/>
    <m/>
    <n v="45"/>
    <n v="184"/>
    <n v="1000000"/>
    <x v="0"/>
    <m/>
    <m/>
    <n v="65"/>
    <n v="65"/>
    <n v="60"/>
    <n v="130"/>
    <n v="95"/>
    <n v="110"/>
    <n v="525"/>
    <n v="0"/>
    <n v="0"/>
    <n v="0"/>
    <n v="2"/>
    <n v="0"/>
    <n v="0"/>
  </r>
  <r>
    <s v="Umbreon"/>
    <x v="250"/>
    <n v="197"/>
    <s v="197_0"/>
    <x v="4"/>
    <n v="1"/>
    <n v="27"/>
    <x v="5"/>
    <m/>
    <s v="Synchronize"/>
    <m/>
    <s v="Inner Focus"/>
    <s v="Black"/>
    <n v="87.5"/>
    <n v="12.5"/>
    <n v="0"/>
    <n v="35"/>
    <s v="Ground"/>
    <m/>
    <n v="45"/>
    <n v="184"/>
    <n v="1000000"/>
    <x v="0"/>
    <m/>
    <m/>
    <n v="95"/>
    <n v="65"/>
    <n v="110"/>
    <n v="60"/>
    <n v="130"/>
    <n v="65"/>
    <n v="525"/>
    <n v="0"/>
    <n v="0"/>
    <n v="0"/>
    <n v="0"/>
    <n v="2"/>
    <n v="0"/>
  </r>
  <r>
    <s v="Murkrow"/>
    <x v="251"/>
    <n v="198"/>
    <s v="198_0"/>
    <x v="4"/>
    <n v="0.5"/>
    <n v="2.1"/>
    <x v="5"/>
    <s v="Flying"/>
    <s v="Insomnia"/>
    <s v="Super Luck"/>
    <s v="Prankster"/>
    <s v="Black"/>
    <n v="50"/>
    <n v="50"/>
    <n v="0"/>
    <n v="20"/>
    <s v="Flying"/>
    <m/>
    <n v="30"/>
    <n v="81"/>
    <n v="1059860"/>
    <x v="0"/>
    <m/>
    <m/>
    <n v="60"/>
    <n v="85"/>
    <n v="42"/>
    <n v="85"/>
    <n v="42"/>
    <n v="91"/>
    <n v="405"/>
    <n v="0"/>
    <n v="0"/>
    <n v="0"/>
    <n v="0"/>
    <n v="0"/>
    <n v="1"/>
  </r>
  <r>
    <s v="Slowking"/>
    <x v="252"/>
    <n v="199"/>
    <s v="199_0"/>
    <x v="4"/>
    <n v="2"/>
    <n v="79.5"/>
    <x v="2"/>
    <s v="Psychic"/>
    <s v="Oblivious"/>
    <s v="Own Tempo"/>
    <s v="Regenerator"/>
    <s v="Pink"/>
    <n v="50"/>
    <n v="50"/>
    <n v="0"/>
    <n v="20"/>
    <s v="Monster"/>
    <s v="Water1"/>
    <n v="70"/>
    <n v="172"/>
    <n v="1000000"/>
    <x v="0"/>
    <m/>
    <m/>
    <n v="95"/>
    <n v="75"/>
    <n v="80"/>
    <n v="100"/>
    <n v="110"/>
    <n v="30"/>
    <n v="490"/>
    <n v="0"/>
    <n v="0"/>
    <n v="0"/>
    <n v="0"/>
    <n v="2"/>
    <n v="0"/>
  </r>
  <r>
    <s v="Slowking"/>
    <x v="253"/>
    <n v="199"/>
    <s v="199_1"/>
    <x v="2"/>
    <n v="1.8"/>
    <n v="79.5"/>
    <x v="6"/>
    <s v="Psychic"/>
    <s v="Curious Medicine"/>
    <s v="Own Tempo"/>
    <s v="Regenerator"/>
    <s v="Pink"/>
    <n v="50"/>
    <n v="50"/>
    <n v="0"/>
    <n v="20"/>
    <s v="Monster"/>
    <s v="Water1"/>
    <n v="70"/>
    <n v="172"/>
    <n v="1000000"/>
    <x v="0"/>
    <m/>
    <s v="Galarian"/>
    <n v="95"/>
    <n v="65"/>
    <n v="80"/>
    <n v="110"/>
    <n v="110"/>
    <n v="30"/>
    <n v="490"/>
    <n v="0"/>
    <n v="0"/>
    <n v="0"/>
    <n v="0"/>
    <n v="2"/>
    <n v="0"/>
  </r>
  <r>
    <s v="Misdreavus"/>
    <x v="254"/>
    <n v="200"/>
    <s v="200_0"/>
    <x v="4"/>
    <n v="0.7"/>
    <n v="1"/>
    <x v="15"/>
    <m/>
    <s v="Levitate"/>
    <m/>
    <m/>
    <s v="Gray"/>
    <n v="50"/>
    <n v="50"/>
    <n v="0"/>
    <n v="25"/>
    <s v="Amorphous"/>
    <m/>
    <n v="45"/>
    <n v="87"/>
    <n v="800000"/>
    <x v="0"/>
    <m/>
    <m/>
    <n v="60"/>
    <n v="60"/>
    <n v="60"/>
    <n v="85"/>
    <n v="85"/>
    <n v="85"/>
    <n v="435"/>
    <n v="0"/>
    <n v="0"/>
    <n v="0"/>
    <n v="0"/>
    <n v="1"/>
    <n v="0"/>
  </r>
  <r>
    <s v="Unown"/>
    <x v="255"/>
    <n v="201"/>
    <s v="201_0"/>
    <x v="4"/>
    <n v="0.5"/>
    <n v="5"/>
    <x v="13"/>
    <m/>
    <s v="Levitate"/>
    <m/>
    <m/>
    <s v="Black"/>
    <n v="0"/>
    <n v="0"/>
    <n v="100"/>
    <n v="40"/>
    <s v="Undiscovered"/>
    <m/>
    <n v="225"/>
    <n v="118"/>
    <n v="1000000"/>
    <x v="0"/>
    <m/>
    <m/>
    <n v="48"/>
    <n v="72"/>
    <n v="48"/>
    <n v="72"/>
    <n v="48"/>
    <n v="48"/>
    <n v="336"/>
    <n v="0"/>
    <n v="1"/>
    <n v="0"/>
    <n v="1"/>
    <n v="0"/>
    <n v="0"/>
  </r>
  <r>
    <s v="Wobbuffet"/>
    <x v="256"/>
    <n v="202"/>
    <s v="202_0"/>
    <x v="4"/>
    <n v="1.3"/>
    <n v="28.5"/>
    <x v="13"/>
    <m/>
    <s v="Shadow Tag"/>
    <m/>
    <s v="Telepathy"/>
    <s v="Blue"/>
    <n v="50"/>
    <n v="50"/>
    <n v="0"/>
    <n v="20"/>
    <s v="Amorphous"/>
    <m/>
    <n v="45"/>
    <n v="142"/>
    <n v="1000000"/>
    <x v="0"/>
    <m/>
    <m/>
    <n v="190"/>
    <n v="33"/>
    <n v="58"/>
    <n v="33"/>
    <n v="58"/>
    <n v="33"/>
    <n v="405"/>
    <n v="2"/>
    <n v="0"/>
    <n v="0"/>
    <n v="0"/>
    <n v="0"/>
    <n v="0"/>
  </r>
  <r>
    <s v="Girafarig"/>
    <x v="257"/>
    <n v="203"/>
    <s v="203_0"/>
    <x v="4"/>
    <n v="1.5"/>
    <n v="41.5"/>
    <x v="4"/>
    <s v="Psychic"/>
    <s v="Inner Focus"/>
    <s v="Early Bird"/>
    <s v="Sap Sipper"/>
    <s v="Yellow"/>
    <n v="50"/>
    <n v="50"/>
    <n v="0"/>
    <n v="20"/>
    <s v="Ground"/>
    <m/>
    <n v="60"/>
    <n v="159"/>
    <n v="1000000"/>
    <x v="0"/>
    <m/>
    <m/>
    <n v="70"/>
    <n v="80"/>
    <n v="65"/>
    <n v="90"/>
    <n v="65"/>
    <n v="85"/>
    <n v="455"/>
    <n v="0"/>
    <n v="0"/>
    <n v="0"/>
    <n v="2"/>
    <n v="0"/>
    <n v="0"/>
  </r>
  <r>
    <s v="Pineco"/>
    <x v="258"/>
    <n v="204"/>
    <s v="204_0"/>
    <x v="4"/>
    <n v="0.6"/>
    <n v="7.2"/>
    <x v="3"/>
    <m/>
    <s v="Sturdy"/>
    <m/>
    <s v="Overcoat"/>
    <s v="Gray"/>
    <n v="50"/>
    <n v="50"/>
    <n v="0"/>
    <n v="20"/>
    <s v="Bug"/>
    <m/>
    <n v="190"/>
    <n v="58"/>
    <n v="1000000"/>
    <x v="0"/>
    <m/>
    <m/>
    <n v="50"/>
    <n v="65"/>
    <n v="90"/>
    <n v="35"/>
    <n v="35"/>
    <n v="15"/>
    <n v="290"/>
    <n v="0"/>
    <n v="0"/>
    <n v="1"/>
    <n v="0"/>
    <n v="0"/>
    <n v="0"/>
  </r>
  <r>
    <s v="Forretress"/>
    <x v="259"/>
    <n v="205"/>
    <s v="205_0"/>
    <x v="4"/>
    <n v="1.2"/>
    <n v="125.8"/>
    <x v="3"/>
    <s v="Steel"/>
    <s v="Sturdy"/>
    <m/>
    <s v="Overcoat"/>
    <s v="Purple"/>
    <n v="50"/>
    <n v="50"/>
    <n v="0"/>
    <n v="20"/>
    <s v="Bug"/>
    <m/>
    <n v="75"/>
    <n v="163"/>
    <n v="1000000"/>
    <x v="0"/>
    <m/>
    <m/>
    <n v="75"/>
    <n v="90"/>
    <n v="140"/>
    <n v="60"/>
    <n v="60"/>
    <n v="40"/>
    <n v="465"/>
    <n v="0"/>
    <n v="0"/>
    <n v="2"/>
    <n v="0"/>
    <n v="0"/>
    <n v="0"/>
  </r>
  <r>
    <s v="Dunsparce"/>
    <x v="260"/>
    <n v="206"/>
    <s v="206_0"/>
    <x v="4"/>
    <n v="1.5"/>
    <n v="14"/>
    <x v="4"/>
    <m/>
    <s v="Serene Grace"/>
    <s v="Run Away"/>
    <s v="Rattled"/>
    <s v="Yellow"/>
    <n v="50"/>
    <n v="50"/>
    <n v="0"/>
    <n v="20"/>
    <s v="Ground"/>
    <m/>
    <n v="190"/>
    <n v="145"/>
    <n v="1000000"/>
    <x v="0"/>
    <m/>
    <m/>
    <n v="100"/>
    <n v="70"/>
    <n v="70"/>
    <n v="65"/>
    <n v="65"/>
    <n v="45"/>
    <n v="415"/>
    <n v="1"/>
    <n v="0"/>
    <n v="0"/>
    <n v="0"/>
    <n v="0"/>
    <n v="0"/>
  </r>
  <r>
    <s v="Gligar"/>
    <x v="261"/>
    <n v="207"/>
    <s v="207_0"/>
    <x v="4"/>
    <n v="1.1000000000000001"/>
    <n v="64.8"/>
    <x v="8"/>
    <s v="Flying"/>
    <s v="Hyper Cutter"/>
    <s v="Sand Veil"/>
    <s v="Immunity"/>
    <s v="Purple"/>
    <n v="50"/>
    <n v="50"/>
    <n v="0"/>
    <n v="20"/>
    <s v="Bug"/>
    <m/>
    <n v="60"/>
    <n v="86"/>
    <n v="1059860"/>
    <x v="0"/>
    <m/>
    <m/>
    <n v="65"/>
    <n v="75"/>
    <n v="105"/>
    <n v="35"/>
    <n v="65"/>
    <n v="85"/>
    <n v="430"/>
    <n v="0"/>
    <n v="0"/>
    <n v="1"/>
    <n v="0"/>
    <n v="0"/>
    <n v="0"/>
  </r>
  <r>
    <s v="Steelix"/>
    <x v="262"/>
    <n v="208"/>
    <s v="208_0"/>
    <x v="4"/>
    <n v="9.1999999999999993"/>
    <n v="400"/>
    <x v="11"/>
    <s v="Ground"/>
    <s v="Rock Head"/>
    <s v="Sturdy"/>
    <s v="Sheer Force"/>
    <s v="Gray"/>
    <n v="50"/>
    <n v="50"/>
    <n v="0"/>
    <n v="25"/>
    <s v="Mineral"/>
    <m/>
    <n v="25"/>
    <n v="179"/>
    <n v="1000000"/>
    <x v="0"/>
    <m/>
    <m/>
    <n v="75"/>
    <n v="85"/>
    <n v="200"/>
    <n v="55"/>
    <n v="65"/>
    <n v="30"/>
    <n v="510"/>
    <n v="0"/>
    <n v="0"/>
    <n v="2"/>
    <n v="0"/>
    <n v="0"/>
    <n v="0"/>
  </r>
  <r>
    <s v="Steelix"/>
    <x v="263"/>
    <n v="208"/>
    <s v="208_1"/>
    <x v="4"/>
    <n v="10.5"/>
    <n v="740"/>
    <x v="11"/>
    <s v="Ground"/>
    <s v="Sand Force"/>
    <m/>
    <m/>
    <s v="Gray"/>
    <n v="50"/>
    <n v="50"/>
    <n v="0"/>
    <n v="25"/>
    <s v="Mineral"/>
    <m/>
    <n v="25"/>
    <n v="214"/>
    <n v="1000000"/>
    <x v="0"/>
    <s v="Mega"/>
    <m/>
    <n v="75"/>
    <n v="125"/>
    <n v="230"/>
    <n v="55"/>
    <n v="95"/>
    <n v="30"/>
    <n v="610"/>
    <n v="0"/>
    <n v="0"/>
    <n v="2"/>
    <n v="0"/>
    <n v="0"/>
    <n v="0"/>
  </r>
  <r>
    <s v="Snubbull"/>
    <x v="264"/>
    <n v="209"/>
    <s v="209_0"/>
    <x v="4"/>
    <n v="0.6"/>
    <n v="7.8"/>
    <x v="10"/>
    <m/>
    <s v="Intimidate"/>
    <s v="Run Away"/>
    <s v="Rattled"/>
    <s v="Pink"/>
    <n v="25"/>
    <n v="75"/>
    <n v="0"/>
    <n v="20"/>
    <s v="Ground"/>
    <s v="Fairy"/>
    <n v="190"/>
    <n v="60"/>
    <n v="800000"/>
    <x v="0"/>
    <m/>
    <m/>
    <n v="60"/>
    <n v="80"/>
    <n v="50"/>
    <n v="40"/>
    <n v="40"/>
    <n v="30"/>
    <n v="300"/>
    <n v="0"/>
    <n v="1"/>
    <n v="0"/>
    <n v="0"/>
    <n v="0"/>
    <n v="0"/>
  </r>
  <r>
    <s v="Granbull"/>
    <x v="265"/>
    <n v="210"/>
    <s v="210_0"/>
    <x v="4"/>
    <n v="1.4"/>
    <n v="48.7"/>
    <x v="10"/>
    <m/>
    <s v="Intimidate"/>
    <s v="Quick Feet"/>
    <s v="Rattled"/>
    <s v="Purple"/>
    <n v="25"/>
    <n v="75"/>
    <n v="0"/>
    <n v="20"/>
    <s v="Ground"/>
    <s v="Fairy"/>
    <n v="75"/>
    <n v="158"/>
    <n v="800000"/>
    <x v="0"/>
    <m/>
    <m/>
    <n v="90"/>
    <n v="120"/>
    <n v="75"/>
    <n v="60"/>
    <n v="60"/>
    <n v="45"/>
    <n v="450"/>
    <n v="0"/>
    <n v="2"/>
    <n v="0"/>
    <n v="0"/>
    <n v="0"/>
    <n v="0"/>
  </r>
  <r>
    <s v="Qwilfish"/>
    <x v="266"/>
    <n v="211"/>
    <s v="211_0"/>
    <x v="4"/>
    <n v="0.5"/>
    <n v="3.9"/>
    <x v="2"/>
    <s v="Poison"/>
    <s v="Poison Point"/>
    <s v="Swift Swim"/>
    <s v="Intimidate"/>
    <s v="Gray"/>
    <n v="50"/>
    <n v="50"/>
    <n v="0"/>
    <n v="20"/>
    <s v="Water2"/>
    <m/>
    <n v="45"/>
    <n v="88"/>
    <n v="1000000"/>
    <x v="0"/>
    <m/>
    <m/>
    <n v="65"/>
    <n v="95"/>
    <n v="85"/>
    <n v="55"/>
    <n v="55"/>
    <n v="85"/>
    <n v="440"/>
    <n v="0"/>
    <n v="1"/>
    <n v="0"/>
    <n v="0"/>
    <n v="0"/>
    <n v="0"/>
  </r>
  <r>
    <s v="Qwilfish"/>
    <x v="267"/>
    <n v="211"/>
    <s v="211_1"/>
    <x v="2"/>
    <n v="0.5"/>
    <n v="3.9"/>
    <x v="5"/>
    <s v="Poison"/>
    <s v="Poison Point"/>
    <s v="Swift Swim"/>
    <s v="Intimidate"/>
    <s v="Gray"/>
    <n v="50"/>
    <n v="50"/>
    <n v="0"/>
    <n v="20"/>
    <s v="Water2"/>
    <m/>
    <n v="45"/>
    <n v="88"/>
    <n v="1000000"/>
    <x v="0"/>
    <m/>
    <s v="Hisuian"/>
    <n v="65"/>
    <n v="95"/>
    <n v="85"/>
    <n v="55"/>
    <n v="55"/>
    <n v="85"/>
    <n v="440"/>
    <n v="0"/>
    <n v="1"/>
    <n v="0"/>
    <n v="0"/>
    <n v="0"/>
    <n v="0"/>
  </r>
  <r>
    <s v="Scizor"/>
    <x v="268"/>
    <n v="212"/>
    <s v="212_0"/>
    <x v="4"/>
    <n v="1.8"/>
    <n v="118"/>
    <x v="3"/>
    <s v="Steel"/>
    <s v="Swarm"/>
    <s v="Technician"/>
    <s v="Light Metal"/>
    <s v="Red"/>
    <n v="50"/>
    <n v="50"/>
    <n v="0"/>
    <n v="25"/>
    <s v="Bug"/>
    <m/>
    <n v="25"/>
    <n v="175"/>
    <n v="1000000"/>
    <x v="0"/>
    <m/>
    <m/>
    <n v="70"/>
    <n v="130"/>
    <n v="100"/>
    <n v="55"/>
    <n v="80"/>
    <n v="65"/>
    <n v="500"/>
    <n v="0"/>
    <n v="2"/>
    <n v="0"/>
    <n v="0"/>
    <n v="0"/>
    <n v="0"/>
  </r>
  <r>
    <s v="Scizor"/>
    <x v="269"/>
    <n v="212"/>
    <s v="212_1"/>
    <x v="4"/>
    <n v="2"/>
    <n v="125"/>
    <x v="3"/>
    <s v="Steel"/>
    <s v="Technician"/>
    <m/>
    <m/>
    <s v="Red"/>
    <n v="50"/>
    <n v="50"/>
    <n v="0"/>
    <n v="25"/>
    <s v="Bug"/>
    <m/>
    <n v="25"/>
    <n v="210"/>
    <n v="1000000"/>
    <x v="0"/>
    <s v="Mega"/>
    <m/>
    <n v="70"/>
    <n v="150"/>
    <n v="140"/>
    <n v="65"/>
    <n v="100"/>
    <n v="75"/>
    <n v="600"/>
    <n v="0"/>
    <n v="2"/>
    <n v="0"/>
    <n v="0"/>
    <n v="0"/>
    <n v="0"/>
  </r>
  <r>
    <s v="Shuckle"/>
    <x v="270"/>
    <n v="213"/>
    <s v="213_0"/>
    <x v="4"/>
    <n v="0.6"/>
    <n v="20.5"/>
    <x v="3"/>
    <s v="Rock"/>
    <s v="Sturdy"/>
    <s v="Gluttony"/>
    <s v="Contrary"/>
    <s v="Yellow"/>
    <n v="50"/>
    <n v="50"/>
    <n v="0"/>
    <n v="20"/>
    <s v="Bug"/>
    <m/>
    <n v="190"/>
    <n v="177"/>
    <n v="1059860"/>
    <x v="0"/>
    <m/>
    <m/>
    <n v="20"/>
    <n v="10"/>
    <n v="230"/>
    <n v="10"/>
    <n v="230"/>
    <n v="5"/>
    <n v="505"/>
    <n v="0"/>
    <n v="0"/>
    <n v="1"/>
    <n v="0"/>
    <n v="1"/>
    <n v="0"/>
  </r>
  <r>
    <s v="Heracross"/>
    <x v="271"/>
    <n v="214"/>
    <s v="214_0"/>
    <x v="4"/>
    <n v="1.5"/>
    <n v="54"/>
    <x v="3"/>
    <s v="Fighting"/>
    <s v="Swarm"/>
    <s v="Guts"/>
    <s v="Moxie"/>
    <s v="Blue"/>
    <n v="50"/>
    <n v="50"/>
    <n v="0"/>
    <n v="25"/>
    <s v="Bug"/>
    <m/>
    <n v="45"/>
    <n v="175"/>
    <n v="1250000"/>
    <x v="0"/>
    <m/>
    <m/>
    <n v="80"/>
    <n v="125"/>
    <n v="75"/>
    <n v="40"/>
    <n v="95"/>
    <n v="85"/>
    <n v="500"/>
    <n v="0"/>
    <n v="2"/>
    <n v="0"/>
    <n v="0"/>
    <n v="0"/>
    <n v="0"/>
  </r>
  <r>
    <s v="Heracross"/>
    <x v="272"/>
    <n v="214"/>
    <s v="214_1"/>
    <x v="4"/>
    <n v="1.7"/>
    <n v="62.5"/>
    <x v="3"/>
    <s v="Fighting"/>
    <s v="Skill Link"/>
    <m/>
    <m/>
    <s v="Blue"/>
    <n v="50"/>
    <n v="50"/>
    <n v="0"/>
    <n v="25"/>
    <s v="Bug"/>
    <m/>
    <n v="45"/>
    <n v="210"/>
    <n v="1250000"/>
    <x v="0"/>
    <s v="Mega"/>
    <m/>
    <n v="80"/>
    <n v="185"/>
    <n v="115"/>
    <n v="40"/>
    <n v="105"/>
    <n v="75"/>
    <n v="600"/>
    <n v="0"/>
    <n v="2"/>
    <n v="0"/>
    <n v="0"/>
    <n v="0"/>
    <n v="0"/>
  </r>
  <r>
    <s v="Sneasel"/>
    <x v="273"/>
    <n v="215"/>
    <s v="215_0"/>
    <x v="4"/>
    <n v="0.9"/>
    <n v="28"/>
    <x v="5"/>
    <s v="Ice"/>
    <s v="Inner Focus"/>
    <s v="Keen Eye"/>
    <s v="Pickpocket"/>
    <s v="Black"/>
    <n v="50"/>
    <n v="50"/>
    <n v="0"/>
    <n v="20"/>
    <s v="Ground"/>
    <m/>
    <n v="60"/>
    <n v="86"/>
    <n v="1059860"/>
    <x v="0"/>
    <m/>
    <m/>
    <n v="55"/>
    <n v="95"/>
    <n v="55"/>
    <n v="35"/>
    <n v="75"/>
    <n v="115"/>
    <n v="430"/>
    <n v="0"/>
    <n v="0"/>
    <n v="0"/>
    <n v="0"/>
    <n v="0"/>
    <n v="1"/>
  </r>
  <r>
    <s v="Sneasel"/>
    <x v="274"/>
    <n v="215"/>
    <s v="215_1"/>
    <x v="2"/>
    <n v="0.9"/>
    <n v="27"/>
    <x v="12"/>
    <s v="Poison"/>
    <s v="Inner Focus"/>
    <s v="Keen Eye"/>
    <s v="Pickpocket"/>
    <s v="Purple"/>
    <n v="50"/>
    <n v="50"/>
    <n v="0"/>
    <n v="20"/>
    <s v="Ground"/>
    <m/>
    <n v="60"/>
    <n v="86"/>
    <n v="1059860"/>
    <x v="0"/>
    <m/>
    <s v="Hisuian"/>
    <n v="55"/>
    <n v="95"/>
    <n v="55"/>
    <n v="35"/>
    <n v="75"/>
    <n v="115"/>
    <n v="430"/>
    <n v="0"/>
    <n v="0"/>
    <n v="0"/>
    <n v="0"/>
    <n v="0"/>
    <n v="1"/>
  </r>
  <r>
    <s v="Teddiursa"/>
    <x v="275"/>
    <n v="216"/>
    <s v="216_0"/>
    <x v="4"/>
    <n v="0.6"/>
    <n v="8.8000000000000007"/>
    <x v="4"/>
    <m/>
    <s v="Pickup"/>
    <s v="Quick Feet"/>
    <s v="Honey Gather"/>
    <s v="Brown"/>
    <n v="50"/>
    <n v="50"/>
    <n v="0"/>
    <n v="20"/>
    <s v="Ground"/>
    <m/>
    <n v="120"/>
    <n v="66"/>
    <n v="1000000"/>
    <x v="0"/>
    <m/>
    <m/>
    <n v="60"/>
    <n v="80"/>
    <n v="50"/>
    <n v="50"/>
    <n v="50"/>
    <n v="40"/>
    <n v="330"/>
    <n v="0"/>
    <n v="1"/>
    <n v="0"/>
    <n v="0"/>
    <n v="0"/>
    <n v="0"/>
  </r>
  <r>
    <s v="Ursaring"/>
    <x v="276"/>
    <n v="217"/>
    <s v="217_0"/>
    <x v="4"/>
    <n v="1.8"/>
    <n v="125.8"/>
    <x v="4"/>
    <m/>
    <s v="Guts"/>
    <s v="Quick Feet"/>
    <s v="Unnerve"/>
    <s v="Brown"/>
    <n v="50"/>
    <n v="50"/>
    <n v="0"/>
    <n v="20"/>
    <s v="Ground"/>
    <m/>
    <n v="60"/>
    <n v="175"/>
    <n v="1000000"/>
    <x v="0"/>
    <m/>
    <m/>
    <n v="90"/>
    <n v="130"/>
    <n v="75"/>
    <n v="75"/>
    <n v="75"/>
    <n v="55"/>
    <n v="500"/>
    <n v="0"/>
    <n v="2"/>
    <n v="0"/>
    <n v="0"/>
    <n v="0"/>
    <n v="0"/>
  </r>
  <r>
    <s v="Slugma"/>
    <x v="277"/>
    <n v="218"/>
    <s v="218_0"/>
    <x v="4"/>
    <n v="0.7"/>
    <n v="35"/>
    <x v="1"/>
    <m/>
    <s v="Magma Armor"/>
    <s v="Flame Body"/>
    <s v="Weak Armor"/>
    <s v="Red"/>
    <n v="50"/>
    <n v="50"/>
    <n v="0"/>
    <n v="20"/>
    <s v="Amorphous"/>
    <m/>
    <n v="190"/>
    <n v="50"/>
    <n v="1000000"/>
    <x v="0"/>
    <m/>
    <m/>
    <n v="40"/>
    <n v="40"/>
    <n v="40"/>
    <n v="70"/>
    <n v="40"/>
    <n v="20"/>
    <n v="250"/>
    <n v="0"/>
    <n v="0"/>
    <n v="0"/>
    <n v="1"/>
    <n v="0"/>
    <n v="0"/>
  </r>
  <r>
    <s v="Magcargo"/>
    <x v="278"/>
    <n v="219"/>
    <s v="219_0"/>
    <x v="4"/>
    <n v="0.8"/>
    <n v="55"/>
    <x v="1"/>
    <s v="Rock"/>
    <s v="Magma Armor"/>
    <s v="Flame Body"/>
    <s v="Weak Armor"/>
    <s v="Red"/>
    <n v="50"/>
    <n v="50"/>
    <n v="0"/>
    <n v="20"/>
    <s v="Amorphous"/>
    <m/>
    <n v="75"/>
    <n v="151"/>
    <n v="1000000"/>
    <x v="0"/>
    <m/>
    <m/>
    <n v="60"/>
    <n v="50"/>
    <n v="120"/>
    <n v="90"/>
    <n v="80"/>
    <n v="30"/>
    <n v="430"/>
    <n v="0"/>
    <n v="0"/>
    <n v="2"/>
    <n v="0"/>
    <n v="0"/>
    <n v="0"/>
  </r>
  <r>
    <s v="Swinub"/>
    <x v="279"/>
    <n v="220"/>
    <s v="220_0"/>
    <x v="4"/>
    <n v="0.4"/>
    <n v="6.5"/>
    <x v="9"/>
    <s v="Ground"/>
    <s v="Oblivious"/>
    <s v="Snow Cloak"/>
    <s v="Thick Fat"/>
    <s v="Brown"/>
    <n v="50"/>
    <n v="50"/>
    <n v="0"/>
    <n v="20"/>
    <s v="Ground"/>
    <m/>
    <n v="225"/>
    <n v="50"/>
    <n v="1250000"/>
    <x v="0"/>
    <m/>
    <m/>
    <n v="50"/>
    <n v="50"/>
    <n v="40"/>
    <n v="30"/>
    <n v="30"/>
    <n v="50"/>
    <n v="250"/>
    <n v="0"/>
    <n v="1"/>
    <n v="0"/>
    <n v="0"/>
    <n v="0"/>
    <n v="0"/>
  </r>
  <r>
    <s v="Piloswine"/>
    <x v="280"/>
    <n v="221"/>
    <s v="221_0"/>
    <x v="4"/>
    <n v="1.1000000000000001"/>
    <n v="55.8"/>
    <x v="9"/>
    <s v="Ground"/>
    <s v="Oblivious"/>
    <s v="Snow Cloak"/>
    <s v="Thick Fat"/>
    <s v="Brown"/>
    <n v="50"/>
    <n v="50"/>
    <n v="0"/>
    <n v="20"/>
    <s v="Ground"/>
    <m/>
    <n v="75"/>
    <n v="158"/>
    <n v="1250000"/>
    <x v="0"/>
    <m/>
    <m/>
    <n v="100"/>
    <n v="100"/>
    <n v="80"/>
    <n v="60"/>
    <n v="60"/>
    <n v="50"/>
    <n v="450"/>
    <n v="1"/>
    <n v="1"/>
    <n v="0"/>
    <n v="0"/>
    <n v="0"/>
    <n v="0"/>
  </r>
  <r>
    <s v="Corsola"/>
    <x v="281"/>
    <n v="222"/>
    <s v="222_0"/>
    <x v="4"/>
    <n v="0.6"/>
    <n v="5"/>
    <x v="2"/>
    <s v="Rock"/>
    <s v="Hustle"/>
    <s v="Natural Cure"/>
    <s v="Regenerator"/>
    <s v="Pink"/>
    <n v="25"/>
    <n v="75"/>
    <n v="0"/>
    <n v="20"/>
    <s v="Water1"/>
    <s v="Water3"/>
    <n v="60"/>
    <n v="144"/>
    <n v="800000"/>
    <x v="0"/>
    <m/>
    <m/>
    <n v="65"/>
    <n v="55"/>
    <n v="95"/>
    <n v="65"/>
    <n v="95"/>
    <n v="35"/>
    <n v="410"/>
    <n v="0"/>
    <n v="0"/>
    <n v="1"/>
    <n v="0"/>
    <n v="1"/>
    <n v="0"/>
  </r>
  <r>
    <s v="Corsola"/>
    <x v="282"/>
    <n v="222"/>
    <s v="222_1"/>
    <x v="2"/>
    <n v="0.6"/>
    <n v="0.5"/>
    <x v="15"/>
    <m/>
    <s v="Weak Armor"/>
    <m/>
    <s v="Cursed Body"/>
    <s v="White"/>
    <n v="25"/>
    <n v="75"/>
    <n v="0"/>
    <n v="20"/>
    <s v="Water1"/>
    <s v="Water3"/>
    <n v="60"/>
    <n v="144"/>
    <n v="800000"/>
    <x v="0"/>
    <m/>
    <s v="Galarian"/>
    <n v="60"/>
    <n v="55"/>
    <n v="100"/>
    <n v="65"/>
    <n v="100"/>
    <n v="30"/>
    <n v="410"/>
    <n v="0"/>
    <n v="0"/>
    <n v="0"/>
    <n v="0"/>
    <n v="1"/>
    <n v="0"/>
  </r>
  <r>
    <s v="Remoraid"/>
    <x v="283"/>
    <n v="223"/>
    <s v="223_0"/>
    <x v="4"/>
    <n v="0.6"/>
    <n v="12"/>
    <x v="2"/>
    <m/>
    <s v="Hustle"/>
    <s v="Sniper"/>
    <s v="Moody"/>
    <s v="Gray"/>
    <n v="50"/>
    <n v="50"/>
    <n v="0"/>
    <n v="20"/>
    <s v="Water1"/>
    <s v="Water2"/>
    <n v="190"/>
    <n v="60"/>
    <n v="1000000"/>
    <x v="0"/>
    <m/>
    <m/>
    <n v="35"/>
    <n v="65"/>
    <n v="35"/>
    <n v="65"/>
    <n v="35"/>
    <n v="65"/>
    <n v="300"/>
    <n v="0"/>
    <n v="0"/>
    <n v="0"/>
    <n v="1"/>
    <n v="0"/>
    <n v="0"/>
  </r>
  <r>
    <s v="Octillery"/>
    <x v="284"/>
    <n v="224"/>
    <s v="224_0"/>
    <x v="4"/>
    <n v="0.9"/>
    <n v="28.5"/>
    <x v="2"/>
    <m/>
    <s v="Suction Cups"/>
    <s v="Sniper"/>
    <s v="Moody"/>
    <s v="Red"/>
    <n v="50"/>
    <n v="50"/>
    <n v="0"/>
    <n v="20"/>
    <s v="Water1"/>
    <s v="Water2"/>
    <n v="75"/>
    <n v="168"/>
    <n v="1000000"/>
    <x v="0"/>
    <m/>
    <m/>
    <n v="75"/>
    <n v="105"/>
    <n v="75"/>
    <n v="105"/>
    <n v="75"/>
    <n v="45"/>
    <n v="480"/>
    <n v="0"/>
    <n v="1"/>
    <n v="0"/>
    <n v="1"/>
    <n v="0"/>
    <n v="0"/>
  </r>
  <r>
    <s v="Delibird"/>
    <x v="285"/>
    <n v="225"/>
    <s v="225_0"/>
    <x v="4"/>
    <n v="0.9"/>
    <n v="16"/>
    <x v="9"/>
    <s v="Flying"/>
    <s v="Vital Spirit"/>
    <s v="Hustle"/>
    <s v="Insomnia"/>
    <s v="Red"/>
    <n v="50"/>
    <n v="50"/>
    <n v="0"/>
    <n v="20"/>
    <s v="Water1"/>
    <s v="Ground"/>
    <n v="45"/>
    <n v="116"/>
    <n v="800000"/>
    <x v="0"/>
    <m/>
    <m/>
    <n v="45"/>
    <n v="55"/>
    <n v="45"/>
    <n v="65"/>
    <n v="45"/>
    <n v="75"/>
    <n v="330"/>
    <n v="0"/>
    <n v="0"/>
    <n v="0"/>
    <n v="0"/>
    <n v="0"/>
    <n v="1"/>
  </r>
  <r>
    <s v="Mantine"/>
    <x v="286"/>
    <n v="226"/>
    <s v="226_0"/>
    <x v="4"/>
    <n v="2.1"/>
    <n v="220"/>
    <x v="2"/>
    <s v="Flying"/>
    <s v="Swift Swim"/>
    <s v="Water Absorb"/>
    <s v="Water Veil"/>
    <s v="Purple"/>
    <n v="50"/>
    <n v="50"/>
    <n v="0"/>
    <n v="25"/>
    <s v="Water1"/>
    <m/>
    <n v="25"/>
    <n v="170"/>
    <n v="1250000"/>
    <x v="0"/>
    <m/>
    <m/>
    <n v="85"/>
    <n v="40"/>
    <n v="70"/>
    <n v="80"/>
    <n v="140"/>
    <n v="70"/>
    <n v="485"/>
    <n v="0"/>
    <n v="0"/>
    <n v="0"/>
    <n v="0"/>
    <n v="2"/>
    <n v="0"/>
  </r>
  <r>
    <s v="Skarmory"/>
    <x v="287"/>
    <n v="227"/>
    <s v="227_0"/>
    <x v="4"/>
    <n v="1.7"/>
    <n v="50.5"/>
    <x v="11"/>
    <s v="Flying"/>
    <s v="Keen Eye"/>
    <s v="Sturdy"/>
    <s v="Weak Armor"/>
    <s v="Gray"/>
    <n v="50"/>
    <n v="50"/>
    <n v="0"/>
    <n v="25"/>
    <s v="Flying"/>
    <m/>
    <n v="25"/>
    <n v="163"/>
    <n v="1250000"/>
    <x v="0"/>
    <m/>
    <m/>
    <n v="65"/>
    <n v="80"/>
    <n v="140"/>
    <n v="40"/>
    <n v="70"/>
    <n v="70"/>
    <n v="465"/>
    <n v="0"/>
    <n v="0"/>
    <n v="2"/>
    <n v="0"/>
    <n v="0"/>
    <n v="0"/>
  </r>
  <r>
    <s v="Houndour"/>
    <x v="288"/>
    <n v="228"/>
    <s v="228_0"/>
    <x v="4"/>
    <n v="0.6"/>
    <n v="10.8"/>
    <x v="5"/>
    <s v="Fire"/>
    <s v="Early Bird"/>
    <s v="Flash Fire"/>
    <s v="Unnerve"/>
    <s v="Black"/>
    <n v="50"/>
    <n v="50"/>
    <n v="0"/>
    <n v="20"/>
    <s v="Ground"/>
    <m/>
    <n v="120"/>
    <n v="66"/>
    <n v="1250000"/>
    <x v="0"/>
    <m/>
    <m/>
    <n v="45"/>
    <n v="60"/>
    <n v="30"/>
    <n v="80"/>
    <n v="50"/>
    <n v="65"/>
    <n v="330"/>
    <n v="0"/>
    <n v="0"/>
    <n v="0"/>
    <n v="1"/>
    <n v="0"/>
    <n v="0"/>
  </r>
  <r>
    <s v="Houndoom"/>
    <x v="289"/>
    <n v="229"/>
    <s v="229_0"/>
    <x v="4"/>
    <n v="1.4"/>
    <n v="35"/>
    <x v="5"/>
    <s v="Fire"/>
    <s v="Early Bird"/>
    <s v="Flash Fire"/>
    <s v="Unnerve"/>
    <s v="Black"/>
    <n v="50"/>
    <n v="50"/>
    <n v="0"/>
    <n v="20"/>
    <s v="Ground"/>
    <m/>
    <n v="45"/>
    <n v="175"/>
    <n v="1250000"/>
    <x v="0"/>
    <m/>
    <m/>
    <n v="75"/>
    <n v="90"/>
    <n v="50"/>
    <n v="110"/>
    <n v="80"/>
    <n v="95"/>
    <n v="500"/>
    <n v="0"/>
    <n v="0"/>
    <n v="0"/>
    <n v="2"/>
    <n v="0"/>
    <n v="0"/>
  </r>
  <r>
    <s v="Houndoom"/>
    <x v="290"/>
    <n v="229"/>
    <s v="229_1"/>
    <x v="4"/>
    <n v="1.9"/>
    <n v="49.5"/>
    <x v="5"/>
    <s v="Fire"/>
    <s v="Solar Power"/>
    <m/>
    <m/>
    <s v="Black"/>
    <n v="50"/>
    <n v="50"/>
    <n v="0"/>
    <n v="20"/>
    <s v="Ground"/>
    <m/>
    <n v="45"/>
    <n v="210"/>
    <n v="1250000"/>
    <x v="0"/>
    <s v="Mega"/>
    <m/>
    <n v="75"/>
    <n v="90"/>
    <n v="90"/>
    <n v="140"/>
    <n v="90"/>
    <n v="115"/>
    <n v="600"/>
    <n v="0"/>
    <n v="0"/>
    <n v="0"/>
    <n v="2"/>
    <n v="0"/>
    <n v="0"/>
  </r>
  <r>
    <s v="Kingdra"/>
    <x v="291"/>
    <n v="230"/>
    <s v="230_0"/>
    <x v="4"/>
    <n v="1.8"/>
    <n v="152"/>
    <x v="2"/>
    <s v="Dragon"/>
    <s v="Swift Swim"/>
    <s v="Sniper"/>
    <s v="Damp"/>
    <s v="Blue"/>
    <n v="50"/>
    <n v="50"/>
    <n v="0"/>
    <n v="20"/>
    <s v="Water1"/>
    <s v="Dragon"/>
    <n v="45"/>
    <n v="270"/>
    <n v="1000000"/>
    <x v="0"/>
    <m/>
    <m/>
    <n v="75"/>
    <n v="95"/>
    <n v="95"/>
    <n v="95"/>
    <n v="95"/>
    <n v="85"/>
    <n v="540"/>
    <n v="0"/>
    <n v="1"/>
    <n v="0"/>
    <n v="1"/>
    <n v="1"/>
    <n v="0"/>
  </r>
  <r>
    <s v="Phanpy"/>
    <x v="292"/>
    <n v="231"/>
    <s v="231_0"/>
    <x v="4"/>
    <n v="0.5"/>
    <n v="33.5"/>
    <x v="8"/>
    <m/>
    <s v="Pickup"/>
    <m/>
    <s v="Sand Veil"/>
    <s v="Blue"/>
    <n v="50"/>
    <n v="50"/>
    <n v="0"/>
    <n v="20"/>
    <s v="Ground"/>
    <m/>
    <n v="120"/>
    <n v="66"/>
    <n v="1000000"/>
    <x v="0"/>
    <m/>
    <m/>
    <n v="90"/>
    <n v="60"/>
    <n v="60"/>
    <n v="40"/>
    <n v="40"/>
    <n v="40"/>
    <n v="330"/>
    <n v="1"/>
    <n v="0"/>
    <n v="0"/>
    <n v="0"/>
    <n v="0"/>
    <n v="0"/>
  </r>
  <r>
    <s v="Donphan"/>
    <x v="293"/>
    <n v="232"/>
    <s v="232_0"/>
    <x v="4"/>
    <n v="1.1000000000000001"/>
    <n v="120"/>
    <x v="8"/>
    <m/>
    <s v="Sturdy"/>
    <m/>
    <s v="Sand Veil"/>
    <s v="Gray"/>
    <n v="50"/>
    <n v="50"/>
    <n v="0"/>
    <n v="20"/>
    <s v="Ground"/>
    <m/>
    <n v="60"/>
    <n v="175"/>
    <n v="1000000"/>
    <x v="0"/>
    <m/>
    <m/>
    <n v="90"/>
    <n v="120"/>
    <n v="120"/>
    <n v="60"/>
    <n v="60"/>
    <n v="50"/>
    <n v="500"/>
    <n v="0"/>
    <n v="1"/>
    <n v="1"/>
    <n v="0"/>
    <n v="0"/>
    <n v="0"/>
  </r>
  <r>
    <s v="Porygon2"/>
    <x v="294"/>
    <n v="233"/>
    <s v="233_0"/>
    <x v="4"/>
    <n v="0.6"/>
    <n v="32.5"/>
    <x v="4"/>
    <m/>
    <s v="Trace"/>
    <s v="Download"/>
    <s v="Analytic"/>
    <s v="Red"/>
    <n v="0"/>
    <n v="0"/>
    <n v="100"/>
    <n v="20"/>
    <s v="Mineral"/>
    <m/>
    <n v="45"/>
    <n v="180"/>
    <n v="1000000"/>
    <x v="0"/>
    <m/>
    <m/>
    <n v="85"/>
    <n v="80"/>
    <n v="90"/>
    <n v="105"/>
    <n v="95"/>
    <n v="60"/>
    <n v="515"/>
    <n v="0"/>
    <n v="0"/>
    <n v="0"/>
    <n v="2"/>
    <n v="0"/>
    <n v="0"/>
  </r>
  <r>
    <s v="Stantler"/>
    <x v="295"/>
    <n v="234"/>
    <s v="234_0"/>
    <x v="4"/>
    <n v="1.4"/>
    <n v="71.2"/>
    <x v="4"/>
    <m/>
    <s v="Intimidate"/>
    <s v="Frisk"/>
    <s v="Sap Sipper"/>
    <s v="Brown"/>
    <n v="50"/>
    <n v="50"/>
    <n v="0"/>
    <n v="20"/>
    <s v="Ground"/>
    <m/>
    <n v="45"/>
    <n v="163"/>
    <n v="1250000"/>
    <x v="0"/>
    <m/>
    <m/>
    <n v="73"/>
    <n v="95"/>
    <n v="62"/>
    <n v="85"/>
    <n v="65"/>
    <n v="85"/>
    <n v="465"/>
    <n v="0"/>
    <n v="1"/>
    <n v="0"/>
    <n v="0"/>
    <n v="0"/>
    <n v="0"/>
  </r>
  <r>
    <s v="Smeargle"/>
    <x v="296"/>
    <n v="235"/>
    <s v="235_0"/>
    <x v="4"/>
    <n v="1.2"/>
    <n v="58"/>
    <x v="4"/>
    <m/>
    <s v="Own Tempo"/>
    <s v="Technician"/>
    <s v="Moody"/>
    <s v="White"/>
    <n v="50"/>
    <n v="50"/>
    <n v="0"/>
    <n v="20"/>
    <s v="Ground"/>
    <m/>
    <n v="45"/>
    <n v="88"/>
    <n v="800000"/>
    <x v="0"/>
    <m/>
    <m/>
    <n v="55"/>
    <n v="20"/>
    <n v="35"/>
    <n v="20"/>
    <n v="45"/>
    <n v="75"/>
    <n v="250"/>
    <n v="0"/>
    <n v="0"/>
    <n v="0"/>
    <n v="0"/>
    <n v="0"/>
    <n v="1"/>
  </r>
  <r>
    <s v="Tyrogue"/>
    <x v="297"/>
    <n v="236"/>
    <s v="236_0"/>
    <x v="4"/>
    <n v="0.7"/>
    <n v="21"/>
    <x v="12"/>
    <m/>
    <s v="Guts"/>
    <s v="Steadfast"/>
    <s v="Vital Spirit"/>
    <s v="Purple"/>
    <n v="100"/>
    <n v="0"/>
    <n v="0"/>
    <n v="25"/>
    <s v="Undiscovered"/>
    <m/>
    <n v="75"/>
    <n v="42"/>
    <n v="1000000"/>
    <x v="0"/>
    <m/>
    <m/>
    <n v="35"/>
    <n v="35"/>
    <n v="35"/>
    <n v="35"/>
    <n v="35"/>
    <n v="35"/>
    <n v="210"/>
    <n v="0"/>
    <n v="1"/>
    <n v="0"/>
    <n v="0"/>
    <n v="0"/>
    <n v="0"/>
  </r>
  <r>
    <s v="Hitmontop"/>
    <x v="298"/>
    <n v="237"/>
    <s v="237_0"/>
    <x v="4"/>
    <n v="1.4"/>
    <n v="48"/>
    <x v="12"/>
    <m/>
    <s v="Intimidate"/>
    <s v="Technician"/>
    <s v="Steadfast"/>
    <s v="Brown"/>
    <n v="100"/>
    <n v="0"/>
    <n v="0"/>
    <n v="25"/>
    <s v="Human-Like"/>
    <m/>
    <n v="45"/>
    <n v="159"/>
    <n v="1000000"/>
    <x v="0"/>
    <m/>
    <m/>
    <n v="50"/>
    <n v="95"/>
    <n v="95"/>
    <n v="35"/>
    <n v="110"/>
    <n v="70"/>
    <n v="455"/>
    <n v="0"/>
    <n v="0"/>
    <n v="0"/>
    <n v="0"/>
    <n v="2"/>
    <n v="0"/>
  </r>
  <r>
    <s v="Smoochum"/>
    <x v="299"/>
    <n v="238"/>
    <s v="238_0"/>
    <x v="4"/>
    <n v="0.4"/>
    <n v="6"/>
    <x v="9"/>
    <s v="Psychic"/>
    <s v="Oblivious"/>
    <s v="Forewarn"/>
    <s v="Hydration"/>
    <s v="Pink"/>
    <n v="0"/>
    <n v="100"/>
    <n v="0"/>
    <n v="25"/>
    <s v="Undiscovered"/>
    <m/>
    <n v="45"/>
    <n v="61"/>
    <n v="1000000"/>
    <x v="0"/>
    <m/>
    <m/>
    <n v="45"/>
    <n v="30"/>
    <n v="15"/>
    <n v="85"/>
    <n v="65"/>
    <n v="65"/>
    <n v="305"/>
    <n v="0"/>
    <n v="0"/>
    <n v="0"/>
    <n v="1"/>
    <n v="0"/>
    <n v="0"/>
  </r>
  <r>
    <s v="Elekid"/>
    <x v="300"/>
    <n v="239"/>
    <s v="239_0"/>
    <x v="4"/>
    <n v="0.6"/>
    <n v="23.5"/>
    <x v="7"/>
    <m/>
    <s v="Static"/>
    <m/>
    <s v="Vital Spirit"/>
    <s v="Yellow"/>
    <n v="75"/>
    <n v="25"/>
    <n v="0"/>
    <n v="25"/>
    <s v="Undiscovered"/>
    <m/>
    <n v="45"/>
    <n v="72"/>
    <n v="1000000"/>
    <x v="0"/>
    <m/>
    <m/>
    <n v="45"/>
    <n v="63"/>
    <n v="37"/>
    <n v="65"/>
    <n v="55"/>
    <n v="95"/>
    <n v="360"/>
    <n v="0"/>
    <n v="0"/>
    <n v="0"/>
    <n v="0"/>
    <n v="0"/>
    <n v="1"/>
  </r>
  <r>
    <s v="Magby"/>
    <x v="301"/>
    <n v="240"/>
    <s v="240_0"/>
    <x v="4"/>
    <n v="0.7"/>
    <n v="21.4"/>
    <x v="1"/>
    <m/>
    <s v="Flame Body"/>
    <m/>
    <s v="Vital Spirit"/>
    <s v="Red"/>
    <n v="75"/>
    <n v="25"/>
    <n v="0"/>
    <n v="25"/>
    <s v="Undiscovered"/>
    <m/>
    <n v="45"/>
    <n v="73"/>
    <n v="1000000"/>
    <x v="0"/>
    <m/>
    <m/>
    <n v="45"/>
    <n v="75"/>
    <n v="37"/>
    <n v="70"/>
    <n v="55"/>
    <n v="83"/>
    <n v="365"/>
    <n v="0"/>
    <n v="0"/>
    <n v="0"/>
    <n v="0"/>
    <n v="0"/>
    <n v="1"/>
  </r>
  <r>
    <s v="Miltank"/>
    <x v="302"/>
    <n v="241"/>
    <s v="241_0"/>
    <x v="4"/>
    <n v="1.2"/>
    <n v="75.5"/>
    <x v="4"/>
    <m/>
    <s v="Thick Fat"/>
    <s v="Scrappy"/>
    <s v="Sap Sipper"/>
    <s v="Pink"/>
    <n v="0"/>
    <n v="100"/>
    <n v="0"/>
    <n v="20"/>
    <s v="Ground"/>
    <m/>
    <n v="45"/>
    <n v="172"/>
    <n v="1250000"/>
    <x v="0"/>
    <m/>
    <m/>
    <n v="95"/>
    <n v="80"/>
    <n v="105"/>
    <n v="40"/>
    <n v="70"/>
    <n v="100"/>
    <n v="490"/>
    <n v="0"/>
    <n v="0"/>
    <n v="2"/>
    <n v="0"/>
    <n v="0"/>
    <n v="0"/>
  </r>
  <r>
    <s v="Blissey"/>
    <x v="303"/>
    <n v="242"/>
    <s v="242_0"/>
    <x v="4"/>
    <n v="1.5"/>
    <n v="46.8"/>
    <x v="4"/>
    <m/>
    <s v="Natural Cure"/>
    <s v="Serene Grace"/>
    <s v="Healer"/>
    <s v="Pink"/>
    <n v="0"/>
    <n v="100"/>
    <n v="0"/>
    <n v="40"/>
    <s v="Fairy"/>
    <m/>
    <n v="30"/>
    <n v="635"/>
    <n v="800000"/>
    <x v="0"/>
    <m/>
    <m/>
    <n v="255"/>
    <n v="10"/>
    <n v="10"/>
    <n v="75"/>
    <n v="135"/>
    <n v="55"/>
    <n v="540"/>
    <n v="3"/>
    <n v="0"/>
    <n v="0"/>
    <n v="0"/>
    <n v="0"/>
    <n v="0"/>
  </r>
  <r>
    <s v="Raikou"/>
    <x v="304"/>
    <n v="243"/>
    <s v="243_0"/>
    <x v="4"/>
    <n v="1.9"/>
    <n v="178"/>
    <x v="7"/>
    <m/>
    <s v="Pressure"/>
    <m/>
    <s v="Inner Focus"/>
    <s v="Yellow"/>
    <n v="0"/>
    <n v="0"/>
    <n v="100"/>
    <n v="80"/>
    <s v="Undiscovered"/>
    <m/>
    <n v="3"/>
    <n v="290"/>
    <n v="1250000"/>
    <x v="1"/>
    <m/>
    <m/>
    <n v="90"/>
    <n v="85"/>
    <n v="75"/>
    <n v="115"/>
    <n v="100"/>
    <n v="115"/>
    <n v="580"/>
    <n v="0"/>
    <n v="0"/>
    <n v="0"/>
    <n v="1"/>
    <n v="0"/>
    <n v="2"/>
  </r>
  <r>
    <s v="Entei"/>
    <x v="305"/>
    <n v="244"/>
    <s v="244_0"/>
    <x v="4"/>
    <n v="2.1"/>
    <n v="198"/>
    <x v="1"/>
    <m/>
    <s v="Pressure"/>
    <m/>
    <s v="Inner Focus"/>
    <s v="Brown"/>
    <n v="0"/>
    <n v="0"/>
    <n v="100"/>
    <n v="80"/>
    <s v="Undiscovered"/>
    <m/>
    <n v="3"/>
    <n v="290"/>
    <n v="1250000"/>
    <x v="1"/>
    <m/>
    <m/>
    <n v="115"/>
    <n v="115"/>
    <n v="85"/>
    <n v="90"/>
    <n v="75"/>
    <n v="100"/>
    <n v="580"/>
    <n v="1"/>
    <n v="2"/>
    <n v="0"/>
    <n v="0"/>
    <n v="0"/>
    <n v="0"/>
  </r>
  <r>
    <s v="Suicune"/>
    <x v="306"/>
    <n v="245"/>
    <s v="245_0"/>
    <x v="4"/>
    <n v="2"/>
    <n v="187"/>
    <x v="2"/>
    <m/>
    <s v="Pressure"/>
    <m/>
    <s v="Inner Focus"/>
    <s v="Blue"/>
    <n v="0"/>
    <n v="0"/>
    <n v="100"/>
    <n v="80"/>
    <s v="Undiscovered"/>
    <m/>
    <n v="3"/>
    <n v="290"/>
    <n v="1250000"/>
    <x v="1"/>
    <m/>
    <m/>
    <n v="100"/>
    <n v="75"/>
    <n v="115"/>
    <n v="90"/>
    <n v="115"/>
    <n v="85"/>
    <n v="580"/>
    <n v="0"/>
    <n v="0"/>
    <n v="1"/>
    <n v="0"/>
    <n v="2"/>
    <n v="0"/>
  </r>
  <r>
    <s v="Larvitar"/>
    <x v="307"/>
    <n v="246"/>
    <s v="246_0"/>
    <x v="4"/>
    <n v="0.6"/>
    <n v="72"/>
    <x v="14"/>
    <s v="Ground"/>
    <s v="Guts"/>
    <m/>
    <s v="Sand Veil"/>
    <s v="Green"/>
    <n v="50"/>
    <n v="50"/>
    <n v="0"/>
    <n v="40"/>
    <s v="Monster"/>
    <m/>
    <n v="45"/>
    <n v="60"/>
    <n v="1250000"/>
    <x v="0"/>
    <m/>
    <m/>
    <n v="50"/>
    <n v="64"/>
    <n v="50"/>
    <n v="45"/>
    <n v="50"/>
    <n v="41"/>
    <n v="300"/>
    <n v="0"/>
    <n v="1"/>
    <n v="0"/>
    <n v="0"/>
    <n v="0"/>
    <n v="0"/>
  </r>
  <r>
    <s v="Pupitar"/>
    <x v="308"/>
    <n v="247"/>
    <s v="247_0"/>
    <x v="4"/>
    <n v="1.2"/>
    <n v="152"/>
    <x v="14"/>
    <s v="Ground"/>
    <s v="Shed Skin"/>
    <m/>
    <m/>
    <s v="Gray"/>
    <n v="50"/>
    <n v="50"/>
    <n v="0"/>
    <n v="40"/>
    <s v="Monster"/>
    <m/>
    <n v="45"/>
    <n v="144"/>
    <n v="1250000"/>
    <x v="0"/>
    <m/>
    <m/>
    <n v="70"/>
    <n v="84"/>
    <n v="70"/>
    <n v="65"/>
    <n v="70"/>
    <n v="51"/>
    <n v="410"/>
    <n v="0"/>
    <n v="2"/>
    <n v="0"/>
    <n v="0"/>
    <n v="0"/>
    <n v="0"/>
  </r>
  <r>
    <s v="Tyranitar"/>
    <x v="309"/>
    <n v="248"/>
    <s v="248_0"/>
    <x v="4"/>
    <n v="2"/>
    <n v="202"/>
    <x v="14"/>
    <s v="Dark"/>
    <s v="Sand Stream"/>
    <m/>
    <s v="Unnerve"/>
    <s v="Green"/>
    <n v="50"/>
    <n v="50"/>
    <n v="0"/>
    <n v="40"/>
    <s v="Monster"/>
    <m/>
    <n v="45"/>
    <n v="300"/>
    <n v="1250000"/>
    <x v="0"/>
    <m/>
    <m/>
    <n v="100"/>
    <n v="134"/>
    <n v="110"/>
    <n v="95"/>
    <n v="100"/>
    <n v="61"/>
    <n v="600"/>
    <n v="0"/>
    <n v="3"/>
    <n v="0"/>
    <n v="0"/>
    <n v="0"/>
    <n v="0"/>
  </r>
  <r>
    <s v="Tyranitar"/>
    <x v="310"/>
    <n v="248"/>
    <s v="248_1"/>
    <x v="4"/>
    <n v="2.5"/>
    <n v="255"/>
    <x v="14"/>
    <s v="Dark"/>
    <s v="Sand Stream"/>
    <m/>
    <m/>
    <s v="Green"/>
    <n v="50"/>
    <n v="50"/>
    <n v="0"/>
    <n v="40"/>
    <s v="Monster"/>
    <m/>
    <n v="45"/>
    <n v="315"/>
    <n v="1250000"/>
    <x v="0"/>
    <s v="Mega"/>
    <m/>
    <n v="100"/>
    <n v="164"/>
    <n v="150"/>
    <n v="95"/>
    <n v="120"/>
    <n v="71"/>
    <n v="700"/>
    <n v="0"/>
    <n v="3"/>
    <n v="0"/>
    <n v="0"/>
    <n v="0"/>
    <n v="0"/>
  </r>
  <r>
    <s v="Lugia"/>
    <x v="311"/>
    <n v="249"/>
    <s v="249_0"/>
    <x v="4"/>
    <n v="5.2"/>
    <n v="216"/>
    <x v="13"/>
    <s v="Flying"/>
    <s v="Pressure"/>
    <m/>
    <s v="Multiscale"/>
    <s v="White"/>
    <n v="0"/>
    <n v="0"/>
    <n v="100"/>
    <n v="120"/>
    <s v="Undiscovered"/>
    <m/>
    <n v="3"/>
    <n v="340"/>
    <n v="1250000"/>
    <x v="2"/>
    <m/>
    <m/>
    <n v="106"/>
    <n v="90"/>
    <n v="130"/>
    <n v="90"/>
    <n v="154"/>
    <n v="110"/>
    <n v="680"/>
    <n v="0"/>
    <n v="0"/>
    <n v="0"/>
    <n v="0"/>
    <n v="3"/>
    <n v="0"/>
  </r>
  <r>
    <s v="Ho-Oh"/>
    <x v="312"/>
    <n v="250"/>
    <s v="250_0"/>
    <x v="4"/>
    <n v="3.8"/>
    <n v="199"/>
    <x v="1"/>
    <s v="Flying"/>
    <s v="Pressure"/>
    <m/>
    <s v="Regenerator"/>
    <s v="Red"/>
    <n v="0"/>
    <n v="0"/>
    <n v="100"/>
    <n v="120"/>
    <s v="Undiscovered"/>
    <m/>
    <n v="3"/>
    <n v="340"/>
    <n v="1250000"/>
    <x v="2"/>
    <m/>
    <m/>
    <n v="106"/>
    <n v="130"/>
    <n v="90"/>
    <n v="110"/>
    <n v="154"/>
    <n v="90"/>
    <n v="680"/>
    <n v="0"/>
    <n v="0"/>
    <n v="0"/>
    <n v="0"/>
    <n v="3"/>
    <n v="0"/>
  </r>
  <r>
    <s v="Celebi"/>
    <x v="313"/>
    <n v="251"/>
    <s v="251_0"/>
    <x v="4"/>
    <n v="0.6"/>
    <n v="5"/>
    <x v="13"/>
    <s v="Grass"/>
    <s v="Natural Cure"/>
    <m/>
    <m/>
    <s v="Green"/>
    <n v="0"/>
    <n v="0"/>
    <n v="100"/>
    <n v="120"/>
    <s v="Undiscovered"/>
    <m/>
    <n v="45"/>
    <n v="300"/>
    <n v="1059860"/>
    <x v="3"/>
    <m/>
    <m/>
    <n v="100"/>
    <n v="100"/>
    <n v="100"/>
    <n v="100"/>
    <n v="100"/>
    <n v="100"/>
    <n v="600"/>
    <n v="3"/>
    <n v="0"/>
    <n v="0"/>
    <n v="0"/>
    <n v="0"/>
    <n v="0"/>
  </r>
  <r>
    <s v="Treecko"/>
    <x v="314"/>
    <n v="252"/>
    <s v="252_0"/>
    <x v="5"/>
    <n v="0.5"/>
    <n v="5"/>
    <x v="0"/>
    <m/>
    <s v="Overgrow"/>
    <m/>
    <s v="Unburden"/>
    <s v="Green"/>
    <n v="87.5"/>
    <n v="12.5"/>
    <n v="0"/>
    <n v="20"/>
    <s v="Monster"/>
    <s v="Dragon"/>
    <n v="45"/>
    <n v="62"/>
    <n v="1059860"/>
    <x v="0"/>
    <m/>
    <m/>
    <n v="40"/>
    <n v="45"/>
    <n v="35"/>
    <n v="65"/>
    <n v="55"/>
    <n v="70"/>
    <n v="310"/>
    <n v="0"/>
    <n v="0"/>
    <n v="0"/>
    <n v="0"/>
    <n v="0"/>
    <n v="1"/>
  </r>
  <r>
    <s v="Grovyle"/>
    <x v="315"/>
    <n v="253"/>
    <s v="253_0"/>
    <x v="5"/>
    <n v="0.9"/>
    <n v="21.6"/>
    <x v="0"/>
    <m/>
    <s v="Overgrow"/>
    <m/>
    <s v="Unburden"/>
    <s v="Green"/>
    <n v="87.5"/>
    <n v="12.5"/>
    <n v="0"/>
    <n v="20"/>
    <s v="Monster"/>
    <s v="Dragon"/>
    <n v="45"/>
    <n v="142"/>
    <n v="1059860"/>
    <x v="0"/>
    <m/>
    <m/>
    <n v="50"/>
    <n v="65"/>
    <n v="45"/>
    <n v="85"/>
    <n v="65"/>
    <n v="95"/>
    <n v="405"/>
    <n v="0"/>
    <n v="0"/>
    <n v="0"/>
    <n v="0"/>
    <n v="0"/>
    <n v="2"/>
  </r>
  <r>
    <s v="Sceptile"/>
    <x v="316"/>
    <n v="254"/>
    <s v="254_0"/>
    <x v="5"/>
    <n v="1.7"/>
    <n v="52.2"/>
    <x v="0"/>
    <m/>
    <s v="Overgrow"/>
    <m/>
    <s v="Unburden"/>
    <s v="Green"/>
    <n v="87.5"/>
    <n v="12.5"/>
    <n v="0"/>
    <n v="20"/>
    <s v="Monster"/>
    <s v="Dragon"/>
    <n v="45"/>
    <n v="265"/>
    <n v="1059860"/>
    <x v="0"/>
    <m/>
    <m/>
    <n v="70"/>
    <n v="85"/>
    <n v="65"/>
    <n v="105"/>
    <n v="85"/>
    <n v="120"/>
    <n v="530"/>
    <n v="0"/>
    <n v="0"/>
    <n v="0"/>
    <n v="0"/>
    <n v="0"/>
    <n v="3"/>
  </r>
  <r>
    <s v="Sceptile"/>
    <x v="317"/>
    <n v="254"/>
    <s v="254_1"/>
    <x v="5"/>
    <n v="1.9"/>
    <n v="55.2"/>
    <x v="0"/>
    <s v="Dragon"/>
    <s v="Lightning Rod"/>
    <m/>
    <m/>
    <s v="Green"/>
    <n v="87.5"/>
    <n v="12.5"/>
    <n v="0"/>
    <n v="20"/>
    <s v="Monster"/>
    <s v="Dragon"/>
    <n v="45"/>
    <n v="284"/>
    <n v="1059860"/>
    <x v="0"/>
    <s v="Mega"/>
    <m/>
    <n v="70"/>
    <n v="110"/>
    <n v="75"/>
    <n v="145"/>
    <n v="85"/>
    <n v="145"/>
    <n v="630"/>
    <n v="0"/>
    <n v="0"/>
    <n v="0"/>
    <n v="0"/>
    <n v="0"/>
    <n v="3"/>
  </r>
  <r>
    <s v="Torchic"/>
    <x v="318"/>
    <n v="255"/>
    <s v="255_0"/>
    <x v="5"/>
    <n v="0.4"/>
    <n v="2.5"/>
    <x v="1"/>
    <m/>
    <s v="Blaze"/>
    <m/>
    <s v="Speed Boost"/>
    <s v="Red"/>
    <n v="87.5"/>
    <n v="12.5"/>
    <n v="0"/>
    <n v="20"/>
    <s v="Ground"/>
    <m/>
    <n v="45"/>
    <n v="62"/>
    <n v="1059860"/>
    <x v="0"/>
    <m/>
    <m/>
    <n v="45"/>
    <n v="60"/>
    <n v="40"/>
    <n v="70"/>
    <n v="50"/>
    <n v="45"/>
    <n v="310"/>
    <n v="0"/>
    <n v="0"/>
    <n v="0"/>
    <n v="1"/>
    <n v="0"/>
    <n v="0"/>
  </r>
  <r>
    <s v="Combusken"/>
    <x v="319"/>
    <n v="256"/>
    <s v="256_0"/>
    <x v="5"/>
    <n v="0.9"/>
    <n v="19.5"/>
    <x v="1"/>
    <s v="Fighting"/>
    <s v="Blaze"/>
    <m/>
    <s v="Speed Boost"/>
    <s v="Red"/>
    <n v="87.5"/>
    <n v="12.5"/>
    <n v="0"/>
    <n v="20"/>
    <s v="Ground"/>
    <m/>
    <n v="45"/>
    <n v="142"/>
    <n v="1059860"/>
    <x v="0"/>
    <m/>
    <m/>
    <n v="60"/>
    <n v="85"/>
    <n v="60"/>
    <n v="85"/>
    <n v="60"/>
    <n v="55"/>
    <n v="405"/>
    <n v="0"/>
    <n v="1"/>
    <n v="0"/>
    <n v="1"/>
    <n v="0"/>
    <n v="0"/>
  </r>
  <r>
    <s v="Blaziken"/>
    <x v="320"/>
    <n v="257"/>
    <s v="257_0"/>
    <x v="5"/>
    <n v="1.9"/>
    <n v="52"/>
    <x v="1"/>
    <s v="Fighting"/>
    <s v="Blaze"/>
    <m/>
    <s v="Speed Boost"/>
    <s v="Red"/>
    <n v="87.5"/>
    <n v="12.5"/>
    <n v="0"/>
    <n v="20"/>
    <s v="Ground"/>
    <m/>
    <n v="45"/>
    <n v="265"/>
    <n v="1059860"/>
    <x v="0"/>
    <m/>
    <m/>
    <n v="80"/>
    <n v="120"/>
    <n v="70"/>
    <n v="110"/>
    <n v="70"/>
    <n v="80"/>
    <n v="530"/>
    <n v="0"/>
    <n v="3"/>
    <n v="0"/>
    <n v="0"/>
    <n v="0"/>
    <n v="0"/>
  </r>
  <r>
    <s v="Blaziken"/>
    <x v="321"/>
    <n v="257"/>
    <s v="257_1"/>
    <x v="5"/>
    <n v="1.9"/>
    <n v="52"/>
    <x v="1"/>
    <s v="Fighting"/>
    <s v="Speed Boost"/>
    <m/>
    <m/>
    <s v="Red"/>
    <n v="87.5"/>
    <n v="12.5"/>
    <n v="0"/>
    <n v="20"/>
    <s v="Ground"/>
    <m/>
    <n v="45"/>
    <n v="284"/>
    <n v="1059860"/>
    <x v="0"/>
    <s v="Mega"/>
    <m/>
    <n v="80"/>
    <n v="160"/>
    <n v="80"/>
    <n v="130"/>
    <n v="80"/>
    <n v="100"/>
    <n v="630"/>
    <n v="0"/>
    <n v="3"/>
    <n v="0"/>
    <n v="0"/>
    <n v="0"/>
    <n v="0"/>
  </r>
  <r>
    <s v="Mudkip"/>
    <x v="322"/>
    <n v="258"/>
    <s v="258_0"/>
    <x v="5"/>
    <n v="0.4"/>
    <n v="7.6"/>
    <x v="2"/>
    <m/>
    <s v="Torrent"/>
    <m/>
    <s v="Damp"/>
    <s v="Blue"/>
    <n v="87.5"/>
    <n v="12.5"/>
    <n v="0"/>
    <n v="20"/>
    <s v="Monster"/>
    <s v="Water1"/>
    <n v="45"/>
    <n v="62"/>
    <n v="1059860"/>
    <x v="0"/>
    <m/>
    <m/>
    <n v="50"/>
    <n v="70"/>
    <n v="50"/>
    <n v="50"/>
    <n v="50"/>
    <n v="40"/>
    <n v="310"/>
    <n v="0"/>
    <n v="1"/>
    <n v="0"/>
    <n v="0"/>
    <n v="0"/>
    <n v="0"/>
  </r>
  <r>
    <s v="Marshtomp"/>
    <x v="323"/>
    <n v="259"/>
    <s v="259_0"/>
    <x v="5"/>
    <n v="0.7"/>
    <n v="28"/>
    <x v="2"/>
    <s v="Ground"/>
    <s v="Torrent"/>
    <m/>
    <s v="Damp"/>
    <s v="Blue"/>
    <n v="87.5"/>
    <n v="12.5"/>
    <n v="0"/>
    <n v="20"/>
    <s v="Monster"/>
    <s v="Water1"/>
    <n v="45"/>
    <n v="142"/>
    <n v="1059860"/>
    <x v="0"/>
    <m/>
    <m/>
    <n v="70"/>
    <n v="85"/>
    <n v="70"/>
    <n v="60"/>
    <n v="70"/>
    <n v="50"/>
    <n v="405"/>
    <n v="0"/>
    <n v="2"/>
    <n v="0"/>
    <n v="0"/>
    <n v="0"/>
    <n v="0"/>
  </r>
  <r>
    <s v="Swampert"/>
    <x v="324"/>
    <n v="260"/>
    <s v="260_0"/>
    <x v="5"/>
    <n v="1.5"/>
    <n v="81.900000000000006"/>
    <x v="2"/>
    <s v="Ground"/>
    <s v="Torrent"/>
    <m/>
    <s v="Damp"/>
    <s v="Blue"/>
    <n v="87.5"/>
    <n v="12.5"/>
    <n v="0"/>
    <n v="20"/>
    <s v="Monster"/>
    <s v="Water1"/>
    <n v="45"/>
    <n v="268"/>
    <n v="1059860"/>
    <x v="0"/>
    <m/>
    <m/>
    <n v="100"/>
    <n v="110"/>
    <n v="90"/>
    <n v="85"/>
    <n v="90"/>
    <n v="60"/>
    <n v="535"/>
    <n v="0"/>
    <n v="3"/>
    <n v="0"/>
    <n v="0"/>
    <n v="0"/>
    <n v="0"/>
  </r>
  <r>
    <s v="Swampert"/>
    <x v="325"/>
    <n v="260"/>
    <s v="260_1"/>
    <x v="5"/>
    <n v="1.9"/>
    <n v="102"/>
    <x v="2"/>
    <s v="Ground"/>
    <s v="Swift Swim"/>
    <m/>
    <m/>
    <s v="Blue"/>
    <n v="87.5"/>
    <n v="12.5"/>
    <n v="0"/>
    <n v="20"/>
    <s v="Monster"/>
    <s v="Water1"/>
    <n v="45"/>
    <n v="286"/>
    <n v="1059860"/>
    <x v="0"/>
    <s v="Mega"/>
    <m/>
    <n v="100"/>
    <n v="150"/>
    <n v="110"/>
    <n v="95"/>
    <n v="110"/>
    <n v="70"/>
    <n v="635"/>
    <n v="0"/>
    <n v="3"/>
    <n v="0"/>
    <n v="0"/>
    <n v="0"/>
    <n v="0"/>
  </r>
  <r>
    <s v="Poochyena"/>
    <x v="326"/>
    <n v="261"/>
    <s v="261_0"/>
    <x v="5"/>
    <n v="0.5"/>
    <n v="13.6"/>
    <x v="5"/>
    <m/>
    <s v="Run Away"/>
    <s v="Quick Feet"/>
    <s v="Rattled"/>
    <s v="Gray"/>
    <n v="50"/>
    <n v="50"/>
    <n v="0"/>
    <n v="15"/>
    <s v="Ground"/>
    <m/>
    <n v="255"/>
    <n v="56"/>
    <n v="1000000"/>
    <x v="0"/>
    <m/>
    <m/>
    <n v="35"/>
    <n v="55"/>
    <n v="35"/>
    <n v="30"/>
    <n v="30"/>
    <n v="35"/>
    <n v="220"/>
    <n v="0"/>
    <n v="1"/>
    <n v="0"/>
    <n v="0"/>
    <n v="0"/>
    <n v="0"/>
  </r>
  <r>
    <s v="Mightyena"/>
    <x v="327"/>
    <n v="262"/>
    <s v="262_0"/>
    <x v="5"/>
    <n v="1"/>
    <n v="37"/>
    <x v="5"/>
    <m/>
    <s v="Intimidate"/>
    <s v="Quick Feet"/>
    <s v="Moxie"/>
    <s v="Gray"/>
    <n v="50"/>
    <n v="50"/>
    <n v="0"/>
    <n v="15"/>
    <s v="Ground"/>
    <m/>
    <n v="127"/>
    <n v="147"/>
    <n v="1000000"/>
    <x v="0"/>
    <m/>
    <m/>
    <n v="70"/>
    <n v="90"/>
    <n v="70"/>
    <n v="60"/>
    <n v="60"/>
    <n v="70"/>
    <n v="420"/>
    <n v="0"/>
    <n v="2"/>
    <n v="0"/>
    <n v="0"/>
    <n v="0"/>
    <n v="0"/>
  </r>
  <r>
    <s v="Zigzagoon"/>
    <x v="328"/>
    <n v="263"/>
    <s v="263_0"/>
    <x v="5"/>
    <n v="0.4"/>
    <n v="17.5"/>
    <x v="4"/>
    <m/>
    <s v="Pickup"/>
    <s v="Gluttony"/>
    <s v="Quick Feet"/>
    <s v="Brown"/>
    <n v="50"/>
    <n v="50"/>
    <n v="0"/>
    <n v="15"/>
    <s v="Ground"/>
    <m/>
    <n v="255"/>
    <n v="56"/>
    <n v="1000000"/>
    <x v="0"/>
    <m/>
    <m/>
    <n v="38"/>
    <n v="30"/>
    <n v="41"/>
    <n v="30"/>
    <n v="41"/>
    <n v="60"/>
    <n v="240"/>
    <n v="0"/>
    <n v="0"/>
    <n v="0"/>
    <n v="0"/>
    <n v="0"/>
    <n v="1"/>
  </r>
  <r>
    <s v="Zigzagoon"/>
    <x v="329"/>
    <n v="263"/>
    <s v="263_1"/>
    <x v="2"/>
    <n v="0.4"/>
    <n v="17.5"/>
    <x v="5"/>
    <s v="Normal"/>
    <s v="Pickup"/>
    <s v="Gluttony"/>
    <s v="Quick Feet"/>
    <s v="White"/>
    <n v="50"/>
    <n v="50"/>
    <n v="0"/>
    <n v="15"/>
    <s v="Ground"/>
    <m/>
    <n v="255"/>
    <n v="56"/>
    <n v="1000000"/>
    <x v="0"/>
    <m/>
    <s v="Galarian"/>
    <n v="38"/>
    <n v="30"/>
    <n v="41"/>
    <n v="30"/>
    <n v="41"/>
    <n v="60"/>
    <n v="240"/>
    <n v="0"/>
    <n v="0"/>
    <n v="0"/>
    <n v="0"/>
    <n v="0"/>
    <n v="1"/>
  </r>
  <r>
    <s v="Linoone"/>
    <x v="330"/>
    <n v="264"/>
    <s v="264_0"/>
    <x v="5"/>
    <n v="0.5"/>
    <n v="32.5"/>
    <x v="4"/>
    <m/>
    <s v="Pickup"/>
    <s v="Gluttony"/>
    <s v="Quick Feet"/>
    <s v="White"/>
    <n v="50"/>
    <n v="50"/>
    <n v="0"/>
    <n v="15"/>
    <s v="Ground"/>
    <m/>
    <n v="90"/>
    <n v="147"/>
    <n v="1000000"/>
    <x v="0"/>
    <m/>
    <m/>
    <n v="78"/>
    <n v="70"/>
    <n v="61"/>
    <n v="50"/>
    <n v="61"/>
    <n v="100"/>
    <n v="420"/>
    <n v="0"/>
    <n v="0"/>
    <n v="0"/>
    <n v="0"/>
    <n v="0"/>
    <n v="2"/>
  </r>
  <r>
    <s v="Linoone"/>
    <x v="331"/>
    <n v="264"/>
    <s v="264_1"/>
    <x v="2"/>
    <n v="0.5"/>
    <n v="32.5"/>
    <x v="5"/>
    <s v="Normal"/>
    <s v="Pickup"/>
    <s v="Gluttony"/>
    <s v="Quick Feet"/>
    <s v="White"/>
    <n v="50"/>
    <n v="50"/>
    <n v="0"/>
    <n v="15"/>
    <s v="Ground"/>
    <m/>
    <n v="90"/>
    <n v="147"/>
    <n v="1000000"/>
    <x v="0"/>
    <m/>
    <s v="Galarian"/>
    <n v="78"/>
    <n v="70"/>
    <n v="61"/>
    <n v="50"/>
    <n v="61"/>
    <n v="100"/>
    <n v="420"/>
    <n v="0"/>
    <n v="0"/>
    <n v="0"/>
    <n v="0"/>
    <n v="0"/>
    <n v="2"/>
  </r>
  <r>
    <s v="Wurmple"/>
    <x v="332"/>
    <n v="265"/>
    <s v="265_0"/>
    <x v="5"/>
    <n v="0.3"/>
    <n v="3.6"/>
    <x v="3"/>
    <m/>
    <s v="Shield Dust"/>
    <m/>
    <s v="Run Away"/>
    <s v="Red"/>
    <n v="50"/>
    <n v="50"/>
    <n v="0"/>
    <n v="15"/>
    <s v="Bug"/>
    <m/>
    <n v="255"/>
    <n v="56"/>
    <n v="1000000"/>
    <x v="0"/>
    <m/>
    <m/>
    <n v="45"/>
    <n v="45"/>
    <n v="35"/>
    <n v="20"/>
    <n v="30"/>
    <n v="20"/>
    <n v="195"/>
    <n v="1"/>
    <n v="0"/>
    <n v="0"/>
    <n v="0"/>
    <n v="0"/>
    <n v="0"/>
  </r>
  <r>
    <s v="Silcoon"/>
    <x v="333"/>
    <n v="266"/>
    <s v="266_0"/>
    <x v="5"/>
    <n v="0.6"/>
    <n v="10"/>
    <x v="3"/>
    <m/>
    <s v="Shed Skin"/>
    <m/>
    <m/>
    <s v="White"/>
    <n v="50"/>
    <n v="50"/>
    <n v="0"/>
    <n v="15"/>
    <s v="Bug"/>
    <m/>
    <n v="120"/>
    <n v="72"/>
    <n v="1000000"/>
    <x v="0"/>
    <m/>
    <m/>
    <n v="50"/>
    <n v="35"/>
    <n v="55"/>
    <n v="25"/>
    <n v="25"/>
    <n v="15"/>
    <n v="205"/>
    <n v="0"/>
    <n v="0"/>
    <n v="2"/>
    <n v="0"/>
    <n v="0"/>
    <n v="0"/>
  </r>
  <r>
    <s v="Beautifly"/>
    <x v="334"/>
    <n v="267"/>
    <s v="267_0"/>
    <x v="5"/>
    <n v="1"/>
    <n v="28.4"/>
    <x v="3"/>
    <s v="Flying"/>
    <s v="Swarm"/>
    <m/>
    <s v="Rivalry"/>
    <s v="Yellow"/>
    <n v="50"/>
    <n v="50"/>
    <n v="0"/>
    <n v="15"/>
    <s v="Bug"/>
    <m/>
    <n v="45"/>
    <n v="178"/>
    <n v="1000000"/>
    <x v="0"/>
    <m/>
    <m/>
    <n v="60"/>
    <n v="70"/>
    <n v="50"/>
    <n v="100"/>
    <n v="50"/>
    <n v="65"/>
    <n v="395"/>
    <n v="0"/>
    <n v="0"/>
    <n v="0"/>
    <n v="3"/>
    <n v="0"/>
    <n v="0"/>
  </r>
  <r>
    <s v="Cascoon"/>
    <x v="335"/>
    <n v="268"/>
    <s v="268_0"/>
    <x v="5"/>
    <n v="0.7"/>
    <n v="11.5"/>
    <x v="3"/>
    <m/>
    <s v="Shed Skin"/>
    <m/>
    <m/>
    <s v="Purple"/>
    <n v="50"/>
    <n v="50"/>
    <n v="0"/>
    <n v="15"/>
    <s v="Bug"/>
    <m/>
    <n v="120"/>
    <n v="72"/>
    <n v="1000000"/>
    <x v="0"/>
    <m/>
    <m/>
    <n v="50"/>
    <n v="35"/>
    <n v="55"/>
    <n v="25"/>
    <n v="25"/>
    <n v="15"/>
    <n v="205"/>
    <n v="0"/>
    <n v="0"/>
    <n v="2"/>
    <n v="0"/>
    <n v="0"/>
    <n v="0"/>
  </r>
  <r>
    <s v="Dustox"/>
    <x v="336"/>
    <n v="269"/>
    <s v="269_0"/>
    <x v="5"/>
    <n v="1.2"/>
    <n v="31.6"/>
    <x v="3"/>
    <s v="Poison"/>
    <s v="Shield Dust"/>
    <m/>
    <s v="Compound Eyes"/>
    <s v="Green"/>
    <n v="50"/>
    <n v="50"/>
    <n v="0"/>
    <n v="15"/>
    <s v="Bug"/>
    <m/>
    <n v="45"/>
    <n v="173"/>
    <n v="1000000"/>
    <x v="0"/>
    <m/>
    <m/>
    <n v="60"/>
    <n v="50"/>
    <n v="70"/>
    <n v="50"/>
    <n v="90"/>
    <n v="65"/>
    <n v="385"/>
    <n v="0"/>
    <n v="0"/>
    <n v="0"/>
    <n v="0"/>
    <n v="3"/>
    <n v="0"/>
  </r>
  <r>
    <s v="Lotad"/>
    <x v="337"/>
    <n v="270"/>
    <s v="270_0"/>
    <x v="5"/>
    <n v="0.5"/>
    <n v="2.6"/>
    <x v="2"/>
    <s v="Grass"/>
    <s v="Swift Swim"/>
    <s v="Rain Dish"/>
    <s v="Own Tempo"/>
    <s v="Green"/>
    <n v="50"/>
    <n v="50"/>
    <n v="0"/>
    <n v="15"/>
    <s v="Water1"/>
    <s v="Grass"/>
    <n v="255"/>
    <n v="44"/>
    <n v="1059860"/>
    <x v="0"/>
    <m/>
    <m/>
    <n v="40"/>
    <n v="30"/>
    <n v="30"/>
    <n v="40"/>
    <n v="50"/>
    <n v="30"/>
    <n v="220"/>
    <n v="0"/>
    <n v="0"/>
    <n v="0"/>
    <n v="0"/>
    <n v="1"/>
    <n v="0"/>
  </r>
  <r>
    <s v="Lombre"/>
    <x v="338"/>
    <n v="271"/>
    <s v="271_0"/>
    <x v="5"/>
    <n v="1.2"/>
    <n v="32.5"/>
    <x v="2"/>
    <s v="Grass"/>
    <s v="Swift Swim"/>
    <s v="Rain Dish"/>
    <s v="Own Tempo"/>
    <s v="Green"/>
    <n v="50"/>
    <n v="50"/>
    <n v="0"/>
    <n v="15"/>
    <s v="Water1"/>
    <s v="Grass"/>
    <n v="120"/>
    <n v="119"/>
    <n v="1059860"/>
    <x v="0"/>
    <m/>
    <m/>
    <n v="60"/>
    <n v="50"/>
    <n v="50"/>
    <n v="60"/>
    <n v="70"/>
    <n v="50"/>
    <n v="340"/>
    <n v="0"/>
    <n v="0"/>
    <n v="0"/>
    <n v="0"/>
    <n v="2"/>
    <n v="0"/>
  </r>
  <r>
    <s v="Ludicolo"/>
    <x v="339"/>
    <n v="272"/>
    <s v="272_0"/>
    <x v="5"/>
    <n v="1.5"/>
    <n v="55"/>
    <x v="2"/>
    <s v="Grass"/>
    <s v="Swift Swim"/>
    <s v="Rain Dish"/>
    <s v="Own Tempo"/>
    <s v="Green"/>
    <n v="50"/>
    <n v="50"/>
    <n v="0"/>
    <n v="15"/>
    <s v="Water1"/>
    <s v="Grass"/>
    <n v="45"/>
    <n v="240"/>
    <n v="1059860"/>
    <x v="0"/>
    <m/>
    <m/>
    <n v="80"/>
    <n v="70"/>
    <n v="70"/>
    <n v="90"/>
    <n v="100"/>
    <n v="70"/>
    <n v="480"/>
    <n v="0"/>
    <n v="0"/>
    <n v="0"/>
    <n v="0"/>
    <n v="3"/>
    <n v="0"/>
  </r>
  <r>
    <s v="Seedot"/>
    <x v="340"/>
    <n v="273"/>
    <s v="273_0"/>
    <x v="5"/>
    <n v="0.5"/>
    <n v="4"/>
    <x v="0"/>
    <m/>
    <s v="Chlorophyll"/>
    <s v="Early Bird"/>
    <s v="Pickpocket"/>
    <s v="Brown"/>
    <n v="50"/>
    <n v="50"/>
    <n v="0"/>
    <n v="15"/>
    <s v="Ground"/>
    <s v="Grass"/>
    <n v="255"/>
    <n v="44"/>
    <n v="1059860"/>
    <x v="0"/>
    <m/>
    <m/>
    <n v="40"/>
    <n v="40"/>
    <n v="50"/>
    <n v="30"/>
    <n v="30"/>
    <n v="30"/>
    <n v="220"/>
    <n v="0"/>
    <n v="0"/>
    <n v="1"/>
    <n v="0"/>
    <n v="0"/>
    <n v="0"/>
  </r>
  <r>
    <s v="Nuzleaf"/>
    <x v="341"/>
    <n v="274"/>
    <s v="274_0"/>
    <x v="5"/>
    <n v="1"/>
    <n v="28"/>
    <x v="0"/>
    <s v="Dark"/>
    <s v="Chlorophyll"/>
    <s v="Early Bird"/>
    <s v="Pickpocket"/>
    <s v="Brown"/>
    <n v="50"/>
    <n v="50"/>
    <n v="0"/>
    <n v="15"/>
    <s v="Ground"/>
    <s v="Grass"/>
    <n v="120"/>
    <n v="119"/>
    <n v="1059860"/>
    <x v="0"/>
    <m/>
    <m/>
    <n v="70"/>
    <n v="70"/>
    <n v="40"/>
    <n v="60"/>
    <n v="40"/>
    <n v="60"/>
    <n v="340"/>
    <n v="0"/>
    <n v="2"/>
    <n v="0"/>
    <n v="0"/>
    <n v="0"/>
    <n v="0"/>
  </r>
  <r>
    <s v="Shiftry"/>
    <x v="342"/>
    <n v="275"/>
    <s v="275_0"/>
    <x v="5"/>
    <n v="1.3"/>
    <n v="59.6"/>
    <x v="0"/>
    <s v="Dark"/>
    <s v="Chlorophyll"/>
    <s v="Early Bird"/>
    <s v="Pickpocket"/>
    <s v="Brown"/>
    <n v="50"/>
    <n v="50"/>
    <n v="0"/>
    <n v="15"/>
    <s v="Ground"/>
    <s v="Grass"/>
    <n v="45"/>
    <n v="240"/>
    <n v="1059860"/>
    <x v="0"/>
    <m/>
    <m/>
    <n v="90"/>
    <n v="100"/>
    <n v="60"/>
    <n v="90"/>
    <n v="60"/>
    <n v="80"/>
    <n v="480"/>
    <n v="0"/>
    <n v="3"/>
    <n v="0"/>
    <n v="0"/>
    <n v="0"/>
    <n v="0"/>
  </r>
  <r>
    <s v="Taillow"/>
    <x v="343"/>
    <n v="276"/>
    <s v="276_0"/>
    <x v="5"/>
    <n v="0.3"/>
    <n v="2.2999999999999998"/>
    <x v="4"/>
    <s v="Flying"/>
    <s v="Guts"/>
    <m/>
    <s v="Scrappy"/>
    <s v="Blue"/>
    <n v="50"/>
    <n v="50"/>
    <n v="0"/>
    <n v="15"/>
    <s v="Flying"/>
    <m/>
    <n v="200"/>
    <n v="54"/>
    <n v="1059860"/>
    <x v="0"/>
    <m/>
    <m/>
    <n v="40"/>
    <n v="55"/>
    <n v="30"/>
    <n v="30"/>
    <n v="30"/>
    <n v="85"/>
    <n v="270"/>
    <n v="0"/>
    <n v="0"/>
    <n v="0"/>
    <n v="0"/>
    <n v="0"/>
    <n v="1"/>
  </r>
  <r>
    <s v="Swellow"/>
    <x v="344"/>
    <n v="277"/>
    <s v="277_0"/>
    <x v="5"/>
    <n v="0.7"/>
    <n v="19.8"/>
    <x v="4"/>
    <s v="Flying"/>
    <s v="Guts"/>
    <m/>
    <s v="Scrappy"/>
    <s v="Blue"/>
    <n v="50"/>
    <n v="50"/>
    <n v="0"/>
    <n v="15"/>
    <s v="Flying"/>
    <m/>
    <n v="45"/>
    <n v="159"/>
    <n v="1059860"/>
    <x v="0"/>
    <m/>
    <m/>
    <n v="60"/>
    <n v="85"/>
    <n v="60"/>
    <n v="75"/>
    <n v="50"/>
    <n v="125"/>
    <n v="455"/>
    <n v="0"/>
    <n v="0"/>
    <n v="0"/>
    <n v="0"/>
    <n v="0"/>
    <n v="2"/>
  </r>
  <r>
    <s v="Wingull"/>
    <x v="345"/>
    <n v="278"/>
    <s v="278_0"/>
    <x v="5"/>
    <n v="0.6"/>
    <n v="9.5"/>
    <x v="2"/>
    <s v="Flying"/>
    <s v="Keen Eye"/>
    <s v="Hydration"/>
    <s v="Rain Dish"/>
    <s v="White"/>
    <n v="50"/>
    <n v="50"/>
    <n v="0"/>
    <n v="20"/>
    <s v="Water1"/>
    <s v="Flying"/>
    <n v="190"/>
    <n v="54"/>
    <n v="1000000"/>
    <x v="0"/>
    <m/>
    <m/>
    <n v="40"/>
    <n v="30"/>
    <n v="30"/>
    <n v="55"/>
    <n v="30"/>
    <n v="85"/>
    <n v="270"/>
    <n v="0"/>
    <n v="0"/>
    <n v="0"/>
    <n v="0"/>
    <n v="0"/>
    <n v="1"/>
  </r>
  <r>
    <s v="Pelipper"/>
    <x v="346"/>
    <n v="279"/>
    <s v="279_0"/>
    <x v="5"/>
    <n v="1.2"/>
    <n v="28"/>
    <x v="2"/>
    <s v="Flying"/>
    <s v="Keen Eye"/>
    <s v="Drizzle"/>
    <s v="Rain Dish"/>
    <s v="Yellow"/>
    <n v="50"/>
    <n v="50"/>
    <n v="0"/>
    <n v="20"/>
    <s v="Water1"/>
    <s v="Flying"/>
    <n v="45"/>
    <n v="154"/>
    <n v="1000000"/>
    <x v="0"/>
    <m/>
    <m/>
    <n v="60"/>
    <n v="50"/>
    <n v="100"/>
    <n v="95"/>
    <n v="70"/>
    <n v="65"/>
    <n v="440"/>
    <n v="0"/>
    <n v="0"/>
    <n v="2"/>
    <n v="0"/>
    <n v="0"/>
    <n v="0"/>
  </r>
  <r>
    <s v="Ralts"/>
    <x v="347"/>
    <n v="280"/>
    <s v="280_0"/>
    <x v="5"/>
    <n v="0.4"/>
    <n v="6.6"/>
    <x v="13"/>
    <s v="Fairy"/>
    <s v="Synchronize"/>
    <s v="Trace"/>
    <s v="Telepathy"/>
    <s v="White"/>
    <n v="50"/>
    <n v="50"/>
    <n v="0"/>
    <n v="20"/>
    <s v="Human-Like"/>
    <s v="Amorphous"/>
    <n v="235"/>
    <n v="40"/>
    <n v="1250000"/>
    <x v="0"/>
    <m/>
    <m/>
    <n v="28"/>
    <n v="25"/>
    <n v="25"/>
    <n v="45"/>
    <n v="35"/>
    <n v="40"/>
    <n v="198"/>
    <n v="0"/>
    <n v="0"/>
    <n v="0"/>
    <n v="1"/>
    <n v="0"/>
    <n v="0"/>
  </r>
  <r>
    <s v="Kirlia"/>
    <x v="348"/>
    <n v="281"/>
    <s v="281_0"/>
    <x v="5"/>
    <n v="0.8"/>
    <n v="20.2"/>
    <x v="13"/>
    <s v="Fairy"/>
    <s v="Synchronize"/>
    <s v="Trace"/>
    <s v="Telepathy"/>
    <s v="White"/>
    <n v="50"/>
    <n v="50"/>
    <n v="0"/>
    <n v="20"/>
    <s v="Human-Like"/>
    <s v="Amorphous"/>
    <n v="120"/>
    <n v="97"/>
    <n v="1250000"/>
    <x v="0"/>
    <m/>
    <m/>
    <n v="38"/>
    <n v="35"/>
    <n v="35"/>
    <n v="65"/>
    <n v="55"/>
    <n v="50"/>
    <n v="278"/>
    <n v="0"/>
    <n v="0"/>
    <n v="0"/>
    <n v="2"/>
    <n v="0"/>
    <n v="0"/>
  </r>
  <r>
    <s v="Gardevoir"/>
    <x v="349"/>
    <n v="282"/>
    <s v="282_0"/>
    <x v="5"/>
    <n v="1.6"/>
    <n v="48.4"/>
    <x v="13"/>
    <s v="Fairy"/>
    <s v="Synchronize"/>
    <s v="Trace"/>
    <s v="Telepathy"/>
    <s v="White"/>
    <n v="50"/>
    <n v="50"/>
    <n v="0"/>
    <n v="20"/>
    <s v="Human-Like"/>
    <s v="Amorphous"/>
    <n v="45"/>
    <n v="259"/>
    <n v="1250000"/>
    <x v="0"/>
    <m/>
    <m/>
    <n v="68"/>
    <n v="65"/>
    <n v="65"/>
    <n v="125"/>
    <n v="115"/>
    <n v="80"/>
    <n v="518"/>
    <n v="0"/>
    <n v="0"/>
    <n v="0"/>
    <n v="3"/>
    <n v="0"/>
    <n v="0"/>
  </r>
  <r>
    <s v="Gardevoir"/>
    <x v="350"/>
    <n v="282"/>
    <s v="282_1"/>
    <x v="5"/>
    <n v="1.6"/>
    <n v="48.4"/>
    <x v="13"/>
    <s v="Fairy"/>
    <s v="Pixilate"/>
    <m/>
    <m/>
    <s v="White"/>
    <n v="50"/>
    <n v="50"/>
    <n v="0"/>
    <n v="20"/>
    <s v="Amorphous"/>
    <m/>
    <n v="45"/>
    <n v="278"/>
    <n v="1250000"/>
    <x v="0"/>
    <s v="Mega"/>
    <m/>
    <n v="68"/>
    <n v="85"/>
    <n v="65"/>
    <n v="165"/>
    <n v="135"/>
    <n v="100"/>
    <n v="618"/>
    <n v="0"/>
    <n v="0"/>
    <n v="0"/>
    <n v="3"/>
    <n v="0"/>
    <n v="0"/>
  </r>
  <r>
    <s v="Surskit"/>
    <x v="351"/>
    <n v="283"/>
    <s v="283_0"/>
    <x v="5"/>
    <n v="0.5"/>
    <n v="1.7"/>
    <x v="3"/>
    <s v="Water"/>
    <s v="Swift Swim"/>
    <m/>
    <s v="Rain Dish"/>
    <s v="Blue"/>
    <n v="50"/>
    <n v="50"/>
    <n v="0"/>
    <n v="15"/>
    <s v="Water1"/>
    <s v="Bug"/>
    <n v="200"/>
    <n v="54"/>
    <n v="1000000"/>
    <x v="0"/>
    <m/>
    <m/>
    <n v="40"/>
    <n v="30"/>
    <n v="32"/>
    <n v="50"/>
    <n v="52"/>
    <n v="65"/>
    <n v="269"/>
    <n v="0"/>
    <n v="0"/>
    <n v="0"/>
    <n v="0"/>
    <n v="0"/>
    <n v="1"/>
  </r>
  <r>
    <s v="Masquerain"/>
    <x v="352"/>
    <n v="284"/>
    <s v="284_0"/>
    <x v="5"/>
    <n v="0.8"/>
    <n v="3.6"/>
    <x v="3"/>
    <s v="Flying"/>
    <s v="Intimidate"/>
    <m/>
    <s v="Unnerve"/>
    <s v="Blue"/>
    <n v="50"/>
    <n v="50"/>
    <n v="0"/>
    <n v="15"/>
    <s v="Water1"/>
    <s v="Bug"/>
    <n v="75"/>
    <n v="159"/>
    <n v="1000000"/>
    <x v="0"/>
    <m/>
    <m/>
    <n v="70"/>
    <n v="60"/>
    <n v="62"/>
    <n v="100"/>
    <n v="82"/>
    <n v="80"/>
    <n v="454"/>
    <n v="0"/>
    <n v="0"/>
    <n v="0"/>
    <n v="1"/>
    <n v="1"/>
    <n v="0"/>
  </r>
  <r>
    <s v="Shroomish"/>
    <x v="353"/>
    <n v="285"/>
    <s v="285_0"/>
    <x v="5"/>
    <n v="0.4"/>
    <n v="4.5"/>
    <x v="0"/>
    <m/>
    <s v="Effect Spore"/>
    <s v="Poison Heal"/>
    <s v="Quick Feet"/>
    <s v="Brown"/>
    <n v="50"/>
    <n v="50"/>
    <n v="0"/>
    <n v="15"/>
    <s v="Fairy"/>
    <s v="Grass"/>
    <n v="255"/>
    <n v="59"/>
    <n v="1640000"/>
    <x v="0"/>
    <m/>
    <m/>
    <n v="60"/>
    <n v="40"/>
    <n v="60"/>
    <n v="40"/>
    <n v="60"/>
    <n v="35"/>
    <n v="295"/>
    <n v="1"/>
    <n v="0"/>
    <n v="0"/>
    <n v="0"/>
    <n v="0"/>
    <n v="0"/>
  </r>
  <r>
    <s v="Breloom"/>
    <x v="354"/>
    <n v="286"/>
    <s v="286_0"/>
    <x v="5"/>
    <n v="1.2"/>
    <n v="39.200000000000003"/>
    <x v="0"/>
    <s v="Fighting"/>
    <s v="Effect Spore"/>
    <s v="Poison Heal"/>
    <s v="Technician"/>
    <s v="Green"/>
    <n v="50"/>
    <n v="50"/>
    <n v="0"/>
    <n v="15"/>
    <s v="Fairy"/>
    <s v="Grass"/>
    <n v="90"/>
    <n v="161"/>
    <n v="1640000"/>
    <x v="0"/>
    <m/>
    <m/>
    <n v="60"/>
    <n v="130"/>
    <n v="80"/>
    <n v="60"/>
    <n v="60"/>
    <n v="70"/>
    <n v="460"/>
    <n v="0"/>
    <n v="2"/>
    <n v="0"/>
    <n v="0"/>
    <n v="0"/>
    <n v="0"/>
  </r>
  <r>
    <s v="Slakoth"/>
    <x v="355"/>
    <n v="287"/>
    <s v="287_0"/>
    <x v="5"/>
    <n v="0.8"/>
    <n v="24"/>
    <x v="4"/>
    <m/>
    <s v="Truant"/>
    <m/>
    <m/>
    <s v="Brown"/>
    <n v="50"/>
    <n v="50"/>
    <n v="0"/>
    <n v="15"/>
    <s v="Ground"/>
    <m/>
    <n v="255"/>
    <n v="56"/>
    <n v="1250000"/>
    <x v="0"/>
    <m/>
    <m/>
    <n v="60"/>
    <n v="60"/>
    <n v="60"/>
    <n v="35"/>
    <n v="35"/>
    <n v="30"/>
    <n v="280"/>
    <n v="1"/>
    <n v="0"/>
    <n v="0"/>
    <n v="0"/>
    <n v="0"/>
    <n v="0"/>
  </r>
  <r>
    <s v="Vigoroth"/>
    <x v="356"/>
    <n v="288"/>
    <s v="288_0"/>
    <x v="5"/>
    <n v="1.4"/>
    <n v="46.5"/>
    <x v="4"/>
    <m/>
    <s v="Vital Spirit"/>
    <m/>
    <m/>
    <s v="White"/>
    <n v="50"/>
    <n v="50"/>
    <n v="0"/>
    <n v="15"/>
    <s v="Ground"/>
    <m/>
    <n v="120"/>
    <n v="154"/>
    <n v="1250000"/>
    <x v="0"/>
    <m/>
    <m/>
    <n v="80"/>
    <n v="80"/>
    <n v="80"/>
    <n v="55"/>
    <n v="55"/>
    <n v="90"/>
    <n v="440"/>
    <n v="0"/>
    <n v="0"/>
    <n v="0"/>
    <n v="0"/>
    <n v="0"/>
    <n v="2"/>
  </r>
  <r>
    <s v="Slaking"/>
    <x v="357"/>
    <n v="289"/>
    <s v="289_0"/>
    <x v="5"/>
    <n v="2"/>
    <n v="130.5"/>
    <x v="4"/>
    <m/>
    <s v="Truant"/>
    <m/>
    <m/>
    <s v="Brown"/>
    <n v="50"/>
    <n v="50"/>
    <n v="0"/>
    <n v="15"/>
    <s v="Ground"/>
    <m/>
    <n v="45"/>
    <n v="285"/>
    <n v="1250000"/>
    <x v="0"/>
    <m/>
    <m/>
    <n v="150"/>
    <n v="160"/>
    <n v="100"/>
    <n v="95"/>
    <n v="65"/>
    <n v="100"/>
    <n v="670"/>
    <n v="3"/>
    <n v="0"/>
    <n v="0"/>
    <n v="0"/>
    <n v="0"/>
    <n v="0"/>
  </r>
  <r>
    <s v="Nincada"/>
    <x v="358"/>
    <n v="290"/>
    <s v="290_0"/>
    <x v="5"/>
    <n v="0.5"/>
    <n v="5.5"/>
    <x v="3"/>
    <s v="Ground"/>
    <s v="Compound Eyes"/>
    <m/>
    <s v="Run Away"/>
    <s v="Gray"/>
    <n v="50"/>
    <n v="50"/>
    <n v="0"/>
    <n v="15"/>
    <s v="Bug"/>
    <m/>
    <n v="255"/>
    <n v="53"/>
    <n v="600000"/>
    <x v="0"/>
    <m/>
    <m/>
    <n v="31"/>
    <n v="45"/>
    <n v="90"/>
    <n v="30"/>
    <n v="30"/>
    <n v="40"/>
    <n v="266"/>
    <n v="0"/>
    <n v="0"/>
    <n v="1"/>
    <n v="0"/>
    <n v="0"/>
    <n v="0"/>
  </r>
  <r>
    <s v="Ninjask"/>
    <x v="359"/>
    <n v="291"/>
    <s v="291_0"/>
    <x v="5"/>
    <n v="0.8"/>
    <n v="12"/>
    <x v="3"/>
    <s v="Flying"/>
    <s v="Speed Boost"/>
    <m/>
    <s v="Infiltrator"/>
    <s v="Yellow"/>
    <n v="50"/>
    <n v="50"/>
    <n v="0"/>
    <n v="15"/>
    <s v="Bug"/>
    <m/>
    <n v="120"/>
    <n v="160"/>
    <n v="600000"/>
    <x v="0"/>
    <m/>
    <m/>
    <n v="61"/>
    <n v="90"/>
    <n v="45"/>
    <n v="50"/>
    <n v="50"/>
    <n v="160"/>
    <n v="456"/>
    <n v="0"/>
    <n v="0"/>
    <n v="0"/>
    <n v="0"/>
    <n v="0"/>
    <n v="2"/>
  </r>
  <r>
    <s v="Shedinja"/>
    <x v="360"/>
    <n v="292"/>
    <s v="292_0"/>
    <x v="5"/>
    <n v="0.8"/>
    <n v="1.2"/>
    <x v="3"/>
    <s v="Ghost"/>
    <s v="Wonder Guard"/>
    <m/>
    <m/>
    <s v="Brown"/>
    <n v="0"/>
    <n v="0"/>
    <n v="100"/>
    <n v="15"/>
    <s v="Mineral"/>
    <m/>
    <n v="45"/>
    <n v="83"/>
    <n v="600000"/>
    <x v="0"/>
    <m/>
    <m/>
    <n v="1"/>
    <n v="90"/>
    <n v="45"/>
    <n v="30"/>
    <n v="30"/>
    <n v="40"/>
    <n v="236"/>
    <n v="2"/>
    <n v="0"/>
    <n v="0"/>
    <n v="0"/>
    <n v="0"/>
    <n v="0"/>
  </r>
  <r>
    <s v="Whismur"/>
    <x v="361"/>
    <n v="293"/>
    <s v="293_0"/>
    <x v="5"/>
    <n v="0.6"/>
    <n v="16.3"/>
    <x v="4"/>
    <m/>
    <s v="Soundproof"/>
    <m/>
    <s v="Rattled"/>
    <s v="Pink"/>
    <n v="50"/>
    <n v="50"/>
    <n v="0"/>
    <n v="20"/>
    <s v="Monster"/>
    <s v="Ground"/>
    <n v="190"/>
    <n v="48"/>
    <n v="1059860"/>
    <x v="0"/>
    <m/>
    <m/>
    <n v="64"/>
    <n v="51"/>
    <n v="23"/>
    <n v="51"/>
    <n v="23"/>
    <n v="28"/>
    <n v="240"/>
    <n v="1"/>
    <n v="0"/>
    <n v="0"/>
    <n v="0"/>
    <n v="0"/>
    <n v="0"/>
  </r>
  <r>
    <s v="Loudred"/>
    <x v="362"/>
    <n v="294"/>
    <s v="294_0"/>
    <x v="5"/>
    <n v="1"/>
    <n v="40.5"/>
    <x v="4"/>
    <m/>
    <s v="Soundproof"/>
    <m/>
    <s v="Scrappy"/>
    <s v="Blue"/>
    <n v="50"/>
    <n v="50"/>
    <n v="0"/>
    <n v="20"/>
    <s v="Monster"/>
    <s v="Ground"/>
    <n v="120"/>
    <n v="126"/>
    <n v="1059860"/>
    <x v="0"/>
    <m/>
    <m/>
    <n v="84"/>
    <n v="71"/>
    <n v="43"/>
    <n v="71"/>
    <n v="43"/>
    <n v="48"/>
    <n v="360"/>
    <n v="2"/>
    <n v="0"/>
    <n v="0"/>
    <n v="0"/>
    <n v="0"/>
    <n v="0"/>
  </r>
  <r>
    <s v="Exploud"/>
    <x v="363"/>
    <n v="295"/>
    <s v="295_0"/>
    <x v="5"/>
    <n v="1.5"/>
    <n v="84"/>
    <x v="4"/>
    <m/>
    <s v="Soundproof"/>
    <m/>
    <s v="Scrappy"/>
    <s v="Blue"/>
    <n v="50"/>
    <n v="50"/>
    <n v="0"/>
    <n v="20"/>
    <s v="Monster"/>
    <s v="Ground"/>
    <n v="45"/>
    <n v="245"/>
    <n v="1059860"/>
    <x v="0"/>
    <m/>
    <m/>
    <n v="104"/>
    <n v="91"/>
    <n v="63"/>
    <n v="91"/>
    <n v="73"/>
    <n v="68"/>
    <n v="490"/>
    <n v="3"/>
    <n v="0"/>
    <n v="0"/>
    <n v="0"/>
    <n v="0"/>
    <n v="0"/>
  </r>
  <r>
    <s v="Makuhita"/>
    <x v="364"/>
    <n v="296"/>
    <s v="296_0"/>
    <x v="5"/>
    <n v="1"/>
    <n v="86.4"/>
    <x v="12"/>
    <m/>
    <s v="Thick Fat"/>
    <s v="Guts"/>
    <s v="Sheer Force"/>
    <s v="Yellow"/>
    <n v="75"/>
    <n v="25"/>
    <n v="0"/>
    <n v="20"/>
    <s v="Human-Like"/>
    <m/>
    <n v="180"/>
    <n v="47"/>
    <n v="1640000"/>
    <x v="0"/>
    <m/>
    <m/>
    <n v="72"/>
    <n v="60"/>
    <n v="30"/>
    <n v="20"/>
    <n v="30"/>
    <n v="25"/>
    <n v="237"/>
    <n v="1"/>
    <n v="0"/>
    <n v="0"/>
    <n v="0"/>
    <n v="0"/>
    <n v="0"/>
  </r>
  <r>
    <s v="Hariyama"/>
    <x v="365"/>
    <n v="297"/>
    <s v="297_0"/>
    <x v="5"/>
    <n v="2.2999999999999998"/>
    <n v="253.8"/>
    <x v="12"/>
    <m/>
    <s v="Thick Fat"/>
    <s v="Guts"/>
    <s v="Sheer Force"/>
    <s v="Brown"/>
    <n v="75"/>
    <n v="25"/>
    <n v="0"/>
    <n v="20"/>
    <s v="Human-Like"/>
    <m/>
    <n v="200"/>
    <n v="166"/>
    <n v="1640000"/>
    <x v="0"/>
    <m/>
    <m/>
    <n v="144"/>
    <n v="120"/>
    <n v="60"/>
    <n v="40"/>
    <n v="60"/>
    <n v="50"/>
    <n v="474"/>
    <n v="2"/>
    <n v="0"/>
    <n v="0"/>
    <n v="0"/>
    <n v="0"/>
    <n v="0"/>
  </r>
  <r>
    <s v="Azurill"/>
    <x v="366"/>
    <n v="298"/>
    <s v="298_0"/>
    <x v="5"/>
    <n v="0.2"/>
    <n v="2"/>
    <x v="4"/>
    <s v="Fairy"/>
    <s v="Thick Fat"/>
    <s v="Huge Power"/>
    <s v="Sap Sipper"/>
    <s v="Blue"/>
    <n v="25"/>
    <n v="75"/>
    <n v="0"/>
    <n v="10"/>
    <s v="Undiscovered"/>
    <m/>
    <n v="150"/>
    <n v="38"/>
    <n v="800000"/>
    <x v="0"/>
    <m/>
    <m/>
    <n v="50"/>
    <n v="20"/>
    <n v="40"/>
    <n v="20"/>
    <n v="40"/>
    <n v="20"/>
    <n v="190"/>
    <n v="1"/>
    <n v="0"/>
    <n v="0"/>
    <n v="0"/>
    <n v="0"/>
    <n v="0"/>
  </r>
  <r>
    <s v="Nosepass"/>
    <x v="367"/>
    <n v="299"/>
    <s v="299_0"/>
    <x v="5"/>
    <n v="1"/>
    <n v="97"/>
    <x v="14"/>
    <m/>
    <s v="Sturdy"/>
    <s v="Magnet Pull"/>
    <s v="Sand Force"/>
    <s v="Gray"/>
    <n v="50"/>
    <n v="50"/>
    <n v="0"/>
    <n v="20"/>
    <s v="Mineral"/>
    <m/>
    <n v="255"/>
    <n v="75"/>
    <n v="1000000"/>
    <x v="0"/>
    <m/>
    <m/>
    <n v="30"/>
    <n v="45"/>
    <n v="135"/>
    <n v="45"/>
    <n v="90"/>
    <n v="30"/>
    <n v="375"/>
    <n v="0"/>
    <n v="0"/>
    <n v="1"/>
    <n v="0"/>
    <n v="0"/>
    <n v="0"/>
  </r>
  <r>
    <s v="Skitty"/>
    <x v="368"/>
    <n v="300"/>
    <s v="300_0"/>
    <x v="5"/>
    <n v="0.6"/>
    <n v="11"/>
    <x v="4"/>
    <m/>
    <s v="Cute Charm"/>
    <s v="Normalize"/>
    <s v="Wonder Skin"/>
    <s v="Pink"/>
    <n v="25"/>
    <n v="75"/>
    <n v="0"/>
    <n v="15"/>
    <s v="Ground"/>
    <s v="Fairy"/>
    <n v="255"/>
    <n v="52"/>
    <n v="800000"/>
    <x v="0"/>
    <m/>
    <m/>
    <n v="50"/>
    <n v="45"/>
    <n v="45"/>
    <n v="35"/>
    <n v="35"/>
    <n v="50"/>
    <n v="260"/>
    <n v="0"/>
    <n v="0"/>
    <n v="0"/>
    <n v="0"/>
    <n v="0"/>
    <n v="1"/>
  </r>
  <r>
    <s v="Delcatty"/>
    <x v="369"/>
    <n v="301"/>
    <s v="301_0"/>
    <x v="5"/>
    <n v="1.1000000000000001"/>
    <n v="32.6"/>
    <x v="4"/>
    <m/>
    <s v="Cute Charm"/>
    <s v="Normalize"/>
    <s v="Wonder Skin"/>
    <s v="Purple"/>
    <n v="25"/>
    <n v="75"/>
    <n v="0"/>
    <n v="15"/>
    <s v="Ground"/>
    <s v="Fairy"/>
    <n v="60"/>
    <n v="140"/>
    <n v="800000"/>
    <x v="0"/>
    <m/>
    <m/>
    <n v="70"/>
    <n v="65"/>
    <n v="65"/>
    <n v="55"/>
    <n v="55"/>
    <n v="90"/>
    <n v="400"/>
    <n v="1"/>
    <n v="0"/>
    <n v="0"/>
    <n v="0"/>
    <n v="0"/>
    <n v="1"/>
  </r>
  <r>
    <s v="Sableye"/>
    <x v="370"/>
    <n v="302"/>
    <s v="302_0"/>
    <x v="5"/>
    <n v="0.5"/>
    <n v="11"/>
    <x v="5"/>
    <s v="Ghost"/>
    <s v="Keen Eye"/>
    <s v="Stall"/>
    <s v="Prankster"/>
    <s v="Purple"/>
    <n v="50"/>
    <n v="50"/>
    <n v="0"/>
    <n v="25"/>
    <s v="Human-Like"/>
    <m/>
    <n v="45"/>
    <n v="133"/>
    <n v="1059860"/>
    <x v="0"/>
    <m/>
    <m/>
    <n v="50"/>
    <n v="75"/>
    <n v="75"/>
    <n v="65"/>
    <n v="65"/>
    <n v="50"/>
    <n v="380"/>
    <n v="0"/>
    <n v="1"/>
    <n v="1"/>
    <n v="0"/>
    <n v="0"/>
    <n v="0"/>
  </r>
  <r>
    <s v="Sableye"/>
    <x v="371"/>
    <n v="302"/>
    <s v="302_1"/>
    <x v="5"/>
    <n v="0.5"/>
    <n v="161"/>
    <x v="5"/>
    <s v="Ghost"/>
    <s v="Magic Bounce"/>
    <m/>
    <m/>
    <s v="Purple"/>
    <n v="50"/>
    <n v="50"/>
    <n v="0"/>
    <n v="25"/>
    <s v="Human-Like"/>
    <m/>
    <n v="45"/>
    <n v="168"/>
    <n v="1059860"/>
    <x v="0"/>
    <s v="Mega"/>
    <m/>
    <n v="50"/>
    <n v="85"/>
    <n v="125"/>
    <n v="85"/>
    <n v="115"/>
    <n v="20"/>
    <n v="480"/>
    <n v="0"/>
    <n v="1"/>
    <n v="1"/>
    <n v="0"/>
    <n v="0"/>
    <n v="0"/>
  </r>
  <r>
    <s v="Mawile"/>
    <x v="372"/>
    <n v="303"/>
    <s v="303_0"/>
    <x v="5"/>
    <n v="0.6"/>
    <n v="11.5"/>
    <x v="11"/>
    <s v="Fairy"/>
    <s v="Hyper Cutter"/>
    <s v="Intimidate"/>
    <s v="Sheer Force"/>
    <s v="Black"/>
    <n v="50"/>
    <n v="50"/>
    <n v="0"/>
    <n v="20"/>
    <s v="Ground"/>
    <s v="Fairy"/>
    <n v="45"/>
    <n v="133"/>
    <n v="800000"/>
    <x v="0"/>
    <m/>
    <m/>
    <n v="50"/>
    <n v="85"/>
    <n v="85"/>
    <n v="55"/>
    <n v="55"/>
    <n v="50"/>
    <n v="380"/>
    <n v="0"/>
    <n v="1"/>
    <n v="1"/>
    <n v="0"/>
    <n v="0"/>
    <n v="0"/>
  </r>
  <r>
    <s v="Mawile"/>
    <x v="373"/>
    <n v="303"/>
    <s v="303_1"/>
    <x v="5"/>
    <n v="1"/>
    <n v="23.5"/>
    <x v="11"/>
    <s v="Fairy"/>
    <s v="Huge Power"/>
    <m/>
    <m/>
    <s v="Black"/>
    <n v="50"/>
    <n v="50"/>
    <n v="0"/>
    <n v="20"/>
    <s v="Ground"/>
    <s v="Fairy"/>
    <n v="45"/>
    <n v="168"/>
    <n v="800000"/>
    <x v="0"/>
    <s v="Mega"/>
    <m/>
    <n v="50"/>
    <n v="105"/>
    <n v="125"/>
    <n v="55"/>
    <n v="95"/>
    <n v="50"/>
    <n v="480"/>
    <n v="0"/>
    <n v="1"/>
    <n v="1"/>
    <n v="0"/>
    <n v="0"/>
    <n v="0"/>
  </r>
  <r>
    <s v="Aron"/>
    <x v="374"/>
    <n v="304"/>
    <s v="304_0"/>
    <x v="5"/>
    <n v="0.4"/>
    <n v="60"/>
    <x v="11"/>
    <s v="Rock"/>
    <s v="Sturdy"/>
    <s v="Rock Head"/>
    <s v="Heavy Metal"/>
    <s v="Gray"/>
    <n v="50"/>
    <n v="50"/>
    <n v="0"/>
    <n v="35"/>
    <s v="Monster"/>
    <m/>
    <n v="180"/>
    <n v="66"/>
    <n v="1250000"/>
    <x v="0"/>
    <m/>
    <m/>
    <n v="50"/>
    <n v="70"/>
    <n v="100"/>
    <n v="40"/>
    <n v="40"/>
    <n v="30"/>
    <n v="330"/>
    <n v="0"/>
    <n v="0"/>
    <n v="1"/>
    <n v="0"/>
    <n v="0"/>
    <n v="0"/>
  </r>
  <r>
    <s v="Lairon"/>
    <x v="375"/>
    <n v="305"/>
    <s v="305_0"/>
    <x v="5"/>
    <n v="0.9"/>
    <n v="120"/>
    <x v="11"/>
    <s v="Rock"/>
    <s v="Sturdy"/>
    <s v="Rock Head"/>
    <s v="Heavy Metal"/>
    <s v="Gray"/>
    <n v="50"/>
    <n v="50"/>
    <n v="0"/>
    <n v="35"/>
    <s v="Monster"/>
    <m/>
    <n v="90"/>
    <n v="151"/>
    <n v="1250000"/>
    <x v="0"/>
    <m/>
    <m/>
    <n v="60"/>
    <n v="90"/>
    <n v="140"/>
    <n v="50"/>
    <n v="50"/>
    <n v="40"/>
    <n v="430"/>
    <n v="0"/>
    <n v="0"/>
    <n v="2"/>
    <n v="0"/>
    <n v="0"/>
    <n v="0"/>
  </r>
  <r>
    <s v="Aggron"/>
    <x v="376"/>
    <n v="306"/>
    <s v="306_0"/>
    <x v="5"/>
    <n v="2.1"/>
    <n v="360"/>
    <x v="11"/>
    <s v="Rock"/>
    <s v="Sturdy"/>
    <s v="Rock Head"/>
    <s v="Heavy Metal"/>
    <s v="Gray"/>
    <n v="50"/>
    <n v="50"/>
    <n v="0"/>
    <n v="35"/>
    <s v="Monster"/>
    <m/>
    <n v="45"/>
    <n v="265"/>
    <n v="1250000"/>
    <x v="0"/>
    <m/>
    <m/>
    <n v="70"/>
    <n v="110"/>
    <n v="180"/>
    <n v="60"/>
    <n v="60"/>
    <n v="50"/>
    <n v="530"/>
    <n v="0"/>
    <n v="0"/>
    <n v="3"/>
    <n v="0"/>
    <n v="0"/>
    <n v="0"/>
  </r>
  <r>
    <s v="Aggron"/>
    <x v="377"/>
    <n v="306"/>
    <s v="306_1"/>
    <x v="5"/>
    <n v="2.2000000000000002"/>
    <n v="395"/>
    <x v="11"/>
    <m/>
    <s v="Filter"/>
    <m/>
    <m/>
    <s v="Gray"/>
    <n v="50"/>
    <n v="50"/>
    <n v="0"/>
    <n v="35"/>
    <s v="Monster"/>
    <m/>
    <n v="45"/>
    <n v="284"/>
    <n v="1250000"/>
    <x v="0"/>
    <s v="Mega"/>
    <m/>
    <n v="70"/>
    <n v="140"/>
    <n v="230"/>
    <n v="60"/>
    <n v="80"/>
    <n v="50"/>
    <n v="630"/>
    <n v="0"/>
    <n v="0"/>
    <n v="3"/>
    <n v="0"/>
    <n v="0"/>
    <n v="0"/>
  </r>
  <r>
    <s v="Meditite"/>
    <x v="378"/>
    <n v="307"/>
    <s v="307_0"/>
    <x v="5"/>
    <n v="0.6"/>
    <n v="11.2"/>
    <x v="12"/>
    <s v="Psychic"/>
    <s v="Pure Power"/>
    <m/>
    <s v="Telepathy"/>
    <s v="Blue"/>
    <n v="50"/>
    <n v="50"/>
    <n v="0"/>
    <n v="20"/>
    <s v="Human-Like"/>
    <m/>
    <n v="180"/>
    <n v="56"/>
    <n v="1000000"/>
    <x v="0"/>
    <m/>
    <m/>
    <n v="30"/>
    <n v="40"/>
    <n v="55"/>
    <n v="40"/>
    <n v="55"/>
    <n v="60"/>
    <n v="280"/>
    <n v="0"/>
    <n v="0"/>
    <n v="0"/>
    <n v="0"/>
    <n v="0"/>
    <n v="1"/>
  </r>
  <r>
    <s v="Medicham"/>
    <x v="379"/>
    <n v="308"/>
    <s v="308_0"/>
    <x v="5"/>
    <n v="1.3"/>
    <n v="31.5"/>
    <x v="12"/>
    <s v="Psychic"/>
    <s v="Pure Power"/>
    <m/>
    <s v="Telepathy"/>
    <s v="Red"/>
    <n v="50"/>
    <n v="50"/>
    <n v="0"/>
    <n v="20"/>
    <s v="Human-Like"/>
    <m/>
    <n v="90"/>
    <n v="144"/>
    <n v="1000000"/>
    <x v="0"/>
    <m/>
    <m/>
    <n v="60"/>
    <n v="60"/>
    <n v="75"/>
    <n v="60"/>
    <n v="75"/>
    <n v="80"/>
    <n v="410"/>
    <n v="0"/>
    <n v="0"/>
    <n v="0"/>
    <n v="0"/>
    <n v="0"/>
    <n v="2"/>
  </r>
  <r>
    <s v="Medicham"/>
    <x v="380"/>
    <n v="308"/>
    <s v="308_1"/>
    <x v="5"/>
    <n v="1.3"/>
    <n v="31.5"/>
    <x v="12"/>
    <s v="Psychic"/>
    <s v="Pure Power"/>
    <m/>
    <m/>
    <s v="Red"/>
    <n v="50"/>
    <n v="50"/>
    <n v="0"/>
    <n v="20"/>
    <s v="Human-Like"/>
    <m/>
    <n v="90"/>
    <n v="179"/>
    <n v="1000000"/>
    <x v="0"/>
    <s v="Mega"/>
    <m/>
    <n v="60"/>
    <n v="100"/>
    <n v="85"/>
    <n v="80"/>
    <n v="85"/>
    <n v="100"/>
    <n v="510"/>
    <n v="0"/>
    <n v="0"/>
    <n v="0"/>
    <n v="0"/>
    <n v="0"/>
    <n v="2"/>
  </r>
  <r>
    <s v="Electrike"/>
    <x v="381"/>
    <n v="309"/>
    <s v="309_0"/>
    <x v="5"/>
    <n v="0.6"/>
    <n v="15.2"/>
    <x v="7"/>
    <m/>
    <s v="Static"/>
    <s v="Lightning Rod"/>
    <s v="Minus"/>
    <s v="Green"/>
    <n v="50"/>
    <n v="50"/>
    <n v="0"/>
    <n v="20"/>
    <s v="Ground"/>
    <m/>
    <n v="120"/>
    <n v="59"/>
    <n v="1250000"/>
    <x v="0"/>
    <m/>
    <m/>
    <n v="40"/>
    <n v="45"/>
    <n v="40"/>
    <n v="65"/>
    <n v="40"/>
    <n v="65"/>
    <n v="295"/>
    <n v="0"/>
    <n v="0"/>
    <n v="0"/>
    <n v="0"/>
    <n v="0"/>
    <n v="1"/>
  </r>
  <r>
    <s v="Manectric"/>
    <x v="382"/>
    <n v="310"/>
    <s v="310_0"/>
    <x v="5"/>
    <n v="1.5"/>
    <n v="40.200000000000003"/>
    <x v="7"/>
    <m/>
    <s v="Static"/>
    <s v="Lightning Rod"/>
    <s v="Minus"/>
    <s v="Yellow"/>
    <n v="50"/>
    <n v="50"/>
    <n v="0"/>
    <n v="20"/>
    <s v="Ground"/>
    <m/>
    <n v="45"/>
    <n v="166"/>
    <n v="1250000"/>
    <x v="0"/>
    <m/>
    <m/>
    <n v="70"/>
    <n v="75"/>
    <n v="60"/>
    <n v="105"/>
    <n v="60"/>
    <n v="105"/>
    <n v="475"/>
    <n v="0"/>
    <n v="0"/>
    <n v="0"/>
    <n v="0"/>
    <n v="0"/>
    <n v="2"/>
  </r>
  <r>
    <s v="Manectric"/>
    <x v="383"/>
    <n v="310"/>
    <s v="310_1"/>
    <x v="5"/>
    <n v="1.8"/>
    <n v="44"/>
    <x v="7"/>
    <m/>
    <s v="Intimidate"/>
    <m/>
    <m/>
    <s v="Yellow"/>
    <n v="50"/>
    <n v="50"/>
    <n v="0"/>
    <n v="20"/>
    <s v="Ground"/>
    <m/>
    <n v="45"/>
    <n v="201"/>
    <n v="1250000"/>
    <x v="0"/>
    <s v="Mega"/>
    <m/>
    <n v="70"/>
    <n v="75"/>
    <n v="80"/>
    <n v="135"/>
    <n v="80"/>
    <n v="135"/>
    <n v="575"/>
    <n v="0"/>
    <n v="0"/>
    <n v="0"/>
    <n v="0"/>
    <n v="0"/>
    <n v="2"/>
  </r>
  <r>
    <s v="Plusle"/>
    <x v="384"/>
    <n v="311"/>
    <s v="311_0"/>
    <x v="5"/>
    <n v="0.4"/>
    <n v="4.2"/>
    <x v="7"/>
    <m/>
    <s v="Plus"/>
    <m/>
    <s v="Lightning Rod"/>
    <s v="Yellow"/>
    <n v="50"/>
    <n v="50"/>
    <n v="0"/>
    <n v="20"/>
    <s v="Fairy"/>
    <m/>
    <n v="200"/>
    <n v="142"/>
    <n v="1000000"/>
    <x v="0"/>
    <m/>
    <m/>
    <n v="60"/>
    <n v="50"/>
    <n v="40"/>
    <n v="85"/>
    <n v="75"/>
    <n v="95"/>
    <n v="405"/>
    <n v="0"/>
    <n v="0"/>
    <n v="0"/>
    <n v="0"/>
    <n v="0"/>
    <n v="1"/>
  </r>
  <r>
    <s v="Minun"/>
    <x v="385"/>
    <n v="312"/>
    <s v="312_0"/>
    <x v="5"/>
    <n v="0.4"/>
    <n v="4.2"/>
    <x v="7"/>
    <m/>
    <s v="Minus"/>
    <m/>
    <s v="Volt Absorb"/>
    <s v="Yellow"/>
    <n v="50"/>
    <n v="50"/>
    <n v="0"/>
    <n v="20"/>
    <s v="Fairy"/>
    <m/>
    <n v="200"/>
    <n v="142"/>
    <n v="1000000"/>
    <x v="0"/>
    <m/>
    <m/>
    <n v="60"/>
    <n v="40"/>
    <n v="50"/>
    <n v="75"/>
    <n v="85"/>
    <n v="95"/>
    <n v="405"/>
    <n v="0"/>
    <n v="0"/>
    <n v="0"/>
    <n v="0"/>
    <n v="0"/>
    <n v="1"/>
  </r>
  <r>
    <s v="Volbeat"/>
    <x v="386"/>
    <n v="313"/>
    <s v="313_0"/>
    <x v="5"/>
    <n v="0.7"/>
    <n v="17.7"/>
    <x v="3"/>
    <m/>
    <s v="Illuminate"/>
    <s v="Swarm"/>
    <s v="Prankster"/>
    <s v="Gray"/>
    <n v="100"/>
    <n v="0"/>
    <n v="0"/>
    <n v="15"/>
    <s v="Bug"/>
    <s v="Human-Like"/>
    <n v="150"/>
    <n v="151"/>
    <n v="600000"/>
    <x v="0"/>
    <m/>
    <m/>
    <n v="65"/>
    <n v="73"/>
    <n v="75"/>
    <n v="47"/>
    <n v="85"/>
    <n v="85"/>
    <n v="430"/>
    <n v="0"/>
    <n v="0"/>
    <n v="0"/>
    <n v="0"/>
    <n v="0"/>
    <n v="1"/>
  </r>
  <r>
    <s v="Illumise"/>
    <x v="387"/>
    <n v="314"/>
    <s v="314_0"/>
    <x v="5"/>
    <n v="0.6"/>
    <n v="17.7"/>
    <x v="3"/>
    <m/>
    <s v="Oblivious"/>
    <s v="Tinted Lens"/>
    <s v="Prankster"/>
    <s v="Purple"/>
    <n v="0"/>
    <n v="100"/>
    <n v="0"/>
    <n v="15"/>
    <s v="Bug"/>
    <s v="Human-Like"/>
    <n v="150"/>
    <n v="151"/>
    <n v="1640000"/>
    <x v="0"/>
    <m/>
    <m/>
    <n v="65"/>
    <n v="47"/>
    <n v="75"/>
    <n v="73"/>
    <n v="85"/>
    <n v="85"/>
    <n v="430"/>
    <n v="0"/>
    <n v="0"/>
    <n v="0"/>
    <n v="0"/>
    <n v="0"/>
    <n v="1"/>
  </r>
  <r>
    <s v="Roselia"/>
    <x v="388"/>
    <n v="315"/>
    <s v="315_0"/>
    <x v="5"/>
    <n v="0.3"/>
    <n v="2"/>
    <x v="0"/>
    <s v="Poison"/>
    <s v="Natural Cure"/>
    <s v="Poison Point"/>
    <s v="Leaf Guard"/>
    <s v="Green"/>
    <n v="50"/>
    <n v="50"/>
    <n v="0"/>
    <n v="20"/>
    <s v="Fairy"/>
    <s v="Grass"/>
    <n v="150"/>
    <n v="140"/>
    <n v="1059860"/>
    <x v="0"/>
    <m/>
    <m/>
    <n v="50"/>
    <n v="60"/>
    <n v="45"/>
    <n v="100"/>
    <n v="80"/>
    <n v="65"/>
    <n v="400"/>
    <n v="0"/>
    <n v="0"/>
    <n v="0"/>
    <n v="2"/>
    <n v="0"/>
    <n v="0"/>
  </r>
  <r>
    <s v="Gulpin"/>
    <x v="389"/>
    <n v="316"/>
    <s v="316_0"/>
    <x v="5"/>
    <n v="0.4"/>
    <n v="10.3"/>
    <x v="6"/>
    <m/>
    <s v="Liquid Ooze"/>
    <s v="Sticky Hold"/>
    <s v="Gluttony"/>
    <s v="Green"/>
    <n v="50"/>
    <n v="50"/>
    <n v="0"/>
    <n v="20"/>
    <s v="Amorphous"/>
    <m/>
    <n v="225"/>
    <n v="60"/>
    <n v="1640000"/>
    <x v="0"/>
    <m/>
    <m/>
    <n v="70"/>
    <n v="43"/>
    <n v="53"/>
    <n v="43"/>
    <n v="53"/>
    <n v="40"/>
    <n v="302"/>
    <n v="1"/>
    <n v="0"/>
    <n v="0"/>
    <n v="0"/>
    <n v="0"/>
    <n v="0"/>
  </r>
  <r>
    <s v="Swalot"/>
    <x v="390"/>
    <n v="317"/>
    <s v="317_0"/>
    <x v="5"/>
    <n v="1.7"/>
    <n v="80"/>
    <x v="6"/>
    <m/>
    <s v="Liquid Ooze"/>
    <s v="Sticky Hold"/>
    <s v="Gluttony"/>
    <s v="Purple"/>
    <n v="50"/>
    <n v="50"/>
    <n v="0"/>
    <n v="20"/>
    <s v="Amorphous"/>
    <m/>
    <n v="75"/>
    <n v="163"/>
    <n v="1640000"/>
    <x v="0"/>
    <m/>
    <m/>
    <n v="100"/>
    <n v="73"/>
    <n v="83"/>
    <n v="73"/>
    <n v="83"/>
    <n v="55"/>
    <n v="467"/>
    <n v="2"/>
    <n v="0"/>
    <n v="0"/>
    <n v="0"/>
    <n v="0"/>
    <n v="0"/>
  </r>
  <r>
    <s v="Carvanha"/>
    <x v="391"/>
    <n v="318"/>
    <s v="318_0"/>
    <x v="5"/>
    <n v="0.8"/>
    <n v="20.8"/>
    <x v="2"/>
    <s v="Dark"/>
    <s v="Rough Skin"/>
    <m/>
    <s v="Speed Boost"/>
    <s v="Red"/>
    <n v="50"/>
    <n v="50"/>
    <n v="0"/>
    <n v="20"/>
    <s v="Water2"/>
    <m/>
    <n v="225"/>
    <n v="61"/>
    <n v="1250000"/>
    <x v="0"/>
    <m/>
    <m/>
    <n v="45"/>
    <n v="90"/>
    <n v="20"/>
    <n v="65"/>
    <n v="20"/>
    <n v="65"/>
    <n v="305"/>
    <n v="0"/>
    <n v="1"/>
    <n v="0"/>
    <n v="0"/>
    <n v="0"/>
    <n v="0"/>
  </r>
  <r>
    <s v="Sharpedo"/>
    <x v="392"/>
    <n v="319"/>
    <s v="319_0"/>
    <x v="5"/>
    <n v="1.8"/>
    <n v="88.8"/>
    <x v="2"/>
    <s v="Dark"/>
    <s v="Rough Skin"/>
    <m/>
    <s v="Speed Boost"/>
    <s v="Blue"/>
    <n v="50"/>
    <n v="50"/>
    <n v="0"/>
    <n v="20"/>
    <s v="Water2"/>
    <m/>
    <n v="60"/>
    <n v="161"/>
    <n v="1250000"/>
    <x v="0"/>
    <m/>
    <m/>
    <n v="70"/>
    <n v="120"/>
    <n v="40"/>
    <n v="95"/>
    <n v="40"/>
    <n v="95"/>
    <n v="460"/>
    <n v="0"/>
    <n v="2"/>
    <n v="0"/>
    <n v="0"/>
    <n v="0"/>
    <n v="0"/>
  </r>
  <r>
    <s v="Sharpedo"/>
    <x v="393"/>
    <n v="319"/>
    <s v="319_1"/>
    <x v="5"/>
    <n v="2.5"/>
    <n v="130.30000000000001"/>
    <x v="2"/>
    <s v="Dark"/>
    <s v="Strong Jaw"/>
    <m/>
    <m/>
    <s v="Blue"/>
    <n v="50"/>
    <n v="50"/>
    <n v="0"/>
    <n v="20"/>
    <s v="Water2"/>
    <m/>
    <n v="60"/>
    <n v="196"/>
    <n v="1250000"/>
    <x v="0"/>
    <s v="Mega"/>
    <m/>
    <n v="70"/>
    <n v="140"/>
    <n v="70"/>
    <n v="110"/>
    <n v="65"/>
    <n v="105"/>
    <n v="560"/>
    <n v="0"/>
    <n v="2"/>
    <n v="0"/>
    <n v="0"/>
    <n v="0"/>
    <n v="0"/>
  </r>
  <r>
    <s v="Wailmer"/>
    <x v="394"/>
    <n v="320"/>
    <s v="320_0"/>
    <x v="5"/>
    <n v="2"/>
    <n v="130"/>
    <x v="2"/>
    <m/>
    <s v="Water Veil"/>
    <s v="Oblivious"/>
    <s v="Pressure"/>
    <s v="Blue"/>
    <n v="50"/>
    <n v="50"/>
    <n v="0"/>
    <n v="40"/>
    <s v="Ground"/>
    <s v="Water2"/>
    <n v="125"/>
    <n v="80"/>
    <n v="1640000"/>
    <x v="0"/>
    <m/>
    <m/>
    <n v="130"/>
    <n v="70"/>
    <n v="35"/>
    <n v="70"/>
    <n v="35"/>
    <n v="60"/>
    <n v="400"/>
    <n v="1"/>
    <n v="0"/>
    <n v="0"/>
    <n v="0"/>
    <n v="0"/>
    <n v="0"/>
  </r>
  <r>
    <s v="Wailord"/>
    <x v="395"/>
    <n v="321"/>
    <s v="321_0"/>
    <x v="5"/>
    <n v="14.5"/>
    <n v="398"/>
    <x v="2"/>
    <m/>
    <s v="Water Veil"/>
    <s v="Oblivious"/>
    <s v="Pressure"/>
    <s v="Blue"/>
    <n v="50"/>
    <n v="50"/>
    <n v="0"/>
    <n v="40"/>
    <s v="Ground"/>
    <s v="Water2"/>
    <n v="60"/>
    <n v="175"/>
    <n v="1640000"/>
    <x v="0"/>
    <m/>
    <m/>
    <n v="170"/>
    <n v="90"/>
    <n v="45"/>
    <n v="90"/>
    <n v="45"/>
    <n v="60"/>
    <n v="500"/>
    <n v="2"/>
    <n v="0"/>
    <n v="0"/>
    <n v="0"/>
    <n v="0"/>
    <n v="0"/>
  </r>
  <r>
    <s v="Numel"/>
    <x v="396"/>
    <n v="322"/>
    <s v="322_0"/>
    <x v="5"/>
    <n v="0.7"/>
    <n v="24"/>
    <x v="1"/>
    <s v="Ground"/>
    <s v="Oblivious"/>
    <s v="Simple"/>
    <s v="Own Tempo"/>
    <s v="Yellow"/>
    <n v="50"/>
    <n v="50"/>
    <n v="0"/>
    <n v="20"/>
    <s v="Ground"/>
    <m/>
    <n v="255"/>
    <n v="61"/>
    <n v="1000000"/>
    <x v="0"/>
    <m/>
    <m/>
    <n v="60"/>
    <n v="60"/>
    <n v="40"/>
    <n v="65"/>
    <n v="45"/>
    <n v="35"/>
    <n v="305"/>
    <n v="0"/>
    <n v="0"/>
    <n v="0"/>
    <n v="1"/>
    <n v="0"/>
    <n v="0"/>
  </r>
  <r>
    <s v="Camerupt"/>
    <x v="397"/>
    <n v="323"/>
    <s v="323_0"/>
    <x v="5"/>
    <n v="1.9"/>
    <n v="220"/>
    <x v="1"/>
    <s v="Ground"/>
    <s v="Magma Armor"/>
    <s v="Solid Rock"/>
    <s v="Anger Point"/>
    <s v="Red"/>
    <n v="50"/>
    <n v="50"/>
    <n v="0"/>
    <n v="20"/>
    <s v="Ground"/>
    <m/>
    <n v="150"/>
    <n v="161"/>
    <n v="1000000"/>
    <x v="0"/>
    <m/>
    <m/>
    <n v="70"/>
    <n v="100"/>
    <n v="70"/>
    <n v="105"/>
    <n v="75"/>
    <n v="40"/>
    <n v="460"/>
    <n v="0"/>
    <n v="1"/>
    <n v="0"/>
    <n v="1"/>
    <n v="0"/>
    <n v="0"/>
  </r>
  <r>
    <s v="Camerupt"/>
    <x v="398"/>
    <n v="323"/>
    <s v="323_1"/>
    <x v="5"/>
    <n v="2.5"/>
    <n v="320.5"/>
    <x v="1"/>
    <s v="Ground"/>
    <s v="Sheer Force"/>
    <m/>
    <m/>
    <s v="Red"/>
    <n v="50"/>
    <n v="50"/>
    <n v="0"/>
    <n v="20"/>
    <s v="Ground"/>
    <m/>
    <n v="150"/>
    <n v="196"/>
    <n v="1000000"/>
    <x v="0"/>
    <s v="Mega"/>
    <m/>
    <n v="70"/>
    <n v="120"/>
    <n v="100"/>
    <n v="145"/>
    <n v="105"/>
    <n v="20"/>
    <n v="560"/>
    <n v="0"/>
    <n v="1"/>
    <n v="0"/>
    <n v="1"/>
    <n v="0"/>
    <n v="0"/>
  </r>
  <r>
    <s v="Torkoal"/>
    <x v="399"/>
    <n v="324"/>
    <s v="324_0"/>
    <x v="5"/>
    <n v="0.5"/>
    <n v="80.400000000000006"/>
    <x v="1"/>
    <m/>
    <s v="White Smoke"/>
    <s v="Drought"/>
    <s v="Shell Armor"/>
    <s v="Brown"/>
    <n v="50"/>
    <n v="50"/>
    <n v="0"/>
    <n v="20"/>
    <s v="Ground"/>
    <m/>
    <n v="90"/>
    <n v="165"/>
    <n v="1000000"/>
    <x v="0"/>
    <m/>
    <m/>
    <n v="70"/>
    <n v="85"/>
    <n v="140"/>
    <n v="85"/>
    <n v="70"/>
    <n v="20"/>
    <n v="470"/>
    <n v="0"/>
    <n v="0"/>
    <n v="2"/>
    <n v="0"/>
    <n v="0"/>
    <n v="0"/>
  </r>
  <r>
    <s v="Spoink"/>
    <x v="400"/>
    <n v="325"/>
    <s v="325_0"/>
    <x v="5"/>
    <n v="0.7"/>
    <n v="30.6"/>
    <x v="13"/>
    <m/>
    <s v="Thick Fat"/>
    <s v="Own Tempo"/>
    <s v="Gluttony"/>
    <s v="Black"/>
    <n v="50"/>
    <n v="50"/>
    <n v="0"/>
    <n v="20"/>
    <s v="Ground"/>
    <m/>
    <n v="255"/>
    <n v="66"/>
    <n v="800000"/>
    <x v="0"/>
    <m/>
    <m/>
    <n v="60"/>
    <n v="25"/>
    <n v="35"/>
    <n v="70"/>
    <n v="80"/>
    <n v="60"/>
    <n v="330"/>
    <n v="0"/>
    <n v="0"/>
    <n v="0"/>
    <n v="0"/>
    <n v="1"/>
    <n v="0"/>
  </r>
  <r>
    <s v="Grumpig"/>
    <x v="401"/>
    <n v="326"/>
    <s v="326_0"/>
    <x v="5"/>
    <n v="0.9"/>
    <n v="71.5"/>
    <x v="13"/>
    <m/>
    <s v="Thick Fat"/>
    <s v="Own Tempo"/>
    <s v="Gluttony"/>
    <s v="Purple"/>
    <n v="50"/>
    <n v="50"/>
    <n v="0"/>
    <n v="20"/>
    <s v="Ground"/>
    <m/>
    <n v="60"/>
    <n v="165"/>
    <n v="800000"/>
    <x v="0"/>
    <m/>
    <m/>
    <n v="80"/>
    <n v="45"/>
    <n v="65"/>
    <n v="90"/>
    <n v="110"/>
    <n v="80"/>
    <n v="470"/>
    <n v="0"/>
    <n v="0"/>
    <n v="0"/>
    <n v="0"/>
    <n v="2"/>
    <n v="0"/>
  </r>
  <r>
    <s v="Spinda"/>
    <x v="402"/>
    <n v="327"/>
    <s v="327_0"/>
    <x v="5"/>
    <n v="1.1000000000000001"/>
    <n v="5"/>
    <x v="4"/>
    <m/>
    <s v="Own Tempo"/>
    <s v="Tangled Feet"/>
    <s v="Contrary"/>
    <s v="Brown"/>
    <n v="50"/>
    <n v="50"/>
    <n v="0"/>
    <n v="15"/>
    <s v="Ground"/>
    <s v="Human-Like"/>
    <n v="255"/>
    <n v="126"/>
    <n v="800000"/>
    <x v="0"/>
    <m/>
    <m/>
    <n v="60"/>
    <n v="60"/>
    <n v="60"/>
    <n v="60"/>
    <n v="60"/>
    <n v="60"/>
    <n v="360"/>
    <n v="0"/>
    <n v="0"/>
    <n v="0"/>
    <n v="1"/>
    <n v="0"/>
    <n v="0"/>
  </r>
  <r>
    <s v="Trapinch"/>
    <x v="403"/>
    <n v="328"/>
    <s v="328_0"/>
    <x v="5"/>
    <n v="0.7"/>
    <n v="15"/>
    <x v="8"/>
    <m/>
    <s v="Hyper Cutter"/>
    <s v="Arena Trap"/>
    <s v="Sheer Force"/>
    <s v="Brown"/>
    <n v="50"/>
    <n v="50"/>
    <n v="0"/>
    <n v="20"/>
    <s v="Bug"/>
    <s v="Dragon"/>
    <n v="255"/>
    <n v="58"/>
    <n v="1059860"/>
    <x v="0"/>
    <m/>
    <m/>
    <n v="45"/>
    <n v="100"/>
    <n v="45"/>
    <n v="45"/>
    <n v="45"/>
    <n v="10"/>
    <n v="290"/>
    <n v="0"/>
    <n v="1"/>
    <n v="0"/>
    <n v="0"/>
    <n v="0"/>
    <n v="0"/>
  </r>
  <r>
    <s v="Vibrava"/>
    <x v="404"/>
    <n v="329"/>
    <s v="329_0"/>
    <x v="5"/>
    <n v="1.1000000000000001"/>
    <n v="15.3"/>
    <x v="8"/>
    <s v="Dragon"/>
    <s v="Levitate"/>
    <m/>
    <m/>
    <s v="Green"/>
    <n v="50"/>
    <n v="50"/>
    <n v="0"/>
    <n v="20"/>
    <s v="Bug"/>
    <s v="Dragon"/>
    <n v="120"/>
    <n v="119"/>
    <n v="1059860"/>
    <x v="0"/>
    <m/>
    <m/>
    <n v="50"/>
    <n v="70"/>
    <n v="50"/>
    <n v="50"/>
    <n v="50"/>
    <n v="70"/>
    <n v="340"/>
    <n v="0"/>
    <n v="1"/>
    <n v="0"/>
    <n v="0"/>
    <n v="0"/>
    <n v="1"/>
  </r>
  <r>
    <s v="Flygon"/>
    <x v="405"/>
    <n v="330"/>
    <s v="330_0"/>
    <x v="5"/>
    <n v="2"/>
    <n v="82"/>
    <x v="8"/>
    <s v="Dragon"/>
    <s v="Levitate"/>
    <m/>
    <m/>
    <s v="Green"/>
    <n v="50"/>
    <n v="50"/>
    <n v="0"/>
    <n v="20"/>
    <s v="Bug"/>
    <s v="Dragon"/>
    <n v="45"/>
    <n v="260"/>
    <n v="1059860"/>
    <x v="0"/>
    <m/>
    <m/>
    <n v="80"/>
    <n v="100"/>
    <n v="80"/>
    <n v="80"/>
    <n v="80"/>
    <n v="100"/>
    <n v="520"/>
    <n v="0"/>
    <n v="1"/>
    <n v="0"/>
    <n v="0"/>
    <n v="0"/>
    <n v="2"/>
  </r>
  <r>
    <s v="Cacnea"/>
    <x v="406"/>
    <n v="331"/>
    <s v="331_0"/>
    <x v="5"/>
    <n v="0.4"/>
    <n v="51.3"/>
    <x v="0"/>
    <m/>
    <s v="Sand Veil"/>
    <m/>
    <s v="Water Absorb"/>
    <s v="Green"/>
    <n v="50"/>
    <n v="50"/>
    <n v="0"/>
    <n v="20"/>
    <s v="Grass"/>
    <s v="Human-Like"/>
    <n v="190"/>
    <n v="67"/>
    <n v="1059860"/>
    <x v="0"/>
    <m/>
    <m/>
    <n v="50"/>
    <n v="85"/>
    <n v="40"/>
    <n v="85"/>
    <n v="40"/>
    <n v="35"/>
    <n v="335"/>
    <n v="0"/>
    <n v="0"/>
    <n v="0"/>
    <n v="1"/>
    <n v="0"/>
    <n v="0"/>
  </r>
  <r>
    <s v="Cacturne"/>
    <x v="407"/>
    <n v="332"/>
    <s v="332_0"/>
    <x v="5"/>
    <n v="1.3"/>
    <n v="77.400000000000006"/>
    <x v="0"/>
    <s v="Dark"/>
    <s v="Sand Veil"/>
    <m/>
    <s v="Water Absorb"/>
    <s v="Green"/>
    <n v="50"/>
    <n v="50"/>
    <n v="0"/>
    <n v="20"/>
    <s v="Grass"/>
    <s v="Human-Like"/>
    <n v="60"/>
    <n v="166"/>
    <n v="1059860"/>
    <x v="0"/>
    <m/>
    <m/>
    <n v="70"/>
    <n v="115"/>
    <n v="60"/>
    <n v="115"/>
    <n v="60"/>
    <n v="55"/>
    <n v="475"/>
    <n v="0"/>
    <n v="1"/>
    <n v="0"/>
    <n v="1"/>
    <n v="0"/>
    <n v="0"/>
  </r>
  <r>
    <s v="Swablu"/>
    <x v="408"/>
    <n v="333"/>
    <s v="333_0"/>
    <x v="5"/>
    <n v="0.4"/>
    <n v="1.2"/>
    <x v="4"/>
    <s v="Flying"/>
    <s v="Natural Cure"/>
    <m/>
    <s v="Cloud Nine"/>
    <s v="Blue"/>
    <n v="50"/>
    <n v="50"/>
    <n v="0"/>
    <n v="20"/>
    <s v="Flying"/>
    <s v="Dragon"/>
    <n v="255"/>
    <n v="62"/>
    <n v="600000"/>
    <x v="0"/>
    <m/>
    <m/>
    <n v="45"/>
    <n v="40"/>
    <n v="60"/>
    <n v="40"/>
    <n v="75"/>
    <n v="50"/>
    <n v="310"/>
    <n v="0"/>
    <n v="0"/>
    <n v="0"/>
    <n v="0"/>
    <n v="1"/>
    <n v="0"/>
  </r>
  <r>
    <s v="Altaria"/>
    <x v="409"/>
    <n v="334"/>
    <s v="334_0"/>
    <x v="5"/>
    <n v="1.1000000000000001"/>
    <n v="20.6"/>
    <x v="16"/>
    <s v="Flying"/>
    <s v="Natural Cure"/>
    <m/>
    <s v="Cloud Nine"/>
    <s v="Blue"/>
    <n v="50"/>
    <n v="50"/>
    <n v="0"/>
    <n v="20"/>
    <s v="Flying"/>
    <s v="Dragon"/>
    <n v="45"/>
    <n v="172"/>
    <n v="600000"/>
    <x v="0"/>
    <m/>
    <m/>
    <n v="75"/>
    <n v="70"/>
    <n v="90"/>
    <n v="70"/>
    <n v="105"/>
    <n v="80"/>
    <n v="490"/>
    <n v="0"/>
    <n v="0"/>
    <n v="0"/>
    <n v="0"/>
    <n v="2"/>
    <n v="0"/>
  </r>
  <r>
    <s v="Altaria"/>
    <x v="410"/>
    <n v="334"/>
    <s v="334_1"/>
    <x v="5"/>
    <n v="1.5"/>
    <n v="20.6"/>
    <x v="16"/>
    <s v="Fairy"/>
    <s v="Pixilate"/>
    <m/>
    <m/>
    <s v="Blue"/>
    <n v="50"/>
    <n v="50"/>
    <n v="0"/>
    <n v="20"/>
    <s v="Flying"/>
    <s v="Dragon"/>
    <n v="45"/>
    <n v="207"/>
    <n v="600000"/>
    <x v="0"/>
    <s v="Mega"/>
    <m/>
    <n v="75"/>
    <n v="110"/>
    <n v="110"/>
    <n v="110"/>
    <n v="105"/>
    <n v="80"/>
    <n v="590"/>
    <n v="0"/>
    <n v="0"/>
    <n v="0"/>
    <n v="0"/>
    <n v="2"/>
    <n v="0"/>
  </r>
  <r>
    <s v="Zangoose"/>
    <x v="411"/>
    <n v="335"/>
    <s v="335_0"/>
    <x v="5"/>
    <n v="1.3"/>
    <n v="40.299999999999997"/>
    <x v="4"/>
    <m/>
    <s v="Immunity"/>
    <m/>
    <s v="Toxic Boost"/>
    <s v="White"/>
    <n v="50"/>
    <n v="50"/>
    <n v="0"/>
    <n v="20"/>
    <s v="Ground"/>
    <m/>
    <n v="90"/>
    <n v="160"/>
    <n v="600000"/>
    <x v="0"/>
    <m/>
    <m/>
    <n v="73"/>
    <n v="115"/>
    <n v="60"/>
    <n v="60"/>
    <n v="60"/>
    <n v="90"/>
    <n v="458"/>
    <n v="0"/>
    <n v="2"/>
    <n v="0"/>
    <n v="0"/>
    <n v="0"/>
    <n v="0"/>
  </r>
  <r>
    <s v="Seviper"/>
    <x v="412"/>
    <n v="336"/>
    <s v="336_0"/>
    <x v="5"/>
    <n v="2.7"/>
    <n v="52.5"/>
    <x v="6"/>
    <m/>
    <s v="Shed Skin"/>
    <m/>
    <s v="Infiltrator"/>
    <s v="Black"/>
    <n v="50"/>
    <n v="50"/>
    <n v="0"/>
    <n v="20"/>
    <s v="Ground"/>
    <s v="Dragon"/>
    <n v="90"/>
    <n v="160"/>
    <n v="1640000"/>
    <x v="0"/>
    <m/>
    <m/>
    <n v="73"/>
    <n v="100"/>
    <n v="60"/>
    <n v="100"/>
    <n v="60"/>
    <n v="65"/>
    <n v="458"/>
    <n v="0"/>
    <n v="1"/>
    <n v="0"/>
    <n v="1"/>
    <n v="0"/>
    <n v="0"/>
  </r>
  <r>
    <s v="Lunatone"/>
    <x v="413"/>
    <n v="337"/>
    <s v="337_0"/>
    <x v="5"/>
    <n v="1"/>
    <n v="168"/>
    <x v="14"/>
    <s v="Psychic"/>
    <s v="Levitate"/>
    <m/>
    <m/>
    <s v="Yellow"/>
    <n v="0"/>
    <n v="0"/>
    <n v="100"/>
    <n v="25"/>
    <s v="Mineral"/>
    <m/>
    <n v="45"/>
    <n v="161"/>
    <n v="800000"/>
    <x v="0"/>
    <m/>
    <m/>
    <n v="90"/>
    <n v="55"/>
    <n v="65"/>
    <n v="95"/>
    <n v="85"/>
    <n v="70"/>
    <n v="460"/>
    <n v="0"/>
    <n v="0"/>
    <n v="0"/>
    <n v="2"/>
    <n v="0"/>
    <n v="0"/>
  </r>
  <r>
    <s v="Solrock"/>
    <x v="414"/>
    <n v="338"/>
    <s v="338_0"/>
    <x v="5"/>
    <n v="1.2"/>
    <n v="154"/>
    <x v="14"/>
    <s v="Psychic"/>
    <s v="Levitate"/>
    <m/>
    <m/>
    <s v="Red"/>
    <n v="0"/>
    <n v="0"/>
    <n v="100"/>
    <n v="25"/>
    <s v="Mineral"/>
    <m/>
    <n v="45"/>
    <n v="161"/>
    <n v="800000"/>
    <x v="0"/>
    <m/>
    <m/>
    <n v="90"/>
    <n v="95"/>
    <n v="85"/>
    <n v="55"/>
    <n v="65"/>
    <n v="70"/>
    <n v="460"/>
    <n v="0"/>
    <n v="2"/>
    <n v="0"/>
    <n v="0"/>
    <n v="0"/>
    <n v="0"/>
  </r>
  <r>
    <s v="Barboach"/>
    <x v="415"/>
    <n v="339"/>
    <s v="339_0"/>
    <x v="5"/>
    <n v="0.4"/>
    <n v="1.9"/>
    <x v="2"/>
    <s v="Ground"/>
    <s v="Oblivious"/>
    <s v="Anticipation"/>
    <s v="Hydration"/>
    <s v="Gray"/>
    <n v="50"/>
    <n v="50"/>
    <n v="0"/>
    <n v="20"/>
    <s v="Water2"/>
    <m/>
    <n v="190"/>
    <n v="58"/>
    <n v="1000000"/>
    <x v="0"/>
    <m/>
    <m/>
    <n v="50"/>
    <n v="48"/>
    <n v="43"/>
    <n v="46"/>
    <n v="41"/>
    <n v="60"/>
    <n v="288"/>
    <n v="1"/>
    <n v="0"/>
    <n v="0"/>
    <n v="0"/>
    <n v="0"/>
    <n v="0"/>
  </r>
  <r>
    <s v="Whiscash"/>
    <x v="416"/>
    <n v="340"/>
    <s v="340_0"/>
    <x v="5"/>
    <n v="0.9"/>
    <n v="23.6"/>
    <x v="2"/>
    <s v="Ground"/>
    <s v="Oblivious"/>
    <s v="Anticipation"/>
    <s v="Hydration"/>
    <s v="Blue"/>
    <n v="50"/>
    <n v="50"/>
    <n v="0"/>
    <n v="20"/>
    <s v="Water2"/>
    <m/>
    <n v="75"/>
    <n v="164"/>
    <n v="1000000"/>
    <x v="0"/>
    <m/>
    <m/>
    <n v="110"/>
    <n v="78"/>
    <n v="73"/>
    <n v="76"/>
    <n v="71"/>
    <n v="60"/>
    <n v="468"/>
    <n v="2"/>
    <n v="0"/>
    <n v="0"/>
    <n v="0"/>
    <n v="0"/>
    <n v="0"/>
  </r>
  <r>
    <s v="Corphish"/>
    <x v="417"/>
    <n v="341"/>
    <s v="341_0"/>
    <x v="5"/>
    <n v="0.6"/>
    <n v="11.5"/>
    <x v="2"/>
    <m/>
    <s v="Hyper Cutter"/>
    <s v="Shell Armor"/>
    <s v="Adaptability"/>
    <s v="Red"/>
    <n v="50"/>
    <n v="50"/>
    <n v="0"/>
    <n v="15"/>
    <s v="Water1"/>
    <s v="Water3"/>
    <n v="205"/>
    <n v="62"/>
    <n v="1640000"/>
    <x v="0"/>
    <m/>
    <m/>
    <n v="43"/>
    <n v="80"/>
    <n v="65"/>
    <n v="50"/>
    <n v="35"/>
    <n v="35"/>
    <n v="308"/>
    <n v="0"/>
    <n v="1"/>
    <n v="0"/>
    <n v="0"/>
    <n v="0"/>
    <n v="0"/>
  </r>
  <r>
    <s v="Crawdaunt"/>
    <x v="418"/>
    <n v="342"/>
    <s v="342_0"/>
    <x v="5"/>
    <n v="1.1000000000000001"/>
    <n v="32.799999999999997"/>
    <x v="2"/>
    <s v="Dark"/>
    <s v="Hyper Cutter"/>
    <s v="Shell Armor"/>
    <s v="Adaptability"/>
    <s v="Red"/>
    <n v="50"/>
    <n v="50"/>
    <n v="0"/>
    <n v="15"/>
    <s v="Water1"/>
    <s v="Water3"/>
    <n v="155"/>
    <n v="164"/>
    <n v="1640000"/>
    <x v="0"/>
    <m/>
    <m/>
    <n v="63"/>
    <n v="120"/>
    <n v="85"/>
    <n v="90"/>
    <n v="55"/>
    <n v="55"/>
    <n v="468"/>
    <n v="0"/>
    <n v="2"/>
    <n v="0"/>
    <n v="0"/>
    <n v="0"/>
    <n v="0"/>
  </r>
  <r>
    <s v="Baltoy"/>
    <x v="419"/>
    <n v="343"/>
    <s v="343_0"/>
    <x v="5"/>
    <n v="0.5"/>
    <n v="21.5"/>
    <x v="8"/>
    <s v="Psychic"/>
    <s v="Levitate"/>
    <m/>
    <m/>
    <s v="Brown"/>
    <n v="0"/>
    <n v="0"/>
    <n v="100"/>
    <n v="20"/>
    <s v="Mineral"/>
    <m/>
    <n v="255"/>
    <n v="60"/>
    <n v="1000000"/>
    <x v="0"/>
    <m/>
    <m/>
    <n v="40"/>
    <n v="40"/>
    <n v="55"/>
    <n v="40"/>
    <n v="70"/>
    <n v="55"/>
    <n v="300"/>
    <n v="0"/>
    <n v="0"/>
    <n v="0"/>
    <n v="0"/>
    <n v="1"/>
    <n v="0"/>
  </r>
  <r>
    <s v="Claydol"/>
    <x v="420"/>
    <n v="344"/>
    <s v="344_0"/>
    <x v="5"/>
    <n v="1.5"/>
    <n v="108"/>
    <x v="8"/>
    <s v="Psychic"/>
    <s v="Levitate"/>
    <m/>
    <m/>
    <s v="Black"/>
    <n v="0"/>
    <n v="0"/>
    <n v="100"/>
    <n v="20"/>
    <s v="Mineral"/>
    <m/>
    <n v="90"/>
    <n v="175"/>
    <n v="1000000"/>
    <x v="0"/>
    <m/>
    <m/>
    <n v="60"/>
    <n v="70"/>
    <n v="105"/>
    <n v="70"/>
    <n v="120"/>
    <n v="75"/>
    <n v="500"/>
    <n v="0"/>
    <n v="0"/>
    <n v="0"/>
    <n v="0"/>
    <n v="2"/>
    <n v="0"/>
  </r>
  <r>
    <s v="Lileep"/>
    <x v="421"/>
    <n v="345"/>
    <s v="345_0"/>
    <x v="5"/>
    <n v="1"/>
    <n v="23.8"/>
    <x v="14"/>
    <s v="Grass"/>
    <s v="Suction Cups"/>
    <m/>
    <s v="Storm Drain"/>
    <s v="Purple"/>
    <n v="87.5"/>
    <n v="12.5"/>
    <n v="0"/>
    <n v="30"/>
    <s v="Water3"/>
    <m/>
    <n v="45"/>
    <n v="71"/>
    <n v="600000"/>
    <x v="0"/>
    <m/>
    <m/>
    <n v="66"/>
    <n v="41"/>
    <n v="77"/>
    <n v="61"/>
    <n v="87"/>
    <n v="23"/>
    <n v="355"/>
    <n v="0"/>
    <n v="0"/>
    <n v="0"/>
    <n v="0"/>
    <n v="1"/>
    <n v="0"/>
  </r>
  <r>
    <s v="Cradily"/>
    <x v="422"/>
    <n v="346"/>
    <s v="346_0"/>
    <x v="5"/>
    <n v="1.5"/>
    <n v="60.4"/>
    <x v="14"/>
    <s v="Grass"/>
    <s v="Suction Cups"/>
    <m/>
    <s v="Storm Drain"/>
    <s v="Green"/>
    <n v="87.5"/>
    <n v="12.5"/>
    <n v="0"/>
    <n v="30"/>
    <s v="Water3"/>
    <m/>
    <n v="45"/>
    <n v="173"/>
    <n v="600000"/>
    <x v="0"/>
    <m/>
    <m/>
    <n v="86"/>
    <n v="81"/>
    <n v="97"/>
    <n v="81"/>
    <n v="107"/>
    <n v="43"/>
    <n v="495"/>
    <n v="0"/>
    <n v="0"/>
    <n v="0"/>
    <n v="0"/>
    <n v="2"/>
    <n v="0"/>
  </r>
  <r>
    <s v="Anorith"/>
    <x v="423"/>
    <n v="347"/>
    <s v="347_0"/>
    <x v="5"/>
    <n v="0.7"/>
    <n v="12.5"/>
    <x v="14"/>
    <s v="Bug"/>
    <s v="Battle Armor"/>
    <m/>
    <s v="Swift Swim"/>
    <s v="Gray"/>
    <n v="87.5"/>
    <n v="12.5"/>
    <n v="0"/>
    <n v="30"/>
    <s v="Water3"/>
    <m/>
    <n v="45"/>
    <n v="71"/>
    <n v="600000"/>
    <x v="0"/>
    <m/>
    <m/>
    <n v="45"/>
    <n v="95"/>
    <n v="50"/>
    <n v="40"/>
    <n v="50"/>
    <n v="75"/>
    <n v="355"/>
    <n v="0"/>
    <n v="1"/>
    <n v="0"/>
    <n v="0"/>
    <n v="0"/>
    <n v="0"/>
  </r>
  <r>
    <s v="Armaldo"/>
    <x v="424"/>
    <n v="348"/>
    <s v="348_0"/>
    <x v="5"/>
    <n v="1.5"/>
    <n v="68.2"/>
    <x v="14"/>
    <s v="Bug"/>
    <s v="Battle Armor"/>
    <m/>
    <s v="Swift Swim"/>
    <s v="Gray"/>
    <n v="87.5"/>
    <n v="12.5"/>
    <n v="0"/>
    <n v="30"/>
    <s v="Water3"/>
    <m/>
    <n v="45"/>
    <n v="173"/>
    <n v="600000"/>
    <x v="0"/>
    <m/>
    <m/>
    <n v="75"/>
    <n v="125"/>
    <n v="100"/>
    <n v="70"/>
    <n v="80"/>
    <n v="45"/>
    <n v="495"/>
    <n v="0"/>
    <n v="2"/>
    <n v="0"/>
    <n v="0"/>
    <n v="0"/>
    <n v="0"/>
  </r>
  <r>
    <s v="Feebas"/>
    <x v="425"/>
    <n v="349"/>
    <s v="349_0"/>
    <x v="5"/>
    <n v="0.6"/>
    <n v="7.4"/>
    <x v="2"/>
    <m/>
    <s v="Swift Swim"/>
    <s v="Oblivious"/>
    <s v="Adaptability"/>
    <s v="Brown"/>
    <n v="50"/>
    <n v="50"/>
    <n v="0"/>
    <n v="20"/>
    <s v="Water1"/>
    <s v="Dragon"/>
    <n v="255"/>
    <n v="40"/>
    <n v="600000"/>
    <x v="0"/>
    <m/>
    <m/>
    <n v="20"/>
    <n v="15"/>
    <n v="20"/>
    <n v="10"/>
    <n v="55"/>
    <n v="80"/>
    <n v="200"/>
    <n v="0"/>
    <n v="0"/>
    <n v="0"/>
    <n v="0"/>
    <n v="0"/>
    <n v="1"/>
  </r>
  <r>
    <s v="Milotic"/>
    <x v="426"/>
    <n v="350"/>
    <s v="350_0"/>
    <x v="5"/>
    <n v="6.2"/>
    <n v="162"/>
    <x v="2"/>
    <m/>
    <s v="Marvel Scale"/>
    <s v="Competitive"/>
    <s v="Cute Charm"/>
    <s v="Pink"/>
    <n v="50"/>
    <n v="50"/>
    <n v="0"/>
    <n v="20"/>
    <s v="Water1"/>
    <s v="Dragon"/>
    <n v="60"/>
    <n v="189"/>
    <n v="600000"/>
    <x v="0"/>
    <m/>
    <m/>
    <n v="95"/>
    <n v="60"/>
    <n v="79"/>
    <n v="100"/>
    <n v="125"/>
    <n v="81"/>
    <n v="540"/>
    <n v="0"/>
    <n v="0"/>
    <n v="0"/>
    <n v="0"/>
    <n v="2"/>
    <n v="0"/>
  </r>
  <r>
    <s v="Castform"/>
    <x v="427"/>
    <n v="351"/>
    <s v="351_0"/>
    <x v="5"/>
    <n v="0.3"/>
    <n v="0.8"/>
    <x v="4"/>
    <m/>
    <s v="Forecast"/>
    <m/>
    <m/>
    <s v="Gray"/>
    <n v="50"/>
    <n v="50"/>
    <n v="0"/>
    <n v="25"/>
    <s v="Fairy"/>
    <s v="Amorphous"/>
    <n v="45"/>
    <n v="147"/>
    <n v="1000000"/>
    <x v="0"/>
    <m/>
    <m/>
    <n v="70"/>
    <n v="70"/>
    <n v="70"/>
    <n v="70"/>
    <n v="70"/>
    <n v="70"/>
    <n v="420"/>
    <n v="1"/>
    <n v="0"/>
    <n v="0"/>
    <n v="0"/>
    <n v="0"/>
    <n v="0"/>
  </r>
  <r>
    <s v="Castform"/>
    <x v="428"/>
    <n v="351"/>
    <s v="351_1"/>
    <x v="5"/>
    <n v="0.3"/>
    <n v="0.8"/>
    <x v="4"/>
    <m/>
    <s v="Forecast"/>
    <m/>
    <m/>
    <s v="Red"/>
    <n v="50"/>
    <n v="50"/>
    <n v="0"/>
    <n v="25"/>
    <s v="Fairy"/>
    <s v="Amorphous"/>
    <n v="45"/>
    <n v="147"/>
    <n v="1000000"/>
    <x v="0"/>
    <m/>
    <m/>
    <n v="70"/>
    <n v="70"/>
    <n v="70"/>
    <n v="70"/>
    <n v="70"/>
    <n v="70"/>
    <n v="420"/>
    <n v="1"/>
    <n v="0"/>
    <n v="0"/>
    <n v="0"/>
    <n v="0"/>
    <n v="0"/>
  </r>
  <r>
    <s v="Castform"/>
    <x v="429"/>
    <n v="351"/>
    <s v="351_2"/>
    <x v="5"/>
    <n v="0.3"/>
    <n v="0.8"/>
    <x v="4"/>
    <m/>
    <s v="Forecast"/>
    <m/>
    <m/>
    <s v="Blue"/>
    <n v="50"/>
    <n v="50"/>
    <n v="0"/>
    <n v="25"/>
    <s v="Fairy"/>
    <s v="Amorphous"/>
    <n v="45"/>
    <n v="147"/>
    <n v="1000000"/>
    <x v="0"/>
    <m/>
    <m/>
    <n v="70"/>
    <n v="70"/>
    <n v="70"/>
    <n v="70"/>
    <n v="70"/>
    <n v="70"/>
    <n v="420"/>
    <n v="1"/>
    <n v="0"/>
    <n v="0"/>
    <n v="0"/>
    <n v="0"/>
    <n v="0"/>
  </r>
  <r>
    <s v="Castform"/>
    <x v="430"/>
    <n v="351"/>
    <s v="351_3"/>
    <x v="5"/>
    <n v="0.3"/>
    <n v="0.8"/>
    <x v="4"/>
    <m/>
    <s v="Forecast"/>
    <m/>
    <m/>
    <s v="White"/>
    <n v="50"/>
    <n v="50"/>
    <n v="0"/>
    <n v="25"/>
    <s v="Fairy"/>
    <s v="Amorphous"/>
    <n v="45"/>
    <n v="147"/>
    <n v="1000000"/>
    <x v="0"/>
    <m/>
    <m/>
    <n v="70"/>
    <n v="70"/>
    <n v="70"/>
    <n v="70"/>
    <n v="70"/>
    <n v="70"/>
    <n v="420"/>
    <n v="1"/>
    <n v="0"/>
    <n v="0"/>
    <n v="0"/>
    <n v="0"/>
    <n v="0"/>
  </r>
  <r>
    <s v="Kecleon"/>
    <x v="431"/>
    <n v="352"/>
    <s v="352_0"/>
    <x v="5"/>
    <n v="1"/>
    <n v="22"/>
    <x v="4"/>
    <m/>
    <s v="Color Change"/>
    <m/>
    <s v="Protean"/>
    <s v="Green"/>
    <n v="50"/>
    <n v="50"/>
    <n v="0"/>
    <n v="20"/>
    <s v="Ground"/>
    <m/>
    <n v="200"/>
    <n v="154"/>
    <n v="1059860"/>
    <x v="0"/>
    <m/>
    <m/>
    <n v="60"/>
    <n v="90"/>
    <n v="70"/>
    <n v="60"/>
    <n v="120"/>
    <n v="40"/>
    <n v="440"/>
    <n v="0"/>
    <n v="0"/>
    <n v="0"/>
    <n v="0"/>
    <n v="1"/>
    <n v="0"/>
  </r>
  <r>
    <s v="Shuppet"/>
    <x v="432"/>
    <n v="353"/>
    <s v="353_0"/>
    <x v="5"/>
    <n v="0.6"/>
    <n v="2.2999999999999998"/>
    <x v="15"/>
    <m/>
    <s v="Insomnia"/>
    <s v="Frisk"/>
    <s v="Cursed Body"/>
    <s v="Black"/>
    <n v="50"/>
    <n v="50"/>
    <n v="0"/>
    <n v="25"/>
    <s v="Amorphous"/>
    <m/>
    <n v="225"/>
    <n v="59"/>
    <n v="800000"/>
    <x v="0"/>
    <m/>
    <m/>
    <n v="44"/>
    <n v="75"/>
    <n v="35"/>
    <n v="63"/>
    <n v="33"/>
    <n v="45"/>
    <n v="295"/>
    <n v="0"/>
    <n v="1"/>
    <n v="0"/>
    <n v="0"/>
    <n v="0"/>
    <n v="0"/>
  </r>
  <r>
    <s v="Banette"/>
    <x v="433"/>
    <n v="354"/>
    <s v="354_0"/>
    <x v="5"/>
    <n v="1.1000000000000001"/>
    <n v="12.5"/>
    <x v="15"/>
    <m/>
    <s v="Insomnia"/>
    <s v="Frisk"/>
    <s v="Cursed Body"/>
    <s v="Black"/>
    <n v="50"/>
    <n v="50"/>
    <n v="0"/>
    <n v="25"/>
    <s v="Amorphous"/>
    <m/>
    <n v="45"/>
    <n v="159"/>
    <n v="800000"/>
    <x v="0"/>
    <m/>
    <m/>
    <n v="64"/>
    <n v="115"/>
    <n v="65"/>
    <n v="83"/>
    <n v="63"/>
    <n v="65"/>
    <n v="455"/>
    <n v="0"/>
    <n v="2"/>
    <n v="0"/>
    <n v="0"/>
    <n v="0"/>
    <n v="0"/>
  </r>
  <r>
    <s v="Banette"/>
    <x v="434"/>
    <n v="354"/>
    <s v="354_1"/>
    <x v="5"/>
    <n v="1.2"/>
    <n v="13"/>
    <x v="15"/>
    <m/>
    <s v="Prankster"/>
    <m/>
    <m/>
    <s v="Black"/>
    <n v="50"/>
    <n v="50"/>
    <n v="0"/>
    <n v="25"/>
    <s v="Amorphous"/>
    <m/>
    <n v="45"/>
    <n v="194"/>
    <n v="800000"/>
    <x v="0"/>
    <s v="Mega"/>
    <m/>
    <n v="64"/>
    <n v="165"/>
    <n v="75"/>
    <n v="93"/>
    <n v="83"/>
    <n v="75"/>
    <n v="555"/>
    <n v="0"/>
    <n v="2"/>
    <n v="0"/>
    <n v="0"/>
    <n v="0"/>
    <n v="0"/>
  </r>
  <r>
    <s v="Duskull"/>
    <x v="435"/>
    <n v="355"/>
    <s v="355_0"/>
    <x v="5"/>
    <n v="0.8"/>
    <n v="15"/>
    <x v="15"/>
    <m/>
    <s v="Levitate"/>
    <m/>
    <s v="Frisk"/>
    <s v="Black"/>
    <n v="50"/>
    <n v="50"/>
    <n v="0"/>
    <n v="25"/>
    <s v="Amorphous"/>
    <m/>
    <n v="190"/>
    <n v="59"/>
    <n v="800000"/>
    <x v="0"/>
    <m/>
    <m/>
    <n v="20"/>
    <n v="40"/>
    <n v="90"/>
    <n v="30"/>
    <n v="90"/>
    <n v="25"/>
    <n v="295"/>
    <n v="0"/>
    <n v="0"/>
    <n v="0"/>
    <n v="0"/>
    <n v="1"/>
    <n v="0"/>
  </r>
  <r>
    <s v="Dusclops"/>
    <x v="436"/>
    <n v="356"/>
    <s v="356_0"/>
    <x v="5"/>
    <n v="1.6"/>
    <n v="30.6"/>
    <x v="15"/>
    <m/>
    <s v="Pressure"/>
    <m/>
    <s v="Frisk"/>
    <s v="Black"/>
    <n v="50"/>
    <n v="50"/>
    <n v="0"/>
    <n v="25"/>
    <s v="Amorphous"/>
    <m/>
    <n v="90"/>
    <n v="159"/>
    <n v="800000"/>
    <x v="0"/>
    <m/>
    <m/>
    <n v="40"/>
    <n v="70"/>
    <n v="130"/>
    <n v="60"/>
    <n v="130"/>
    <n v="25"/>
    <n v="455"/>
    <n v="0"/>
    <n v="0"/>
    <n v="1"/>
    <n v="0"/>
    <n v="1"/>
    <n v="0"/>
  </r>
  <r>
    <s v="Tropius"/>
    <x v="437"/>
    <n v="357"/>
    <s v="357_0"/>
    <x v="5"/>
    <n v="2"/>
    <n v="100"/>
    <x v="0"/>
    <s v="Flying"/>
    <s v="Chlorophyll"/>
    <s v="Solar Power"/>
    <s v="Harvest"/>
    <s v="Green"/>
    <n v="50"/>
    <n v="50"/>
    <n v="0"/>
    <n v="25"/>
    <s v="Monster"/>
    <s v="Grass"/>
    <n v="200"/>
    <n v="161"/>
    <n v="1250000"/>
    <x v="0"/>
    <m/>
    <m/>
    <n v="99"/>
    <n v="68"/>
    <n v="83"/>
    <n v="72"/>
    <n v="87"/>
    <n v="51"/>
    <n v="460"/>
    <n v="2"/>
    <n v="0"/>
    <n v="0"/>
    <n v="0"/>
    <n v="0"/>
    <n v="0"/>
  </r>
  <r>
    <s v="Chimecho"/>
    <x v="438"/>
    <n v="358"/>
    <s v="358_0"/>
    <x v="5"/>
    <n v="0.6"/>
    <n v="1"/>
    <x v="13"/>
    <m/>
    <s v="Levitate"/>
    <m/>
    <m/>
    <s v="Blue"/>
    <n v="50"/>
    <n v="50"/>
    <n v="0"/>
    <n v="25"/>
    <s v="Amorphous"/>
    <m/>
    <n v="45"/>
    <n v="159"/>
    <n v="800000"/>
    <x v="0"/>
    <m/>
    <m/>
    <n v="75"/>
    <n v="50"/>
    <n v="80"/>
    <n v="95"/>
    <n v="90"/>
    <n v="65"/>
    <n v="455"/>
    <n v="0"/>
    <n v="0"/>
    <n v="0"/>
    <n v="1"/>
    <n v="1"/>
    <n v="0"/>
  </r>
  <r>
    <s v="Absol"/>
    <x v="439"/>
    <n v="359"/>
    <s v="359_0"/>
    <x v="5"/>
    <n v="1.2"/>
    <n v="47"/>
    <x v="5"/>
    <m/>
    <s v="Pressure"/>
    <s v="Super Luck"/>
    <s v="Justified"/>
    <s v="White"/>
    <n v="50"/>
    <n v="50"/>
    <n v="0"/>
    <n v="25"/>
    <s v="Ground"/>
    <m/>
    <n v="30"/>
    <n v="163"/>
    <n v="1059860"/>
    <x v="0"/>
    <m/>
    <m/>
    <n v="65"/>
    <n v="130"/>
    <n v="60"/>
    <n v="75"/>
    <n v="60"/>
    <n v="75"/>
    <n v="465"/>
    <n v="0"/>
    <n v="2"/>
    <n v="0"/>
    <n v="0"/>
    <n v="0"/>
    <n v="0"/>
  </r>
  <r>
    <s v="Absol"/>
    <x v="440"/>
    <n v="359"/>
    <s v="359_1"/>
    <x v="5"/>
    <n v="1.2"/>
    <n v="49"/>
    <x v="5"/>
    <m/>
    <s v="Magic Bounce"/>
    <m/>
    <m/>
    <s v="White"/>
    <n v="50"/>
    <n v="50"/>
    <n v="0"/>
    <n v="25"/>
    <s v="Ground"/>
    <m/>
    <n v="30"/>
    <n v="198"/>
    <n v="1059860"/>
    <x v="0"/>
    <s v="Mega"/>
    <m/>
    <n v="65"/>
    <n v="150"/>
    <n v="60"/>
    <n v="115"/>
    <n v="60"/>
    <n v="115"/>
    <n v="565"/>
    <n v="0"/>
    <n v="2"/>
    <n v="0"/>
    <n v="0"/>
    <n v="0"/>
    <n v="0"/>
  </r>
  <r>
    <s v="Wynaut"/>
    <x v="441"/>
    <n v="360"/>
    <s v="360_0"/>
    <x v="5"/>
    <n v="0.6"/>
    <n v="14"/>
    <x v="13"/>
    <m/>
    <s v="Shadow Tag"/>
    <m/>
    <s v="Telepathy"/>
    <s v="Blue"/>
    <n v="50"/>
    <n v="50"/>
    <n v="0"/>
    <n v="20"/>
    <s v="Undiscovered"/>
    <m/>
    <n v="125"/>
    <n v="52"/>
    <n v="1000000"/>
    <x v="0"/>
    <m/>
    <m/>
    <n v="95"/>
    <n v="23"/>
    <n v="48"/>
    <n v="23"/>
    <n v="48"/>
    <n v="23"/>
    <n v="260"/>
    <n v="1"/>
    <n v="0"/>
    <n v="0"/>
    <n v="0"/>
    <n v="0"/>
    <n v="0"/>
  </r>
  <r>
    <s v="Snorunt"/>
    <x v="442"/>
    <n v="361"/>
    <s v="361_0"/>
    <x v="5"/>
    <n v="0.7"/>
    <n v="16.8"/>
    <x v="9"/>
    <m/>
    <s v="Inner Focus"/>
    <s v="Ice Body"/>
    <s v="Moody"/>
    <s v="Gray"/>
    <n v="50"/>
    <n v="50"/>
    <n v="0"/>
    <n v="20"/>
    <s v="Fairy"/>
    <s v="Mineral"/>
    <n v="190"/>
    <n v="60"/>
    <n v="1000000"/>
    <x v="0"/>
    <m/>
    <m/>
    <n v="50"/>
    <n v="50"/>
    <n v="50"/>
    <n v="50"/>
    <n v="50"/>
    <n v="50"/>
    <n v="300"/>
    <n v="1"/>
    <n v="0"/>
    <n v="0"/>
    <n v="0"/>
    <n v="0"/>
    <n v="0"/>
  </r>
  <r>
    <s v="Glalie"/>
    <x v="443"/>
    <n v="362"/>
    <s v="362_0"/>
    <x v="5"/>
    <n v="1.5"/>
    <n v="256.5"/>
    <x v="9"/>
    <m/>
    <s v="Inner Focus"/>
    <s v="Ice Body"/>
    <s v="Moody"/>
    <s v="Gray"/>
    <n v="50"/>
    <n v="50"/>
    <n v="0"/>
    <n v="20"/>
    <s v="Fairy"/>
    <s v="Mineral"/>
    <n v="75"/>
    <n v="168"/>
    <n v="1000000"/>
    <x v="0"/>
    <m/>
    <m/>
    <n v="80"/>
    <n v="80"/>
    <n v="80"/>
    <n v="80"/>
    <n v="80"/>
    <n v="80"/>
    <n v="480"/>
    <n v="2"/>
    <n v="0"/>
    <n v="0"/>
    <n v="0"/>
    <n v="0"/>
    <n v="0"/>
  </r>
  <r>
    <s v="Glalie"/>
    <x v="444"/>
    <n v="362"/>
    <s v="362_1"/>
    <x v="5"/>
    <n v="2.1"/>
    <n v="350.2"/>
    <x v="9"/>
    <m/>
    <s v="Refrigerate"/>
    <m/>
    <m/>
    <s v="Gray"/>
    <n v="50"/>
    <n v="50"/>
    <n v="0"/>
    <n v="20"/>
    <s v="Fairy"/>
    <s v="Mineral"/>
    <n v="75"/>
    <n v="203"/>
    <n v="1000000"/>
    <x v="0"/>
    <s v="Mega"/>
    <m/>
    <n v="80"/>
    <n v="120"/>
    <n v="80"/>
    <n v="120"/>
    <n v="80"/>
    <n v="100"/>
    <n v="580"/>
    <n v="2"/>
    <n v="0"/>
    <n v="0"/>
    <n v="0"/>
    <n v="0"/>
    <n v="0"/>
  </r>
  <r>
    <s v="Spheal"/>
    <x v="445"/>
    <n v="363"/>
    <s v="363_0"/>
    <x v="5"/>
    <n v="0.8"/>
    <n v="39.5"/>
    <x v="9"/>
    <s v="Water"/>
    <s v="Thick Fat"/>
    <s v="Ice Body"/>
    <s v="Oblivious"/>
    <s v="Blue"/>
    <n v="50"/>
    <n v="50"/>
    <n v="0"/>
    <n v="20"/>
    <s v="Water1"/>
    <s v="Ground"/>
    <n v="255"/>
    <n v="58"/>
    <n v="1059860"/>
    <x v="0"/>
    <m/>
    <m/>
    <n v="70"/>
    <n v="40"/>
    <n v="50"/>
    <n v="55"/>
    <n v="50"/>
    <n v="25"/>
    <n v="290"/>
    <n v="1"/>
    <n v="0"/>
    <n v="0"/>
    <n v="0"/>
    <n v="0"/>
    <n v="0"/>
  </r>
  <r>
    <s v="Sealeo"/>
    <x v="446"/>
    <n v="364"/>
    <s v="364_0"/>
    <x v="5"/>
    <n v="1.1000000000000001"/>
    <n v="87.6"/>
    <x v="9"/>
    <s v="Water"/>
    <s v="Thick Fat"/>
    <s v="Ice Body"/>
    <s v="Oblivious"/>
    <s v="Blue"/>
    <n v="50"/>
    <n v="50"/>
    <n v="0"/>
    <n v="20"/>
    <s v="Water1"/>
    <s v="Ground"/>
    <n v="120"/>
    <n v="144"/>
    <n v="1059860"/>
    <x v="0"/>
    <m/>
    <m/>
    <n v="90"/>
    <n v="60"/>
    <n v="70"/>
    <n v="75"/>
    <n v="70"/>
    <n v="45"/>
    <n v="410"/>
    <n v="2"/>
    <n v="0"/>
    <n v="0"/>
    <n v="0"/>
    <n v="0"/>
    <n v="0"/>
  </r>
  <r>
    <s v="Walrein"/>
    <x v="447"/>
    <n v="365"/>
    <s v="365_0"/>
    <x v="5"/>
    <n v="1.4"/>
    <n v="150.6"/>
    <x v="9"/>
    <s v="Water"/>
    <s v="Thick Fat"/>
    <s v="Ice Body"/>
    <s v="Oblivious"/>
    <s v="Blue"/>
    <n v="50"/>
    <n v="50"/>
    <n v="0"/>
    <n v="20"/>
    <s v="Water1"/>
    <s v="Ground"/>
    <n v="45"/>
    <n v="265"/>
    <n v="1059860"/>
    <x v="0"/>
    <m/>
    <m/>
    <n v="110"/>
    <n v="80"/>
    <n v="90"/>
    <n v="95"/>
    <n v="90"/>
    <n v="65"/>
    <n v="530"/>
    <n v="3"/>
    <n v="0"/>
    <n v="0"/>
    <n v="0"/>
    <n v="0"/>
    <n v="0"/>
  </r>
  <r>
    <s v="Clamperl"/>
    <x v="448"/>
    <n v="366"/>
    <s v="366_0"/>
    <x v="5"/>
    <n v="0.4"/>
    <n v="52.5"/>
    <x v="2"/>
    <m/>
    <s v="Shell Armor"/>
    <m/>
    <s v="Rattled"/>
    <s v="Blue"/>
    <n v="50"/>
    <n v="50"/>
    <n v="0"/>
    <n v="20"/>
    <s v="Water1"/>
    <m/>
    <n v="255"/>
    <n v="69"/>
    <n v="600000"/>
    <x v="0"/>
    <m/>
    <m/>
    <n v="35"/>
    <n v="64"/>
    <n v="85"/>
    <n v="74"/>
    <n v="55"/>
    <n v="32"/>
    <n v="345"/>
    <n v="0"/>
    <n v="0"/>
    <n v="1"/>
    <n v="0"/>
    <n v="0"/>
    <n v="0"/>
  </r>
  <r>
    <s v="Huntail"/>
    <x v="449"/>
    <n v="367"/>
    <s v="367_0"/>
    <x v="5"/>
    <n v="1.7"/>
    <n v="27"/>
    <x v="2"/>
    <m/>
    <s v="Swift Swim"/>
    <m/>
    <s v="Water Veil"/>
    <s v="Blue"/>
    <n v="50"/>
    <n v="50"/>
    <n v="0"/>
    <n v="20"/>
    <s v="Water1"/>
    <m/>
    <n v="60"/>
    <n v="170"/>
    <n v="600000"/>
    <x v="0"/>
    <m/>
    <m/>
    <n v="55"/>
    <n v="104"/>
    <n v="105"/>
    <n v="94"/>
    <n v="75"/>
    <n v="52"/>
    <n v="485"/>
    <n v="0"/>
    <n v="1"/>
    <n v="1"/>
    <n v="0"/>
    <n v="0"/>
    <n v="0"/>
  </r>
  <r>
    <s v="Gorebyss"/>
    <x v="450"/>
    <n v="368"/>
    <s v="368_0"/>
    <x v="5"/>
    <n v="1.8"/>
    <n v="22.6"/>
    <x v="2"/>
    <m/>
    <s v="Swift Swim"/>
    <m/>
    <s v="Hydration"/>
    <s v="Pink"/>
    <n v="50"/>
    <n v="50"/>
    <n v="0"/>
    <n v="20"/>
    <s v="Water1"/>
    <m/>
    <n v="60"/>
    <n v="170"/>
    <n v="600000"/>
    <x v="0"/>
    <m/>
    <m/>
    <n v="55"/>
    <n v="84"/>
    <n v="105"/>
    <n v="114"/>
    <n v="75"/>
    <n v="52"/>
    <n v="485"/>
    <n v="0"/>
    <n v="0"/>
    <n v="0"/>
    <n v="2"/>
    <n v="0"/>
    <n v="0"/>
  </r>
  <r>
    <s v="Relicanth"/>
    <x v="451"/>
    <n v="369"/>
    <s v="369_0"/>
    <x v="5"/>
    <n v="1"/>
    <n v="23.4"/>
    <x v="2"/>
    <s v="Rock"/>
    <s v="Swift Swim"/>
    <s v="Rock Head"/>
    <s v="Sturdy"/>
    <s v="Gray"/>
    <n v="87.5"/>
    <n v="12.5"/>
    <n v="0"/>
    <n v="40"/>
    <s v="Water1"/>
    <s v="Water2"/>
    <n v="25"/>
    <n v="170"/>
    <n v="1250000"/>
    <x v="0"/>
    <m/>
    <m/>
    <n v="100"/>
    <n v="90"/>
    <n v="130"/>
    <n v="45"/>
    <n v="65"/>
    <n v="55"/>
    <n v="485"/>
    <n v="1"/>
    <n v="0"/>
    <n v="1"/>
    <n v="0"/>
    <n v="0"/>
    <n v="0"/>
  </r>
  <r>
    <s v="Luvdisc"/>
    <x v="452"/>
    <n v="370"/>
    <s v="370_0"/>
    <x v="5"/>
    <n v="0.6"/>
    <n v="8.6999999999999993"/>
    <x v="2"/>
    <m/>
    <s v="Swift Swim"/>
    <m/>
    <s v="Hydration"/>
    <s v="Pink"/>
    <n v="25"/>
    <n v="75"/>
    <n v="0"/>
    <n v="20"/>
    <s v="Water2"/>
    <m/>
    <n v="225"/>
    <n v="116"/>
    <n v="800000"/>
    <x v="0"/>
    <m/>
    <m/>
    <n v="43"/>
    <n v="30"/>
    <n v="55"/>
    <n v="40"/>
    <n v="65"/>
    <n v="97"/>
    <n v="330"/>
    <n v="0"/>
    <n v="0"/>
    <n v="0"/>
    <n v="0"/>
    <n v="0"/>
    <n v="1"/>
  </r>
  <r>
    <s v="Bagon"/>
    <x v="453"/>
    <n v="371"/>
    <s v="371_0"/>
    <x v="5"/>
    <n v="0.6"/>
    <n v="42.1"/>
    <x v="16"/>
    <m/>
    <s v="Rock Head"/>
    <m/>
    <s v="Sheer Force"/>
    <s v="Blue"/>
    <n v="50"/>
    <n v="50"/>
    <n v="0"/>
    <n v="40"/>
    <s v="Dragon"/>
    <m/>
    <n v="45"/>
    <n v="60"/>
    <n v="1250000"/>
    <x v="0"/>
    <m/>
    <m/>
    <n v="45"/>
    <n v="75"/>
    <n v="60"/>
    <n v="40"/>
    <n v="30"/>
    <n v="50"/>
    <n v="300"/>
    <n v="0"/>
    <n v="1"/>
    <n v="0"/>
    <n v="0"/>
    <n v="0"/>
    <n v="0"/>
  </r>
  <r>
    <s v="Shelgon"/>
    <x v="454"/>
    <n v="372"/>
    <s v="372_0"/>
    <x v="5"/>
    <n v="1.1000000000000001"/>
    <n v="110.5"/>
    <x v="16"/>
    <m/>
    <s v="Rock Head"/>
    <m/>
    <s v="Overcoat"/>
    <s v="White"/>
    <n v="50"/>
    <n v="50"/>
    <n v="0"/>
    <n v="40"/>
    <s v="Dragon"/>
    <m/>
    <n v="45"/>
    <n v="147"/>
    <n v="1250000"/>
    <x v="0"/>
    <m/>
    <m/>
    <n v="65"/>
    <n v="95"/>
    <n v="100"/>
    <n v="60"/>
    <n v="50"/>
    <n v="50"/>
    <n v="420"/>
    <n v="0"/>
    <n v="0"/>
    <n v="2"/>
    <n v="0"/>
    <n v="0"/>
    <n v="0"/>
  </r>
  <r>
    <s v="Salamence"/>
    <x v="455"/>
    <n v="373"/>
    <s v="373_0"/>
    <x v="5"/>
    <n v="1.5"/>
    <n v="102.6"/>
    <x v="16"/>
    <s v="Flying"/>
    <s v="Intimidate"/>
    <m/>
    <s v="Moxie"/>
    <s v="Blue"/>
    <n v="50"/>
    <n v="50"/>
    <n v="0"/>
    <n v="40"/>
    <s v="Dragon"/>
    <m/>
    <n v="45"/>
    <n v="300"/>
    <n v="1250000"/>
    <x v="0"/>
    <m/>
    <m/>
    <n v="95"/>
    <n v="135"/>
    <n v="80"/>
    <n v="110"/>
    <n v="80"/>
    <n v="100"/>
    <n v="600"/>
    <n v="0"/>
    <n v="3"/>
    <n v="0"/>
    <n v="0"/>
    <n v="0"/>
    <n v="0"/>
  </r>
  <r>
    <s v="Salamence"/>
    <x v="456"/>
    <n v="373"/>
    <s v="373_1"/>
    <x v="5"/>
    <n v="1.8"/>
    <n v="112.6"/>
    <x v="16"/>
    <s v="Flying"/>
    <s v="Aerilate"/>
    <m/>
    <m/>
    <s v="Blue"/>
    <n v="50"/>
    <n v="50"/>
    <n v="0"/>
    <n v="40"/>
    <s v="Dragon"/>
    <m/>
    <n v="45"/>
    <n v="315"/>
    <n v="1250000"/>
    <x v="0"/>
    <s v="Mega"/>
    <m/>
    <n v="95"/>
    <n v="145"/>
    <n v="130"/>
    <n v="120"/>
    <n v="90"/>
    <n v="120"/>
    <n v="700"/>
    <n v="0"/>
    <n v="3"/>
    <n v="0"/>
    <n v="0"/>
    <n v="0"/>
    <n v="0"/>
  </r>
  <r>
    <s v="Beldum"/>
    <x v="457"/>
    <n v="374"/>
    <s v="374_0"/>
    <x v="5"/>
    <n v="0.6"/>
    <n v="95.2"/>
    <x v="11"/>
    <s v="Psychic"/>
    <s v="Clear Body"/>
    <m/>
    <s v="Light Metal"/>
    <s v="Blue"/>
    <n v="0"/>
    <n v="0"/>
    <n v="100"/>
    <n v="40"/>
    <s v="Mineral"/>
    <m/>
    <n v="3"/>
    <n v="60"/>
    <n v="1250000"/>
    <x v="0"/>
    <m/>
    <m/>
    <n v="40"/>
    <n v="55"/>
    <n v="80"/>
    <n v="35"/>
    <n v="60"/>
    <n v="30"/>
    <n v="300"/>
    <n v="0"/>
    <n v="0"/>
    <n v="1"/>
    <n v="0"/>
    <n v="0"/>
    <n v="0"/>
  </r>
  <r>
    <s v="Metang"/>
    <x v="458"/>
    <n v="375"/>
    <s v="375_0"/>
    <x v="5"/>
    <n v="1.2"/>
    <n v="202.5"/>
    <x v="11"/>
    <s v="Psychic"/>
    <s v="Clear Body"/>
    <m/>
    <s v="Light Metal"/>
    <s v="Blue"/>
    <n v="0"/>
    <n v="0"/>
    <n v="100"/>
    <n v="40"/>
    <s v="Mineral"/>
    <m/>
    <n v="3"/>
    <n v="147"/>
    <n v="1250000"/>
    <x v="0"/>
    <m/>
    <m/>
    <n v="60"/>
    <n v="75"/>
    <n v="100"/>
    <n v="55"/>
    <n v="80"/>
    <n v="50"/>
    <n v="420"/>
    <n v="0"/>
    <n v="0"/>
    <n v="2"/>
    <n v="0"/>
    <n v="0"/>
    <n v="0"/>
  </r>
  <r>
    <s v="Metagross"/>
    <x v="459"/>
    <n v="376"/>
    <s v="376_0"/>
    <x v="5"/>
    <n v="1.6"/>
    <n v="550"/>
    <x v="11"/>
    <s v="Psychic"/>
    <s v="Clear Body"/>
    <m/>
    <s v="Light Metal"/>
    <s v="Blue"/>
    <n v="0"/>
    <n v="0"/>
    <n v="100"/>
    <n v="40"/>
    <s v="Mineral"/>
    <m/>
    <n v="3"/>
    <n v="300"/>
    <n v="1250000"/>
    <x v="0"/>
    <m/>
    <m/>
    <n v="80"/>
    <n v="135"/>
    <n v="130"/>
    <n v="95"/>
    <n v="90"/>
    <n v="70"/>
    <n v="600"/>
    <n v="0"/>
    <n v="0"/>
    <n v="3"/>
    <n v="0"/>
    <n v="0"/>
    <n v="0"/>
  </r>
  <r>
    <s v="Metagross"/>
    <x v="460"/>
    <n v="376"/>
    <s v="376_1"/>
    <x v="5"/>
    <n v="2.5"/>
    <n v="942.9"/>
    <x v="11"/>
    <s v="Psychic"/>
    <s v="Tough Claws"/>
    <m/>
    <m/>
    <s v="Blue"/>
    <n v="0"/>
    <n v="0"/>
    <n v="100"/>
    <n v="40"/>
    <s v="Mineral"/>
    <m/>
    <n v="3"/>
    <n v="315"/>
    <n v="1250000"/>
    <x v="0"/>
    <s v="Mega"/>
    <m/>
    <n v="80"/>
    <n v="145"/>
    <n v="150"/>
    <n v="105"/>
    <n v="110"/>
    <n v="110"/>
    <n v="700"/>
    <n v="0"/>
    <n v="0"/>
    <n v="3"/>
    <n v="0"/>
    <n v="0"/>
    <n v="0"/>
  </r>
  <r>
    <s v="Regirock"/>
    <x v="461"/>
    <n v="377"/>
    <s v="377_0"/>
    <x v="5"/>
    <n v="1.7"/>
    <n v="230"/>
    <x v="14"/>
    <m/>
    <s v="Clear Body"/>
    <m/>
    <s v="Sturdy"/>
    <s v="Brown"/>
    <n v="0"/>
    <n v="0"/>
    <n v="100"/>
    <n v="80"/>
    <s v="Undiscovered"/>
    <m/>
    <n v="3"/>
    <n v="290"/>
    <n v="1250000"/>
    <x v="1"/>
    <m/>
    <m/>
    <n v="80"/>
    <n v="100"/>
    <n v="200"/>
    <n v="50"/>
    <n v="100"/>
    <n v="50"/>
    <n v="580"/>
    <n v="0"/>
    <n v="0"/>
    <n v="3"/>
    <n v="0"/>
    <n v="0"/>
    <n v="0"/>
  </r>
  <r>
    <s v="Regice"/>
    <x v="462"/>
    <n v="378"/>
    <s v="378_0"/>
    <x v="5"/>
    <n v="1.8"/>
    <n v="175"/>
    <x v="9"/>
    <m/>
    <s v="Clear Body"/>
    <m/>
    <s v="Ice Body"/>
    <s v="Blue"/>
    <n v="0"/>
    <n v="0"/>
    <n v="100"/>
    <n v="80"/>
    <s v="Undiscovered"/>
    <m/>
    <n v="3"/>
    <n v="290"/>
    <n v="1250000"/>
    <x v="1"/>
    <m/>
    <m/>
    <n v="80"/>
    <n v="50"/>
    <n v="100"/>
    <n v="100"/>
    <n v="200"/>
    <n v="50"/>
    <n v="580"/>
    <n v="0"/>
    <n v="0"/>
    <n v="0"/>
    <n v="0"/>
    <n v="3"/>
    <n v="0"/>
  </r>
  <r>
    <s v="Registeel"/>
    <x v="463"/>
    <n v="379"/>
    <s v="379_0"/>
    <x v="5"/>
    <n v="1.9"/>
    <n v="205"/>
    <x v="11"/>
    <m/>
    <s v="Clear Body"/>
    <m/>
    <s v="Light Metal"/>
    <s v="Gray"/>
    <n v="0"/>
    <n v="0"/>
    <n v="100"/>
    <n v="80"/>
    <s v="Undiscovered"/>
    <m/>
    <n v="3"/>
    <n v="290"/>
    <n v="1250000"/>
    <x v="1"/>
    <m/>
    <m/>
    <n v="80"/>
    <n v="75"/>
    <n v="150"/>
    <n v="75"/>
    <n v="150"/>
    <n v="50"/>
    <n v="580"/>
    <n v="0"/>
    <n v="0"/>
    <n v="2"/>
    <n v="0"/>
    <n v="1"/>
    <n v="0"/>
  </r>
  <r>
    <s v="Latias"/>
    <x v="464"/>
    <n v="380"/>
    <s v="380_0"/>
    <x v="5"/>
    <n v="1.4"/>
    <n v="40"/>
    <x v="16"/>
    <s v="Psychic"/>
    <s v="Levitate"/>
    <m/>
    <m/>
    <s v="Red"/>
    <n v="0"/>
    <n v="100"/>
    <n v="0"/>
    <n v="120"/>
    <s v="Undiscovered"/>
    <m/>
    <n v="3"/>
    <n v="300"/>
    <n v="1250000"/>
    <x v="1"/>
    <m/>
    <m/>
    <n v="80"/>
    <n v="80"/>
    <n v="90"/>
    <n v="110"/>
    <n v="130"/>
    <n v="110"/>
    <n v="600"/>
    <n v="0"/>
    <n v="0"/>
    <n v="0"/>
    <n v="0"/>
    <n v="3"/>
    <n v="0"/>
  </r>
  <r>
    <s v="Latias"/>
    <x v="465"/>
    <n v="380"/>
    <s v="380_1"/>
    <x v="5"/>
    <n v="1.8"/>
    <n v="52"/>
    <x v="16"/>
    <s v="Psychic"/>
    <s v="Levitate"/>
    <m/>
    <m/>
    <s v="Purple"/>
    <n v="0"/>
    <n v="100"/>
    <n v="0"/>
    <n v="120"/>
    <s v="Undiscovered"/>
    <m/>
    <n v="3"/>
    <n v="315"/>
    <n v="1250000"/>
    <x v="1"/>
    <s v="Mega"/>
    <m/>
    <n v="80"/>
    <n v="100"/>
    <n v="120"/>
    <n v="140"/>
    <n v="150"/>
    <n v="110"/>
    <n v="700"/>
    <n v="0"/>
    <n v="0"/>
    <n v="0"/>
    <n v="0"/>
    <n v="3"/>
    <n v="0"/>
  </r>
  <r>
    <s v="Latios"/>
    <x v="466"/>
    <n v="381"/>
    <s v="381_0"/>
    <x v="5"/>
    <n v="2"/>
    <n v="60"/>
    <x v="16"/>
    <s v="Psychic"/>
    <s v="Levitate"/>
    <m/>
    <m/>
    <s v="Blue"/>
    <n v="100"/>
    <n v="0"/>
    <n v="0"/>
    <n v="120"/>
    <s v="Undiscovered"/>
    <m/>
    <n v="3"/>
    <n v="300"/>
    <n v="1250000"/>
    <x v="1"/>
    <m/>
    <m/>
    <n v="80"/>
    <n v="90"/>
    <n v="80"/>
    <n v="130"/>
    <n v="110"/>
    <n v="110"/>
    <n v="600"/>
    <n v="0"/>
    <n v="0"/>
    <n v="0"/>
    <n v="3"/>
    <n v="0"/>
    <n v="0"/>
  </r>
  <r>
    <s v="Latios"/>
    <x v="467"/>
    <n v="381"/>
    <s v="381_1"/>
    <x v="5"/>
    <n v="2.2999999999999998"/>
    <n v="70"/>
    <x v="16"/>
    <s v="Psychic"/>
    <s v="Levitate"/>
    <m/>
    <m/>
    <s v="Purple"/>
    <n v="100"/>
    <n v="0"/>
    <n v="0"/>
    <n v="120"/>
    <s v="Undiscovered"/>
    <m/>
    <n v="3"/>
    <n v="315"/>
    <n v="1250000"/>
    <x v="1"/>
    <s v="Mega"/>
    <m/>
    <n v="80"/>
    <n v="130"/>
    <n v="100"/>
    <n v="160"/>
    <n v="120"/>
    <n v="110"/>
    <n v="700"/>
    <n v="0"/>
    <n v="0"/>
    <n v="0"/>
    <n v="3"/>
    <n v="0"/>
    <n v="0"/>
  </r>
  <r>
    <s v="Kyogre"/>
    <x v="468"/>
    <n v="382"/>
    <s v="382_0"/>
    <x v="5"/>
    <n v="4.5"/>
    <n v="352"/>
    <x v="2"/>
    <m/>
    <s v="Drizzle"/>
    <m/>
    <m/>
    <s v="Blue"/>
    <n v="0"/>
    <n v="0"/>
    <n v="100"/>
    <n v="120"/>
    <s v="Undiscovered"/>
    <m/>
    <n v="3"/>
    <n v="335"/>
    <n v="1250000"/>
    <x v="2"/>
    <m/>
    <m/>
    <n v="100"/>
    <n v="100"/>
    <n v="90"/>
    <n v="150"/>
    <n v="140"/>
    <n v="90"/>
    <n v="670"/>
    <n v="0"/>
    <n v="0"/>
    <n v="0"/>
    <n v="3"/>
    <n v="0"/>
    <n v="0"/>
  </r>
  <r>
    <s v="Kyogre"/>
    <x v="469"/>
    <n v="382"/>
    <s v="382_1"/>
    <x v="5"/>
    <n v="9.8000000000000007"/>
    <n v="430"/>
    <x v="2"/>
    <m/>
    <s v="Primordial Sea"/>
    <m/>
    <m/>
    <s v="Blue"/>
    <n v="0"/>
    <n v="0"/>
    <n v="100"/>
    <n v="120"/>
    <s v="Undiscovered"/>
    <m/>
    <n v="3"/>
    <n v="347"/>
    <n v="1250000"/>
    <x v="2"/>
    <m/>
    <m/>
    <n v="100"/>
    <n v="150"/>
    <n v="90"/>
    <n v="180"/>
    <n v="160"/>
    <n v="90"/>
    <n v="770"/>
    <n v="0"/>
    <n v="0"/>
    <n v="0"/>
    <n v="3"/>
    <n v="0"/>
    <n v="0"/>
  </r>
  <r>
    <s v="Groudon"/>
    <x v="470"/>
    <n v="383"/>
    <s v="383_0"/>
    <x v="5"/>
    <n v="3.5"/>
    <n v="950"/>
    <x v="8"/>
    <m/>
    <s v="Drought"/>
    <m/>
    <m/>
    <s v="Red"/>
    <n v="0"/>
    <n v="0"/>
    <n v="100"/>
    <n v="120"/>
    <s v="Undiscovered"/>
    <m/>
    <n v="3"/>
    <n v="335"/>
    <n v="1250000"/>
    <x v="2"/>
    <m/>
    <m/>
    <n v="100"/>
    <n v="150"/>
    <n v="140"/>
    <n v="100"/>
    <n v="90"/>
    <n v="90"/>
    <n v="670"/>
    <n v="0"/>
    <n v="3"/>
    <n v="0"/>
    <n v="0"/>
    <n v="0"/>
    <n v="0"/>
  </r>
  <r>
    <s v="Groudon"/>
    <x v="471"/>
    <n v="383"/>
    <s v="383_1"/>
    <x v="5"/>
    <n v="5"/>
    <n v="999.7"/>
    <x v="8"/>
    <s v="Fire"/>
    <s v="Desolate Land"/>
    <m/>
    <m/>
    <s v="Red"/>
    <n v="0"/>
    <n v="0"/>
    <n v="100"/>
    <n v="120"/>
    <s v="Undiscovered"/>
    <m/>
    <n v="3"/>
    <n v="347"/>
    <n v="1250000"/>
    <x v="2"/>
    <m/>
    <m/>
    <n v="100"/>
    <n v="180"/>
    <n v="160"/>
    <n v="150"/>
    <n v="90"/>
    <n v="90"/>
    <n v="770"/>
    <n v="0"/>
    <n v="3"/>
    <n v="0"/>
    <n v="0"/>
    <n v="0"/>
    <n v="0"/>
  </r>
  <r>
    <s v="Rayquaza"/>
    <x v="472"/>
    <n v="384"/>
    <s v="384_0"/>
    <x v="5"/>
    <n v="7"/>
    <n v="206.5"/>
    <x v="16"/>
    <s v="Flying"/>
    <s v="Air Lock"/>
    <m/>
    <m/>
    <s v="Green"/>
    <n v="0"/>
    <n v="0"/>
    <n v="100"/>
    <n v="120"/>
    <s v="Undiscovered"/>
    <m/>
    <n v="45"/>
    <n v="340"/>
    <n v="1250000"/>
    <x v="2"/>
    <m/>
    <m/>
    <n v="105"/>
    <n v="150"/>
    <n v="90"/>
    <n v="150"/>
    <n v="90"/>
    <n v="95"/>
    <n v="680"/>
    <n v="0"/>
    <n v="2"/>
    <n v="0"/>
    <n v="1"/>
    <n v="0"/>
    <n v="0"/>
  </r>
  <r>
    <s v="Rayquaza"/>
    <x v="473"/>
    <n v="384"/>
    <s v="384_1"/>
    <x v="5"/>
    <n v="10.8"/>
    <n v="392"/>
    <x v="16"/>
    <s v="Flying"/>
    <s v="Delta Stream"/>
    <m/>
    <m/>
    <s v="Green"/>
    <n v="0"/>
    <n v="0"/>
    <n v="100"/>
    <n v="120"/>
    <s v="Undiscovered"/>
    <m/>
    <n v="45"/>
    <n v="351"/>
    <n v="1250000"/>
    <x v="2"/>
    <s v="Mega"/>
    <m/>
    <n v="105"/>
    <n v="180"/>
    <n v="100"/>
    <n v="180"/>
    <n v="100"/>
    <n v="115"/>
    <n v="780"/>
    <n v="0"/>
    <n v="2"/>
    <n v="0"/>
    <n v="1"/>
    <n v="0"/>
    <n v="0"/>
  </r>
  <r>
    <s v="Jirachi"/>
    <x v="474"/>
    <n v="385"/>
    <s v="385_0"/>
    <x v="5"/>
    <n v="0.3"/>
    <n v="1.1000000000000001"/>
    <x v="11"/>
    <s v="Psychic"/>
    <s v="Serene Grace"/>
    <m/>
    <m/>
    <s v="Yellow"/>
    <n v="0"/>
    <n v="0"/>
    <n v="100"/>
    <n v="120"/>
    <s v="Undiscovered"/>
    <m/>
    <n v="3"/>
    <n v="300"/>
    <n v="1250000"/>
    <x v="3"/>
    <m/>
    <m/>
    <n v="100"/>
    <n v="100"/>
    <n v="100"/>
    <n v="100"/>
    <n v="100"/>
    <n v="100"/>
    <n v="600"/>
    <n v="3"/>
    <n v="0"/>
    <n v="0"/>
    <n v="0"/>
    <n v="0"/>
    <n v="0"/>
  </r>
  <r>
    <s v="Deoxys"/>
    <x v="475"/>
    <n v="386"/>
    <s v="386_0"/>
    <x v="5"/>
    <n v="1.7"/>
    <n v="60.8"/>
    <x v="13"/>
    <m/>
    <s v="Pressure"/>
    <m/>
    <m/>
    <s v="Red"/>
    <n v="0"/>
    <n v="0"/>
    <n v="100"/>
    <n v="120"/>
    <s v="Undiscovered"/>
    <m/>
    <n v="3"/>
    <n v="300"/>
    <n v="1250000"/>
    <x v="3"/>
    <m/>
    <m/>
    <n v="50"/>
    <n v="150"/>
    <n v="50"/>
    <n v="150"/>
    <n v="50"/>
    <n v="150"/>
    <n v="600"/>
    <n v="0"/>
    <n v="1"/>
    <n v="0"/>
    <n v="1"/>
    <n v="0"/>
    <n v="1"/>
  </r>
  <r>
    <s v="Deoxys"/>
    <x v="476"/>
    <n v="386"/>
    <s v="386_1"/>
    <x v="5"/>
    <n v="1.7"/>
    <n v="60.8"/>
    <x v="13"/>
    <m/>
    <s v="Pressure"/>
    <m/>
    <m/>
    <s v="Red"/>
    <n v="0"/>
    <n v="0"/>
    <n v="100"/>
    <n v="120"/>
    <s v="Undiscovered"/>
    <m/>
    <n v="3"/>
    <n v="300"/>
    <n v="1250000"/>
    <x v="3"/>
    <m/>
    <m/>
    <n v="50"/>
    <n v="180"/>
    <n v="20"/>
    <n v="180"/>
    <n v="20"/>
    <n v="150"/>
    <n v="600"/>
    <n v="0"/>
    <n v="2"/>
    <n v="0"/>
    <n v="1"/>
    <n v="0"/>
    <n v="0"/>
  </r>
  <r>
    <s v="Deoxys"/>
    <x v="477"/>
    <n v="386"/>
    <s v="386_2"/>
    <x v="5"/>
    <n v="1.7"/>
    <n v="60.8"/>
    <x v="13"/>
    <m/>
    <s v="Pressure"/>
    <m/>
    <m/>
    <s v="Red"/>
    <n v="0"/>
    <n v="0"/>
    <n v="100"/>
    <n v="120"/>
    <s v="Undiscovered"/>
    <m/>
    <n v="3"/>
    <n v="300"/>
    <n v="1250000"/>
    <x v="3"/>
    <m/>
    <m/>
    <n v="50"/>
    <n v="70"/>
    <n v="160"/>
    <n v="70"/>
    <n v="160"/>
    <n v="90"/>
    <n v="600"/>
    <n v="0"/>
    <n v="0"/>
    <n v="2"/>
    <n v="0"/>
    <n v="1"/>
    <n v="0"/>
  </r>
  <r>
    <s v="Deoxys"/>
    <x v="478"/>
    <n v="386"/>
    <s v="386_3"/>
    <x v="5"/>
    <n v="1.7"/>
    <n v="60.8"/>
    <x v="13"/>
    <m/>
    <s v="Pressure"/>
    <m/>
    <m/>
    <s v="Red"/>
    <n v="0"/>
    <n v="0"/>
    <n v="100"/>
    <n v="120"/>
    <s v="Undiscovered"/>
    <m/>
    <n v="3"/>
    <n v="300"/>
    <n v="1250000"/>
    <x v="3"/>
    <m/>
    <m/>
    <n v="50"/>
    <n v="95"/>
    <n v="90"/>
    <n v="95"/>
    <n v="90"/>
    <n v="180"/>
    <n v="600"/>
    <n v="0"/>
    <n v="0"/>
    <n v="0"/>
    <n v="0"/>
    <n v="0"/>
    <n v="3"/>
  </r>
  <r>
    <s v="Turtwig"/>
    <x v="479"/>
    <n v="387"/>
    <s v="387_0"/>
    <x v="6"/>
    <n v="0.4"/>
    <n v="10.199999999999999"/>
    <x v="0"/>
    <m/>
    <s v="Overgrow"/>
    <m/>
    <s v="Shell Armor"/>
    <s v="Green"/>
    <n v="87.5"/>
    <n v="12.5"/>
    <n v="0"/>
    <n v="20"/>
    <s v="Monster"/>
    <s v="Grass"/>
    <n v="45"/>
    <n v="64"/>
    <n v="1059860"/>
    <x v="0"/>
    <m/>
    <m/>
    <n v="55"/>
    <n v="68"/>
    <n v="64"/>
    <n v="45"/>
    <n v="55"/>
    <n v="31"/>
    <n v="318"/>
    <n v="0"/>
    <n v="1"/>
    <n v="0"/>
    <n v="0"/>
    <n v="0"/>
    <n v="0"/>
  </r>
  <r>
    <s v="Grotle"/>
    <x v="480"/>
    <n v="388"/>
    <s v="388_0"/>
    <x v="6"/>
    <n v="1.1000000000000001"/>
    <n v="97"/>
    <x v="0"/>
    <m/>
    <s v="Overgrow"/>
    <m/>
    <s v="Shell Armor"/>
    <s v="Green"/>
    <n v="87.5"/>
    <n v="12.5"/>
    <n v="0"/>
    <n v="20"/>
    <s v="Monster"/>
    <s v="Grass"/>
    <n v="45"/>
    <n v="142"/>
    <n v="1059860"/>
    <x v="0"/>
    <m/>
    <m/>
    <n v="75"/>
    <n v="89"/>
    <n v="85"/>
    <n v="55"/>
    <n v="65"/>
    <n v="36"/>
    <n v="405"/>
    <n v="0"/>
    <n v="1"/>
    <n v="1"/>
    <n v="0"/>
    <n v="0"/>
    <n v="0"/>
  </r>
  <r>
    <s v="Torterra"/>
    <x v="481"/>
    <n v="389"/>
    <s v="389_0"/>
    <x v="6"/>
    <n v="2.2000000000000002"/>
    <n v="310"/>
    <x v="0"/>
    <s v="Ground"/>
    <s v="Overgrow"/>
    <m/>
    <s v="Shell Armor"/>
    <s v="Green"/>
    <n v="87.5"/>
    <n v="12.5"/>
    <n v="0"/>
    <n v="20"/>
    <s v="Monster"/>
    <s v="Grass"/>
    <n v="45"/>
    <n v="236"/>
    <n v="1059860"/>
    <x v="0"/>
    <m/>
    <m/>
    <n v="95"/>
    <n v="109"/>
    <n v="105"/>
    <n v="75"/>
    <n v="85"/>
    <n v="56"/>
    <n v="525"/>
    <n v="0"/>
    <n v="2"/>
    <n v="1"/>
    <n v="0"/>
    <n v="0"/>
    <n v="0"/>
  </r>
  <r>
    <s v="Chimchar"/>
    <x v="482"/>
    <n v="390"/>
    <s v="390_0"/>
    <x v="6"/>
    <n v="0.5"/>
    <n v="6.2"/>
    <x v="1"/>
    <m/>
    <s v="Blaze"/>
    <m/>
    <s v="Iron Fist"/>
    <s v="Brown"/>
    <n v="87.5"/>
    <n v="12.5"/>
    <n v="0"/>
    <n v="20"/>
    <s v="Ground"/>
    <s v="Human-Like"/>
    <n v="45"/>
    <n v="62"/>
    <n v="1059860"/>
    <x v="0"/>
    <m/>
    <m/>
    <n v="44"/>
    <n v="58"/>
    <n v="44"/>
    <n v="58"/>
    <n v="44"/>
    <n v="61"/>
    <n v="309"/>
    <n v="0"/>
    <n v="0"/>
    <n v="0"/>
    <n v="0"/>
    <n v="0"/>
    <n v="1"/>
  </r>
  <r>
    <s v="Monferno"/>
    <x v="483"/>
    <n v="391"/>
    <s v="391_0"/>
    <x v="6"/>
    <n v="0.9"/>
    <n v="22"/>
    <x v="1"/>
    <s v="Fighting"/>
    <s v="Blaze"/>
    <m/>
    <s v="Iron Fist"/>
    <s v="Brown"/>
    <n v="87.5"/>
    <n v="12.5"/>
    <n v="0"/>
    <n v="20"/>
    <s v="Ground"/>
    <s v="Human-Like"/>
    <n v="45"/>
    <n v="142"/>
    <n v="1059860"/>
    <x v="0"/>
    <m/>
    <m/>
    <n v="64"/>
    <n v="78"/>
    <n v="52"/>
    <n v="78"/>
    <n v="52"/>
    <n v="81"/>
    <n v="405"/>
    <n v="0"/>
    <n v="0"/>
    <n v="0"/>
    <n v="1"/>
    <n v="0"/>
    <n v="1"/>
  </r>
  <r>
    <s v="Infernape"/>
    <x v="484"/>
    <n v="392"/>
    <s v="392_0"/>
    <x v="6"/>
    <n v="1.2"/>
    <n v="55"/>
    <x v="1"/>
    <s v="Fighting"/>
    <s v="Blaze"/>
    <m/>
    <s v="Iron Fist"/>
    <s v="Brown"/>
    <n v="87.5"/>
    <n v="12.5"/>
    <n v="0"/>
    <n v="20"/>
    <s v="Ground"/>
    <s v="Human-Like"/>
    <n v="45"/>
    <n v="240"/>
    <n v="1059860"/>
    <x v="0"/>
    <m/>
    <m/>
    <n v="76"/>
    <n v="104"/>
    <n v="71"/>
    <n v="104"/>
    <n v="71"/>
    <n v="108"/>
    <n v="534"/>
    <n v="0"/>
    <n v="1"/>
    <n v="0"/>
    <n v="1"/>
    <n v="0"/>
    <n v="1"/>
  </r>
  <r>
    <s v="Piplup"/>
    <x v="485"/>
    <n v="393"/>
    <s v="393_0"/>
    <x v="6"/>
    <n v="0.4"/>
    <n v="5.2"/>
    <x v="2"/>
    <m/>
    <s v="Torrent"/>
    <m/>
    <s v="Defiant"/>
    <s v="Blue"/>
    <n v="87.5"/>
    <n v="12.5"/>
    <n v="0"/>
    <n v="20"/>
    <s v="Water1"/>
    <s v="Ground"/>
    <n v="45"/>
    <n v="63"/>
    <n v="1059860"/>
    <x v="0"/>
    <m/>
    <m/>
    <n v="53"/>
    <n v="51"/>
    <n v="53"/>
    <n v="61"/>
    <n v="56"/>
    <n v="40"/>
    <n v="314"/>
    <n v="0"/>
    <n v="0"/>
    <n v="0"/>
    <n v="1"/>
    <n v="0"/>
    <n v="0"/>
  </r>
  <r>
    <s v="Prinplup"/>
    <x v="486"/>
    <n v="394"/>
    <s v="394_0"/>
    <x v="6"/>
    <n v="0.8"/>
    <n v="23"/>
    <x v="2"/>
    <m/>
    <s v="Torrent"/>
    <m/>
    <s v="Defiant"/>
    <s v="Blue"/>
    <n v="87.5"/>
    <n v="12.5"/>
    <n v="0"/>
    <n v="20"/>
    <s v="Water1"/>
    <s v="Ground"/>
    <n v="45"/>
    <n v="142"/>
    <n v="1059860"/>
    <x v="0"/>
    <m/>
    <m/>
    <n v="64"/>
    <n v="66"/>
    <n v="68"/>
    <n v="81"/>
    <n v="76"/>
    <n v="50"/>
    <n v="405"/>
    <n v="0"/>
    <n v="0"/>
    <n v="0"/>
    <n v="2"/>
    <n v="0"/>
    <n v="0"/>
  </r>
  <r>
    <s v="Empoleon"/>
    <x v="487"/>
    <n v="395"/>
    <s v="395_0"/>
    <x v="6"/>
    <n v="1.7"/>
    <n v="84.5"/>
    <x v="2"/>
    <s v="Steel"/>
    <s v="Torrent"/>
    <m/>
    <s v="Defiant"/>
    <s v="Blue"/>
    <n v="87.5"/>
    <n v="12.5"/>
    <n v="0"/>
    <n v="20"/>
    <s v="Water1"/>
    <s v="Ground"/>
    <n v="45"/>
    <n v="239"/>
    <n v="1059860"/>
    <x v="0"/>
    <m/>
    <m/>
    <n v="84"/>
    <n v="86"/>
    <n v="88"/>
    <n v="111"/>
    <n v="101"/>
    <n v="60"/>
    <n v="530"/>
    <n v="0"/>
    <n v="0"/>
    <n v="0"/>
    <n v="3"/>
    <n v="0"/>
    <n v="0"/>
  </r>
  <r>
    <s v="Starly"/>
    <x v="488"/>
    <n v="396"/>
    <s v="396_0"/>
    <x v="6"/>
    <n v="0.3"/>
    <n v="2"/>
    <x v="4"/>
    <s v="Flying"/>
    <s v="Keen Eye"/>
    <m/>
    <s v="Reckless"/>
    <s v="Brown"/>
    <n v="50"/>
    <n v="50"/>
    <n v="0"/>
    <n v="15"/>
    <s v="Flying"/>
    <m/>
    <n v="255"/>
    <n v="49"/>
    <n v="1059860"/>
    <x v="0"/>
    <m/>
    <m/>
    <n v="40"/>
    <n v="55"/>
    <n v="30"/>
    <n v="30"/>
    <n v="30"/>
    <n v="60"/>
    <n v="245"/>
    <n v="0"/>
    <n v="0"/>
    <n v="0"/>
    <n v="0"/>
    <n v="0"/>
    <n v="1"/>
  </r>
  <r>
    <s v="Staravia"/>
    <x v="489"/>
    <n v="397"/>
    <s v="397_0"/>
    <x v="6"/>
    <n v="0.6"/>
    <n v="15.5"/>
    <x v="4"/>
    <s v="Flying"/>
    <s v="Intimidate"/>
    <m/>
    <s v="Reckless"/>
    <s v="Brown"/>
    <n v="50"/>
    <n v="50"/>
    <n v="0"/>
    <n v="15"/>
    <s v="Flying"/>
    <m/>
    <n v="120"/>
    <n v="119"/>
    <n v="1059860"/>
    <x v="0"/>
    <m/>
    <m/>
    <n v="55"/>
    <n v="75"/>
    <n v="50"/>
    <n v="40"/>
    <n v="40"/>
    <n v="80"/>
    <n v="340"/>
    <n v="0"/>
    <n v="0"/>
    <n v="0"/>
    <n v="0"/>
    <n v="0"/>
    <n v="2"/>
  </r>
  <r>
    <s v="Staraptor"/>
    <x v="490"/>
    <n v="398"/>
    <s v="398_0"/>
    <x v="6"/>
    <n v="1.2"/>
    <n v="24.9"/>
    <x v="4"/>
    <s v="Flying"/>
    <s v="Intimidate"/>
    <m/>
    <s v="Reckless"/>
    <s v="Brown"/>
    <n v="50"/>
    <n v="50"/>
    <n v="0"/>
    <n v="15"/>
    <s v="Flying"/>
    <m/>
    <n v="45"/>
    <n v="243"/>
    <n v="1059860"/>
    <x v="0"/>
    <m/>
    <m/>
    <n v="85"/>
    <n v="120"/>
    <n v="70"/>
    <n v="50"/>
    <n v="60"/>
    <n v="100"/>
    <n v="485"/>
    <n v="0"/>
    <n v="3"/>
    <n v="0"/>
    <n v="0"/>
    <n v="0"/>
    <n v="0"/>
  </r>
  <r>
    <s v="Bidoof"/>
    <x v="491"/>
    <n v="399"/>
    <s v="399_0"/>
    <x v="6"/>
    <n v="0.5"/>
    <n v="20"/>
    <x v="4"/>
    <m/>
    <s v="Simple"/>
    <s v="Unaware"/>
    <s v="Moody"/>
    <s v="Brown"/>
    <n v="50"/>
    <n v="50"/>
    <n v="0"/>
    <n v="15"/>
    <s v="Water1"/>
    <s v="Ground"/>
    <n v="255"/>
    <n v="50"/>
    <n v="1000000"/>
    <x v="0"/>
    <m/>
    <m/>
    <n v="59"/>
    <n v="45"/>
    <n v="40"/>
    <n v="35"/>
    <n v="40"/>
    <n v="31"/>
    <n v="250"/>
    <n v="1"/>
    <n v="0"/>
    <n v="0"/>
    <n v="0"/>
    <n v="0"/>
    <n v="0"/>
  </r>
  <r>
    <s v="Bibarel"/>
    <x v="492"/>
    <n v="400"/>
    <s v="400_0"/>
    <x v="6"/>
    <n v="1"/>
    <n v="31.5"/>
    <x v="4"/>
    <s v="Water"/>
    <s v="Simple"/>
    <s v="Unaware"/>
    <s v="Moody"/>
    <s v="Brown"/>
    <n v="50"/>
    <n v="50"/>
    <n v="0"/>
    <n v="15"/>
    <s v="Water1"/>
    <s v="Ground"/>
    <n v="127"/>
    <n v="144"/>
    <n v="1000000"/>
    <x v="0"/>
    <m/>
    <m/>
    <n v="79"/>
    <n v="85"/>
    <n v="60"/>
    <n v="55"/>
    <n v="60"/>
    <n v="71"/>
    <n v="410"/>
    <n v="0"/>
    <n v="2"/>
    <n v="0"/>
    <n v="0"/>
    <n v="0"/>
    <n v="0"/>
  </r>
  <r>
    <s v="Kricketot"/>
    <x v="493"/>
    <n v="401"/>
    <s v="401_0"/>
    <x v="6"/>
    <n v="0.3"/>
    <n v="2.2000000000000002"/>
    <x v="3"/>
    <m/>
    <s v="Shed Skin"/>
    <m/>
    <s v="Run Away"/>
    <s v="Red"/>
    <n v="50"/>
    <n v="50"/>
    <n v="0"/>
    <n v="15"/>
    <s v="Bug"/>
    <m/>
    <n v="255"/>
    <n v="39"/>
    <n v="1059860"/>
    <x v="0"/>
    <m/>
    <m/>
    <n v="37"/>
    <n v="25"/>
    <n v="41"/>
    <n v="25"/>
    <n v="41"/>
    <n v="25"/>
    <n v="194"/>
    <n v="0"/>
    <n v="0"/>
    <n v="1"/>
    <n v="0"/>
    <n v="0"/>
    <n v="0"/>
  </r>
  <r>
    <s v="Kricketune"/>
    <x v="494"/>
    <n v="402"/>
    <s v="402_0"/>
    <x v="6"/>
    <n v="1"/>
    <n v="25.5"/>
    <x v="3"/>
    <m/>
    <s v="Swarm"/>
    <m/>
    <s v="Technician"/>
    <s v="Red"/>
    <n v="50"/>
    <n v="50"/>
    <n v="0"/>
    <n v="15"/>
    <s v="Bug"/>
    <m/>
    <n v="45"/>
    <n v="134"/>
    <n v="1059860"/>
    <x v="0"/>
    <m/>
    <m/>
    <n v="77"/>
    <n v="85"/>
    <n v="51"/>
    <n v="55"/>
    <n v="51"/>
    <n v="65"/>
    <n v="384"/>
    <n v="0"/>
    <n v="2"/>
    <n v="0"/>
    <n v="0"/>
    <n v="0"/>
    <n v="0"/>
  </r>
  <r>
    <s v="Shinx"/>
    <x v="495"/>
    <n v="403"/>
    <s v="403_0"/>
    <x v="6"/>
    <n v="0.5"/>
    <n v="9.5"/>
    <x v="7"/>
    <m/>
    <s v="Rivalry"/>
    <s v="Intimidate"/>
    <s v="Guts"/>
    <s v="Blue"/>
    <n v="50"/>
    <n v="50"/>
    <n v="0"/>
    <n v="20"/>
    <s v="Ground"/>
    <m/>
    <n v="235"/>
    <n v="53"/>
    <n v="1059860"/>
    <x v="0"/>
    <m/>
    <m/>
    <n v="45"/>
    <n v="65"/>
    <n v="34"/>
    <n v="40"/>
    <n v="34"/>
    <n v="45"/>
    <n v="263"/>
    <n v="0"/>
    <n v="1"/>
    <n v="0"/>
    <n v="0"/>
    <n v="0"/>
    <n v="0"/>
  </r>
  <r>
    <s v="Luxio"/>
    <x v="496"/>
    <n v="404"/>
    <s v="404_0"/>
    <x v="6"/>
    <n v="0.9"/>
    <n v="30.5"/>
    <x v="7"/>
    <m/>
    <s v="Rivalry"/>
    <s v="Intimidate"/>
    <s v="Guts"/>
    <s v="Blue"/>
    <n v="50"/>
    <n v="50"/>
    <n v="0"/>
    <n v="20"/>
    <s v="Ground"/>
    <m/>
    <n v="120"/>
    <n v="127"/>
    <n v="1059860"/>
    <x v="0"/>
    <m/>
    <m/>
    <n v="60"/>
    <n v="85"/>
    <n v="49"/>
    <n v="60"/>
    <n v="49"/>
    <n v="60"/>
    <n v="363"/>
    <n v="0"/>
    <n v="2"/>
    <n v="0"/>
    <n v="0"/>
    <n v="0"/>
    <n v="0"/>
  </r>
  <r>
    <s v="Luxray"/>
    <x v="497"/>
    <n v="405"/>
    <s v="405_0"/>
    <x v="6"/>
    <n v="1.4"/>
    <n v="42"/>
    <x v="7"/>
    <m/>
    <s v="Rivalry"/>
    <s v="Intimidate"/>
    <s v="Guts"/>
    <s v="Blue"/>
    <n v="50"/>
    <n v="50"/>
    <n v="0"/>
    <n v="20"/>
    <s v="Ground"/>
    <m/>
    <n v="45"/>
    <n v="262"/>
    <n v="1059860"/>
    <x v="0"/>
    <m/>
    <m/>
    <n v="80"/>
    <n v="120"/>
    <n v="79"/>
    <n v="95"/>
    <n v="79"/>
    <n v="70"/>
    <n v="523"/>
    <n v="0"/>
    <n v="3"/>
    <n v="0"/>
    <n v="0"/>
    <n v="0"/>
    <n v="0"/>
  </r>
  <r>
    <s v="Budew"/>
    <x v="498"/>
    <n v="406"/>
    <s v="406_0"/>
    <x v="6"/>
    <n v="0.2"/>
    <n v="1.2"/>
    <x v="0"/>
    <s v="Poison"/>
    <s v="Natural Cure"/>
    <s v="Poison Point"/>
    <s v="Leaf Guard"/>
    <s v="Green"/>
    <n v="50"/>
    <n v="50"/>
    <n v="0"/>
    <n v="20"/>
    <s v="Undiscovered"/>
    <m/>
    <n v="255"/>
    <n v="56"/>
    <n v="1059860"/>
    <x v="0"/>
    <m/>
    <m/>
    <n v="40"/>
    <n v="30"/>
    <n v="35"/>
    <n v="50"/>
    <n v="70"/>
    <n v="55"/>
    <n v="280"/>
    <n v="0"/>
    <n v="0"/>
    <n v="0"/>
    <n v="1"/>
    <n v="0"/>
    <n v="0"/>
  </r>
  <r>
    <s v="Roserade"/>
    <x v="499"/>
    <n v="407"/>
    <s v="407_0"/>
    <x v="6"/>
    <n v="0.9"/>
    <n v="14.5"/>
    <x v="0"/>
    <s v="Poison"/>
    <s v="Natural Cure"/>
    <s v="Poison Point"/>
    <s v="Technician"/>
    <s v="Green"/>
    <n v="50"/>
    <n v="50"/>
    <n v="0"/>
    <n v="20"/>
    <s v="Fairy"/>
    <s v="Grass"/>
    <n v="75"/>
    <n v="258"/>
    <n v="1059860"/>
    <x v="0"/>
    <m/>
    <m/>
    <n v="60"/>
    <n v="70"/>
    <n v="65"/>
    <n v="125"/>
    <n v="105"/>
    <n v="90"/>
    <n v="515"/>
    <n v="0"/>
    <n v="0"/>
    <n v="0"/>
    <n v="3"/>
    <n v="0"/>
    <n v="0"/>
  </r>
  <r>
    <s v="Cranidos"/>
    <x v="500"/>
    <n v="408"/>
    <s v="408_0"/>
    <x v="6"/>
    <n v="0.9"/>
    <n v="31.5"/>
    <x v="14"/>
    <m/>
    <s v="Mold Breaker"/>
    <m/>
    <s v="Sheer Force"/>
    <s v="Blue"/>
    <n v="87.5"/>
    <n v="12.5"/>
    <n v="0"/>
    <n v="30"/>
    <s v="Monster"/>
    <m/>
    <n v="45"/>
    <n v="70"/>
    <n v="600000"/>
    <x v="0"/>
    <m/>
    <m/>
    <n v="67"/>
    <n v="125"/>
    <n v="40"/>
    <n v="30"/>
    <n v="30"/>
    <n v="58"/>
    <n v="350"/>
    <n v="0"/>
    <n v="1"/>
    <n v="0"/>
    <n v="0"/>
    <n v="0"/>
    <n v="0"/>
  </r>
  <r>
    <s v="Rampardos"/>
    <x v="501"/>
    <n v="409"/>
    <s v="409_0"/>
    <x v="6"/>
    <n v="1.6"/>
    <n v="102.5"/>
    <x v="14"/>
    <m/>
    <s v="Mold Breaker"/>
    <m/>
    <s v="Sheer Force"/>
    <s v="Blue"/>
    <n v="87.5"/>
    <n v="12.5"/>
    <n v="0"/>
    <n v="30"/>
    <s v="Monster"/>
    <m/>
    <n v="45"/>
    <n v="173"/>
    <n v="600000"/>
    <x v="0"/>
    <m/>
    <m/>
    <n v="97"/>
    <n v="165"/>
    <n v="60"/>
    <n v="65"/>
    <n v="50"/>
    <n v="58"/>
    <n v="495"/>
    <n v="0"/>
    <n v="2"/>
    <n v="0"/>
    <n v="0"/>
    <n v="0"/>
    <n v="0"/>
  </r>
  <r>
    <s v="Shieldon"/>
    <x v="502"/>
    <n v="410"/>
    <s v="410_0"/>
    <x v="6"/>
    <n v="0.5"/>
    <n v="57"/>
    <x v="14"/>
    <s v="Steel"/>
    <s v="Sturdy"/>
    <m/>
    <s v="Soundproof"/>
    <s v="Gray"/>
    <n v="87.5"/>
    <n v="12.5"/>
    <n v="0"/>
    <n v="30"/>
    <s v="Monster"/>
    <m/>
    <n v="45"/>
    <n v="70"/>
    <n v="600000"/>
    <x v="0"/>
    <m/>
    <m/>
    <n v="30"/>
    <n v="42"/>
    <n v="118"/>
    <n v="42"/>
    <n v="88"/>
    <n v="30"/>
    <n v="350"/>
    <n v="0"/>
    <n v="0"/>
    <n v="1"/>
    <n v="0"/>
    <n v="0"/>
    <n v="0"/>
  </r>
  <r>
    <s v="Bastiodon"/>
    <x v="503"/>
    <n v="411"/>
    <s v="411_0"/>
    <x v="6"/>
    <n v="1.3"/>
    <n v="149.5"/>
    <x v="14"/>
    <s v="Steel"/>
    <s v="Sturdy"/>
    <m/>
    <s v="Soundproof"/>
    <s v="Gray"/>
    <n v="87.5"/>
    <n v="12.5"/>
    <n v="0"/>
    <n v="30"/>
    <s v="Monster"/>
    <m/>
    <n v="45"/>
    <n v="173"/>
    <n v="600000"/>
    <x v="0"/>
    <m/>
    <m/>
    <n v="60"/>
    <n v="52"/>
    <n v="168"/>
    <n v="47"/>
    <n v="138"/>
    <n v="30"/>
    <n v="495"/>
    <n v="0"/>
    <n v="0"/>
    <n v="2"/>
    <n v="0"/>
    <n v="0"/>
    <n v="0"/>
  </r>
  <r>
    <s v="Burmy"/>
    <x v="504"/>
    <n v="412"/>
    <s v="412_0"/>
    <x v="6"/>
    <n v="0.2"/>
    <n v="3.4"/>
    <x v="3"/>
    <m/>
    <s v="Shed Skin"/>
    <m/>
    <s v="Overcoat"/>
    <s v="Green"/>
    <n v="50"/>
    <n v="50"/>
    <n v="0"/>
    <n v="15"/>
    <s v="Bug"/>
    <m/>
    <n v="120"/>
    <n v="45"/>
    <n v="1000000"/>
    <x v="0"/>
    <m/>
    <m/>
    <n v="40"/>
    <n v="29"/>
    <n v="45"/>
    <n v="29"/>
    <n v="45"/>
    <n v="36"/>
    <n v="224"/>
    <n v="0"/>
    <n v="0"/>
    <n v="0"/>
    <n v="0"/>
    <n v="1"/>
    <n v="0"/>
  </r>
  <r>
    <s v="Burmy"/>
    <x v="505"/>
    <n v="412"/>
    <s v="412_1"/>
    <x v="6"/>
    <n v="0.2"/>
    <n v="3.4"/>
    <x v="3"/>
    <m/>
    <s v="Shed Skin"/>
    <m/>
    <s v="Overcoat"/>
    <s v="Brown"/>
    <n v="50"/>
    <n v="50"/>
    <n v="0"/>
    <n v="15"/>
    <s v="Bug"/>
    <m/>
    <n v="120"/>
    <n v="45"/>
    <n v="1000000"/>
    <x v="0"/>
    <m/>
    <m/>
    <n v="40"/>
    <n v="29"/>
    <n v="45"/>
    <n v="29"/>
    <n v="45"/>
    <n v="36"/>
    <n v="224"/>
    <n v="0"/>
    <n v="0"/>
    <n v="0"/>
    <n v="0"/>
    <n v="1"/>
    <n v="0"/>
  </r>
  <r>
    <s v="Burmy"/>
    <x v="506"/>
    <n v="412"/>
    <s v="412_2"/>
    <x v="6"/>
    <n v="0.2"/>
    <n v="3.4"/>
    <x v="3"/>
    <m/>
    <s v="Shed Skin"/>
    <m/>
    <s v="Overcoat"/>
    <s v="Red"/>
    <n v="50"/>
    <n v="50"/>
    <n v="0"/>
    <n v="15"/>
    <s v="Bug"/>
    <m/>
    <n v="120"/>
    <n v="45"/>
    <n v="1000000"/>
    <x v="0"/>
    <m/>
    <m/>
    <n v="40"/>
    <n v="29"/>
    <n v="45"/>
    <n v="29"/>
    <n v="45"/>
    <n v="36"/>
    <n v="224"/>
    <n v="0"/>
    <n v="0"/>
    <n v="0"/>
    <n v="0"/>
    <n v="1"/>
    <n v="0"/>
  </r>
  <r>
    <s v="Wormadam"/>
    <x v="507"/>
    <n v="413"/>
    <s v="413_0"/>
    <x v="6"/>
    <n v="0.5"/>
    <n v="6.5"/>
    <x v="3"/>
    <s v="Grass"/>
    <s v="Anticipation"/>
    <m/>
    <s v="Overcoat"/>
    <s v="Green"/>
    <n v="0"/>
    <n v="100"/>
    <n v="0"/>
    <n v="15"/>
    <s v="Bug"/>
    <m/>
    <n v="45"/>
    <n v="148"/>
    <n v="1000000"/>
    <x v="0"/>
    <m/>
    <m/>
    <n v="60"/>
    <n v="59"/>
    <n v="85"/>
    <n v="79"/>
    <n v="105"/>
    <n v="36"/>
    <n v="424"/>
    <n v="0"/>
    <n v="0"/>
    <n v="0"/>
    <n v="0"/>
    <n v="2"/>
    <n v="0"/>
  </r>
  <r>
    <s v="Wormadam"/>
    <x v="508"/>
    <n v="413"/>
    <s v="413_1"/>
    <x v="6"/>
    <n v="0.5"/>
    <n v="6.5"/>
    <x v="3"/>
    <s v="Ground"/>
    <s v="Anticipation"/>
    <m/>
    <s v="Overcoat"/>
    <s v="Brown"/>
    <n v="0"/>
    <n v="100"/>
    <n v="0"/>
    <n v="15"/>
    <s v="Bug"/>
    <m/>
    <n v="45"/>
    <n v="148"/>
    <n v="1000000"/>
    <x v="0"/>
    <m/>
    <m/>
    <n v="60"/>
    <n v="79"/>
    <n v="105"/>
    <n v="59"/>
    <n v="85"/>
    <n v="36"/>
    <n v="424"/>
    <n v="0"/>
    <n v="0"/>
    <n v="2"/>
    <n v="0"/>
    <n v="0"/>
    <n v="0"/>
  </r>
  <r>
    <s v="Wormadam"/>
    <x v="509"/>
    <n v="413"/>
    <s v="413_2"/>
    <x v="6"/>
    <n v="0.5"/>
    <n v="6.5"/>
    <x v="3"/>
    <s v="Steel"/>
    <s v="Anticipation"/>
    <m/>
    <s v="Overcoat"/>
    <s v="Red"/>
    <n v="0"/>
    <n v="100"/>
    <n v="0"/>
    <n v="15"/>
    <s v="Bug"/>
    <m/>
    <n v="45"/>
    <n v="148"/>
    <n v="1000000"/>
    <x v="0"/>
    <m/>
    <m/>
    <n v="60"/>
    <n v="69"/>
    <n v="95"/>
    <n v="69"/>
    <n v="95"/>
    <n v="36"/>
    <n v="424"/>
    <n v="0"/>
    <n v="0"/>
    <n v="1"/>
    <n v="0"/>
    <n v="1"/>
    <n v="0"/>
  </r>
  <r>
    <s v="Mothim"/>
    <x v="510"/>
    <n v="414"/>
    <s v="414_0"/>
    <x v="6"/>
    <n v="0.9"/>
    <n v="23.3"/>
    <x v="3"/>
    <s v="Flying"/>
    <s v="Swarm"/>
    <m/>
    <s v="Tinted Lens"/>
    <s v="Yellow"/>
    <n v="100"/>
    <n v="0"/>
    <n v="0"/>
    <n v="15"/>
    <s v="Bug"/>
    <m/>
    <n v="45"/>
    <n v="148"/>
    <n v="1000000"/>
    <x v="0"/>
    <m/>
    <m/>
    <n v="70"/>
    <n v="94"/>
    <n v="50"/>
    <n v="94"/>
    <n v="50"/>
    <n v="66"/>
    <n v="424"/>
    <n v="0"/>
    <n v="1"/>
    <n v="0"/>
    <n v="1"/>
    <n v="0"/>
    <n v="0"/>
  </r>
  <r>
    <s v="Combee"/>
    <x v="511"/>
    <n v="415"/>
    <s v="415_0"/>
    <x v="6"/>
    <n v="0.3"/>
    <n v="5.5"/>
    <x v="3"/>
    <s v="Flying"/>
    <s v="Honey Gather"/>
    <m/>
    <s v="Hustle"/>
    <s v="Yellow"/>
    <n v="87.5"/>
    <n v="12.5"/>
    <n v="0"/>
    <n v="15"/>
    <s v="Bug"/>
    <m/>
    <n v="120"/>
    <n v="49"/>
    <n v="1059860"/>
    <x v="0"/>
    <m/>
    <m/>
    <n v="30"/>
    <n v="30"/>
    <n v="42"/>
    <n v="30"/>
    <n v="42"/>
    <n v="70"/>
    <n v="244"/>
    <n v="0"/>
    <n v="0"/>
    <n v="0"/>
    <n v="0"/>
    <n v="0"/>
    <n v="1"/>
  </r>
  <r>
    <s v="Vespiquen"/>
    <x v="512"/>
    <n v="416"/>
    <s v="416_0"/>
    <x v="6"/>
    <n v="1.2"/>
    <n v="38.5"/>
    <x v="3"/>
    <s v="Flying"/>
    <s v="Pressure"/>
    <m/>
    <s v="Unnerve"/>
    <s v="Yellow"/>
    <n v="0"/>
    <n v="100"/>
    <n v="0"/>
    <n v="15"/>
    <s v="Bug"/>
    <m/>
    <n v="45"/>
    <n v="166"/>
    <n v="1059860"/>
    <x v="0"/>
    <m/>
    <m/>
    <n v="70"/>
    <n v="80"/>
    <n v="102"/>
    <n v="80"/>
    <n v="102"/>
    <n v="40"/>
    <n v="474"/>
    <n v="0"/>
    <n v="0"/>
    <n v="1"/>
    <n v="0"/>
    <n v="1"/>
    <n v="0"/>
  </r>
  <r>
    <s v="Pachirisu"/>
    <x v="513"/>
    <n v="417"/>
    <s v="417_0"/>
    <x v="6"/>
    <n v="0.4"/>
    <n v="3.9"/>
    <x v="7"/>
    <m/>
    <s v="Run Away"/>
    <s v="Pickup"/>
    <s v="Volt Absorb"/>
    <s v="White"/>
    <n v="50"/>
    <n v="50"/>
    <n v="0"/>
    <n v="10"/>
    <s v="Ground"/>
    <s v="Fairy"/>
    <n v="200"/>
    <n v="142"/>
    <n v="1000000"/>
    <x v="0"/>
    <m/>
    <m/>
    <n v="60"/>
    <n v="45"/>
    <n v="70"/>
    <n v="45"/>
    <n v="90"/>
    <n v="95"/>
    <n v="405"/>
    <n v="0"/>
    <n v="0"/>
    <n v="0"/>
    <n v="0"/>
    <n v="0"/>
    <n v="1"/>
  </r>
  <r>
    <s v="Buizel"/>
    <x v="514"/>
    <n v="418"/>
    <s v="418_0"/>
    <x v="6"/>
    <n v="0.7"/>
    <n v="29.5"/>
    <x v="2"/>
    <m/>
    <s v="Swift Swim"/>
    <m/>
    <s v="Water Veil"/>
    <s v="Brown"/>
    <n v="50"/>
    <n v="50"/>
    <n v="0"/>
    <n v="20"/>
    <s v="Water1"/>
    <s v="Ground"/>
    <n v="190"/>
    <n v="66"/>
    <n v="1000000"/>
    <x v="0"/>
    <m/>
    <m/>
    <n v="55"/>
    <n v="65"/>
    <n v="35"/>
    <n v="60"/>
    <n v="30"/>
    <n v="85"/>
    <n v="330"/>
    <n v="0"/>
    <n v="0"/>
    <n v="0"/>
    <n v="0"/>
    <n v="0"/>
    <n v="1"/>
  </r>
  <r>
    <s v="Floatzel"/>
    <x v="515"/>
    <n v="419"/>
    <s v="419_0"/>
    <x v="6"/>
    <n v="1.1000000000000001"/>
    <n v="33.5"/>
    <x v="2"/>
    <m/>
    <s v="Swift Swim"/>
    <m/>
    <s v="Water Veil"/>
    <s v="Brown"/>
    <n v="50"/>
    <n v="50"/>
    <n v="0"/>
    <n v="20"/>
    <s v="Water1"/>
    <s v="Ground"/>
    <n v="75"/>
    <n v="173"/>
    <n v="1000000"/>
    <x v="0"/>
    <m/>
    <m/>
    <n v="85"/>
    <n v="105"/>
    <n v="55"/>
    <n v="85"/>
    <n v="50"/>
    <n v="115"/>
    <n v="495"/>
    <n v="0"/>
    <n v="0"/>
    <n v="0"/>
    <n v="0"/>
    <n v="0"/>
    <n v="2"/>
  </r>
  <r>
    <s v="Cherubi"/>
    <x v="516"/>
    <n v="420"/>
    <s v="420_0"/>
    <x v="6"/>
    <n v="0.4"/>
    <n v="3.3"/>
    <x v="0"/>
    <m/>
    <s v="Chlorophyll"/>
    <m/>
    <m/>
    <s v="Pink"/>
    <n v="50"/>
    <n v="50"/>
    <n v="0"/>
    <n v="20"/>
    <s v="Fairy"/>
    <s v="Grass"/>
    <n v="190"/>
    <n v="55"/>
    <n v="1000000"/>
    <x v="0"/>
    <m/>
    <m/>
    <n v="45"/>
    <n v="35"/>
    <n v="45"/>
    <n v="62"/>
    <n v="53"/>
    <n v="35"/>
    <n v="275"/>
    <n v="0"/>
    <n v="0"/>
    <n v="0"/>
    <n v="1"/>
    <n v="0"/>
    <n v="0"/>
  </r>
  <r>
    <s v="Cherrim"/>
    <x v="517"/>
    <n v="421"/>
    <s v="421_0"/>
    <x v="6"/>
    <n v="0.5"/>
    <n v="9.3000000000000007"/>
    <x v="0"/>
    <m/>
    <s v="Flower Gift"/>
    <m/>
    <m/>
    <s v="Purple"/>
    <n v="50"/>
    <n v="50"/>
    <n v="0"/>
    <n v="20"/>
    <s v="Fairy"/>
    <s v="Grass"/>
    <n v="75"/>
    <n v="158"/>
    <n v="1000000"/>
    <x v="0"/>
    <m/>
    <m/>
    <n v="70"/>
    <n v="60"/>
    <n v="70"/>
    <n v="87"/>
    <n v="78"/>
    <n v="85"/>
    <n v="450"/>
    <n v="0"/>
    <n v="0"/>
    <n v="0"/>
    <n v="2"/>
    <n v="0"/>
    <n v="0"/>
  </r>
  <r>
    <s v="Cherrim"/>
    <x v="518"/>
    <n v="421"/>
    <s v="421_1"/>
    <x v="6"/>
    <n v="0.5"/>
    <n v="9.3000000000000007"/>
    <x v="0"/>
    <m/>
    <s v="Flower Gift"/>
    <m/>
    <m/>
    <s v="Pink"/>
    <n v="50"/>
    <n v="50"/>
    <n v="0"/>
    <n v="20"/>
    <s v="Fairy"/>
    <s v="Grass"/>
    <n v="75"/>
    <n v="158"/>
    <n v="1000000"/>
    <x v="0"/>
    <m/>
    <m/>
    <n v="70"/>
    <n v="60"/>
    <n v="70"/>
    <n v="87"/>
    <n v="78"/>
    <n v="85"/>
    <n v="450"/>
    <n v="0"/>
    <n v="0"/>
    <n v="0"/>
    <n v="2"/>
    <n v="0"/>
    <n v="0"/>
  </r>
  <r>
    <s v="Shellos"/>
    <x v="519"/>
    <n v="422"/>
    <s v="422_0"/>
    <x v="6"/>
    <n v="0.3"/>
    <n v="6.3"/>
    <x v="2"/>
    <m/>
    <s v="Sticky Hold"/>
    <s v="Storm Drain"/>
    <s v="Sand Force"/>
    <s v="Purple"/>
    <n v="50"/>
    <n v="50"/>
    <n v="0"/>
    <n v="20"/>
    <s v="Water1"/>
    <s v="Amorphous"/>
    <n v="190"/>
    <n v="65"/>
    <n v="1000000"/>
    <x v="0"/>
    <m/>
    <m/>
    <n v="76"/>
    <n v="48"/>
    <n v="48"/>
    <n v="57"/>
    <n v="62"/>
    <n v="34"/>
    <n v="325"/>
    <n v="1"/>
    <n v="0"/>
    <n v="0"/>
    <n v="0"/>
    <n v="0"/>
    <n v="0"/>
  </r>
  <r>
    <s v="Shellos"/>
    <x v="520"/>
    <n v="422"/>
    <s v="422_1"/>
    <x v="6"/>
    <n v="0.3"/>
    <n v="6.3"/>
    <x v="2"/>
    <m/>
    <s v="Sticky Hold"/>
    <s v="Storm Drain"/>
    <s v="Sand Force"/>
    <s v="Blue"/>
    <n v="50"/>
    <n v="50"/>
    <n v="0"/>
    <n v="20"/>
    <s v="Water1"/>
    <s v="Amorphous"/>
    <n v="190"/>
    <n v="65"/>
    <n v="1000000"/>
    <x v="0"/>
    <m/>
    <m/>
    <n v="76"/>
    <n v="48"/>
    <n v="48"/>
    <n v="57"/>
    <n v="62"/>
    <n v="34"/>
    <n v="325"/>
    <n v="1"/>
    <n v="0"/>
    <n v="0"/>
    <n v="0"/>
    <n v="0"/>
    <n v="0"/>
  </r>
  <r>
    <s v="Gastrodon"/>
    <x v="521"/>
    <n v="423"/>
    <s v="423_0"/>
    <x v="6"/>
    <n v="0.9"/>
    <n v="29.9"/>
    <x v="2"/>
    <s v="Ground"/>
    <s v="Sticky Hold"/>
    <s v="Storm Drain"/>
    <s v="Sand Force"/>
    <s v="Purple"/>
    <n v="50"/>
    <n v="50"/>
    <n v="0"/>
    <n v="20"/>
    <s v="Water1"/>
    <s v="Amorphous"/>
    <n v="75"/>
    <n v="166"/>
    <n v="1000000"/>
    <x v="0"/>
    <m/>
    <m/>
    <n v="111"/>
    <n v="83"/>
    <n v="68"/>
    <n v="92"/>
    <n v="82"/>
    <n v="39"/>
    <n v="475"/>
    <n v="2"/>
    <n v="0"/>
    <n v="0"/>
    <n v="0"/>
    <n v="0"/>
    <n v="0"/>
  </r>
  <r>
    <s v="Gastrodon"/>
    <x v="522"/>
    <n v="423"/>
    <s v="423_1"/>
    <x v="6"/>
    <n v="0.9"/>
    <n v="29.9"/>
    <x v="2"/>
    <s v="Ground"/>
    <s v="Sticky Hold"/>
    <s v="Storm Drain"/>
    <s v="Sand Force"/>
    <s v="Blue"/>
    <n v="50"/>
    <n v="50"/>
    <n v="0"/>
    <n v="20"/>
    <s v="Water1"/>
    <s v="Amorphous"/>
    <n v="75"/>
    <n v="166"/>
    <n v="1000000"/>
    <x v="0"/>
    <m/>
    <m/>
    <n v="111"/>
    <n v="83"/>
    <n v="68"/>
    <n v="92"/>
    <n v="82"/>
    <n v="39"/>
    <n v="475"/>
    <n v="2"/>
    <n v="0"/>
    <n v="0"/>
    <n v="0"/>
    <n v="0"/>
    <n v="0"/>
  </r>
  <r>
    <s v="Ambipom"/>
    <x v="523"/>
    <n v="424"/>
    <s v="424_0"/>
    <x v="6"/>
    <n v="1.2"/>
    <n v="20.3"/>
    <x v="4"/>
    <m/>
    <s v="Technician"/>
    <s v="Pickup"/>
    <s v="Skill Link"/>
    <s v="Purple"/>
    <n v="50"/>
    <n v="50"/>
    <n v="0"/>
    <n v="20"/>
    <s v="Ground"/>
    <m/>
    <n v="45"/>
    <n v="169"/>
    <n v="800000"/>
    <x v="0"/>
    <m/>
    <m/>
    <n v="75"/>
    <n v="100"/>
    <n v="66"/>
    <n v="60"/>
    <n v="66"/>
    <n v="115"/>
    <n v="482"/>
    <n v="0"/>
    <n v="0"/>
    <n v="0"/>
    <n v="0"/>
    <n v="0"/>
    <n v="2"/>
  </r>
  <r>
    <s v="Drifloon"/>
    <x v="524"/>
    <n v="425"/>
    <s v="425_0"/>
    <x v="6"/>
    <n v="0.4"/>
    <n v="1.2"/>
    <x v="15"/>
    <s v="Flying"/>
    <s v="Aftermath"/>
    <s v="Unburden"/>
    <s v="Flare Boost"/>
    <s v="Purple"/>
    <n v="50"/>
    <n v="50"/>
    <n v="0"/>
    <n v="30"/>
    <s v="Amorphous"/>
    <m/>
    <n v="125"/>
    <n v="70"/>
    <n v="1640000"/>
    <x v="0"/>
    <m/>
    <m/>
    <n v="90"/>
    <n v="50"/>
    <n v="34"/>
    <n v="60"/>
    <n v="44"/>
    <n v="70"/>
    <n v="348"/>
    <n v="1"/>
    <n v="0"/>
    <n v="0"/>
    <n v="0"/>
    <n v="0"/>
    <n v="0"/>
  </r>
  <r>
    <s v="Drifblim"/>
    <x v="525"/>
    <n v="426"/>
    <s v="426_0"/>
    <x v="6"/>
    <n v="1.2"/>
    <n v="15"/>
    <x v="15"/>
    <s v="Flying"/>
    <s v="Aftermath"/>
    <s v="Unburden"/>
    <s v="Flare Boost"/>
    <s v="Purple"/>
    <n v="50"/>
    <n v="50"/>
    <n v="0"/>
    <n v="30"/>
    <s v="Amorphous"/>
    <m/>
    <n v="60"/>
    <n v="174"/>
    <n v="1640000"/>
    <x v="0"/>
    <m/>
    <m/>
    <n v="150"/>
    <n v="80"/>
    <n v="44"/>
    <n v="90"/>
    <n v="54"/>
    <n v="80"/>
    <n v="498"/>
    <n v="2"/>
    <n v="0"/>
    <n v="0"/>
    <n v="0"/>
    <n v="0"/>
    <n v="0"/>
  </r>
  <r>
    <s v="Buneary"/>
    <x v="526"/>
    <n v="427"/>
    <s v="427_0"/>
    <x v="6"/>
    <n v="0.4"/>
    <n v="5.5"/>
    <x v="4"/>
    <m/>
    <s v="Run Away"/>
    <s v="Klutz"/>
    <s v="Limber"/>
    <s v="Brown"/>
    <n v="50"/>
    <n v="50"/>
    <n v="0"/>
    <n v="20"/>
    <s v="Ground"/>
    <s v="Human-Like"/>
    <n v="190"/>
    <n v="70"/>
    <n v="1000000"/>
    <x v="0"/>
    <m/>
    <m/>
    <n v="55"/>
    <n v="66"/>
    <n v="44"/>
    <n v="44"/>
    <n v="56"/>
    <n v="85"/>
    <n v="350"/>
    <n v="0"/>
    <n v="0"/>
    <n v="0"/>
    <n v="0"/>
    <n v="0"/>
    <n v="1"/>
  </r>
  <r>
    <s v="Lopunny"/>
    <x v="527"/>
    <n v="428"/>
    <s v="428_0"/>
    <x v="6"/>
    <n v="1.2"/>
    <n v="33.299999999999997"/>
    <x v="4"/>
    <m/>
    <s v="Cute Charm"/>
    <s v="Klutz"/>
    <s v="Limber"/>
    <s v="Brown"/>
    <n v="50"/>
    <n v="50"/>
    <n v="0"/>
    <n v="20"/>
    <s v="Ground"/>
    <s v="Human-Like"/>
    <n v="60"/>
    <n v="168"/>
    <n v="1000000"/>
    <x v="0"/>
    <m/>
    <m/>
    <n v="65"/>
    <n v="76"/>
    <n v="84"/>
    <n v="54"/>
    <n v="96"/>
    <n v="105"/>
    <n v="480"/>
    <n v="0"/>
    <n v="0"/>
    <n v="0"/>
    <n v="0"/>
    <n v="0"/>
    <n v="2"/>
  </r>
  <r>
    <s v="Lopunny"/>
    <x v="528"/>
    <n v="428"/>
    <s v="428_1"/>
    <x v="6"/>
    <n v="1.3"/>
    <n v="28.3"/>
    <x v="4"/>
    <s v="Fighting"/>
    <s v="Scrappy"/>
    <m/>
    <m/>
    <s v="Brown"/>
    <n v="50"/>
    <n v="50"/>
    <n v="0"/>
    <n v="20"/>
    <s v="Ground"/>
    <s v="Human-Like"/>
    <n v="60"/>
    <n v="203"/>
    <n v="1000000"/>
    <x v="0"/>
    <s v="Mega"/>
    <m/>
    <n v="65"/>
    <n v="136"/>
    <n v="94"/>
    <n v="54"/>
    <n v="96"/>
    <n v="135"/>
    <n v="580"/>
    <n v="0"/>
    <n v="0"/>
    <n v="0"/>
    <n v="0"/>
    <n v="0"/>
    <n v="2"/>
  </r>
  <r>
    <s v="Mismagius"/>
    <x v="529"/>
    <n v="429"/>
    <s v="429_0"/>
    <x v="6"/>
    <n v="0.9"/>
    <n v="4.4000000000000004"/>
    <x v="15"/>
    <m/>
    <s v="Levitate"/>
    <m/>
    <m/>
    <s v="Purple"/>
    <n v="50"/>
    <n v="50"/>
    <n v="0"/>
    <n v="25"/>
    <s v="Amorphous"/>
    <m/>
    <n v="45"/>
    <n v="173"/>
    <n v="800000"/>
    <x v="0"/>
    <m/>
    <m/>
    <n v="60"/>
    <n v="60"/>
    <n v="60"/>
    <n v="105"/>
    <n v="105"/>
    <n v="105"/>
    <n v="495"/>
    <n v="0"/>
    <n v="0"/>
    <n v="0"/>
    <n v="1"/>
    <n v="1"/>
    <n v="0"/>
  </r>
  <r>
    <s v="Honchkrow"/>
    <x v="530"/>
    <n v="430"/>
    <s v="430_0"/>
    <x v="6"/>
    <n v="0.9"/>
    <n v="27.3"/>
    <x v="5"/>
    <s v="Flying"/>
    <s v="Insomnia"/>
    <s v="Super Luck"/>
    <s v="Moxie"/>
    <s v="Black"/>
    <n v="50"/>
    <n v="50"/>
    <n v="0"/>
    <n v="20"/>
    <s v="Flying"/>
    <m/>
    <n v="30"/>
    <n v="177"/>
    <n v="1059860"/>
    <x v="0"/>
    <m/>
    <m/>
    <n v="100"/>
    <n v="125"/>
    <n v="52"/>
    <n v="105"/>
    <n v="52"/>
    <n v="71"/>
    <n v="505"/>
    <n v="0"/>
    <n v="2"/>
    <n v="0"/>
    <n v="0"/>
    <n v="0"/>
    <n v="0"/>
  </r>
  <r>
    <s v="Glameow"/>
    <x v="531"/>
    <n v="431"/>
    <s v="431_0"/>
    <x v="6"/>
    <n v="0.5"/>
    <n v="3.9"/>
    <x v="4"/>
    <m/>
    <s v="Limber"/>
    <s v="Own Tempo"/>
    <s v="Keen Eye"/>
    <s v="Gray"/>
    <n v="25"/>
    <n v="75"/>
    <n v="0"/>
    <n v="20"/>
    <s v="Ground"/>
    <m/>
    <n v="190"/>
    <n v="62"/>
    <n v="800000"/>
    <x v="0"/>
    <m/>
    <m/>
    <n v="49"/>
    <n v="55"/>
    <n v="42"/>
    <n v="42"/>
    <n v="37"/>
    <n v="85"/>
    <n v="310"/>
    <n v="0"/>
    <n v="0"/>
    <n v="0"/>
    <n v="0"/>
    <n v="0"/>
    <n v="1"/>
  </r>
  <r>
    <s v="Purugly"/>
    <x v="532"/>
    <n v="432"/>
    <s v="432_0"/>
    <x v="6"/>
    <n v="1"/>
    <n v="43.8"/>
    <x v="4"/>
    <m/>
    <s v="Thick Fat"/>
    <s v="Own Tempo"/>
    <s v="Defiant"/>
    <s v="Gray"/>
    <n v="25"/>
    <n v="75"/>
    <n v="0"/>
    <n v="20"/>
    <s v="Ground"/>
    <m/>
    <n v="75"/>
    <n v="158"/>
    <n v="800000"/>
    <x v="0"/>
    <m/>
    <m/>
    <n v="71"/>
    <n v="82"/>
    <n v="64"/>
    <n v="64"/>
    <n v="59"/>
    <n v="112"/>
    <n v="452"/>
    <n v="0"/>
    <n v="0"/>
    <n v="0"/>
    <n v="0"/>
    <n v="0"/>
    <n v="2"/>
  </r>
  <r>
    <s v="Chingling"/>
    <x v="533"/>
    <n v="433"/>
    <s v="433_0"/>
    <x v="6"/>
    <n v="0.2"/>
    <n v="0.6"/>
    <x v="13"/>
    <m/>
    <s v="Levitate"/>
    <m/>
    <m/>
    <s v="Yellow"/>
    <n v="50"/>
    <n v="50"/>
    <n v="0"/>
    <n v="25"/>
    <s v="Undiscovered"/>
    <m/>
    <n v="120"/>
    <n v="57"/>
    <n v="800000"/>
    <x v="0"/>
    <m/>
    <m/>
    <n v="45"/>
    <n v="30"/>
    <n v="50"/>
    <n v="65"/>
    <n v="50"/>
    <n v="45"/>
    <n v="285"/>
    <n v="0"/>
    <n v="0"/>
    <n v="0"/>
    <n v="1"/>
    <n v="0"/>
    <n v="0"/>
  </r>
  <r>
    <s v="Stunky"/>
    <x v="534"/>
    <n v="434"/>
    <s v="434_0"/>
    <x v="6"/>
    <n v="0.4"/>
    <n v="19.2"/>
    <x v="6"/>
    <s v="Dark"/>
    <s v="Stench"/>
    <s v="Aftermath"/>
    <s v="Keen Eye"/>
    <s v="Purple"/>
    <n v="50"/>
    <n v="50"/>
    <n v="0"/>
    <n v="20"/>
    <s v="Ground"/>
    <m/>
    <n v="225"/>
    <n v="66"/>
    <n v="1000000"/>
    <x v="0"/>
    <m/>
    <m/>
    <n v="63"/>
    <n v="63"/>
    <n v="47"/>
    <n v="41"/>
    <n v="41"/>
    <n v="74"/>
    <n v="329"/>
    <n v="0"/>
    <n v="0"/>
    <n v="0"/>
    <n v="0"/>
    <n v="0"/>
    <n v="1"/>
  </r>
  <r>
    <s v="Skuntank"/>
    <x v="535"/>
    <n v="435"/>
    <s v="435_0"/>
    <x v="6"/>
    <n v="1"/>
    <n v="38"/>
    <x v="6"/>
    <s v="Dark"/>
    <s v="Stench"/>
    <s v="Aftermath"/>
    <s v="Keen Eye"/>
    <s v="Purple"/>
    <n v="50"/>
    <n v="50"/>
    <n v="0"/>
    <n v="20"/>
    <s v="Ground"/>
    <m/>
    <n v="60"/>
    <n v="168"/>
    <n v="1000000"/>
    <x v="0"/>
    <m/>
    <m/>
    <n v="103"/>
    <n v="93"/>
    <n v="67"/>
    <n v="71"/>
    <n v="61"/>
    <n v="84"/>
    <n v="479"/>
    <n v="2"/>
    <n v="0"/>
    <n v="0"/>
    <n v="0"/>
    <n v="0"/>
    <n v="0"/>
  </r>
  <r>
    <s v="Bronzor"/>
    <x v="536"/>
    <n v="436"/>
    <s v="436_0"/>
    <x v="6"/>
    <n v="0.5"/>
    <n v="60.5"/>
    <x v="11"/>
    <s v="Psychic"/>
    <s v="Levitate"/>
    <s v="Heatproof"/>
    <s v="Heavy Metal"/>
    <s v="Green"/>
    <n v="0"/>
    <n v="0"/>
    <n v="100"/>
    <n v="20"/>
    <s v="Mineral"/>
    <m/>
    <n v="255"/>
    <n v="60"/>
    <n v="1000000"/>
    <x v="0"/>
    <m/>
    <m/>
    <n v="57"/>
    <n v="24"/>
    <n v="86"/>
    <n v="24"/>
    <n v="86"/>
    <n v="23"/>
    <n v="300"/>
    <n v="0"/>
    <n v="0"/>
    <n v="1"/>
    <n v="0"/>
    <n v="0"/>
    <n v="0"/>
  </r>
  <r>
    <s v="Bronzong"/>
    <x v="537"/>
    <n v="437"/>
    <s v="437_0"/>
    <x v="6"/>
    <n v="1.3"/>
    <n v="187"/>
    <x v="11"/>
    <s v="Psychic"/>
    <s v="Levitate"/>
    <s v="Heatproof"/>
    <s v="Heavy Metal"/>
    <s v="Green"/>
    <n v="0"/>
    <n v="0"/>
    <n v="100"/>
    <n v="20"/>
    <s v="Mineral"/>
    <m/>
    <n v="90"/>
    <n v="175"/>
    <n v="1000000"/>
    <x v="0"/>
    <m/>
    <m/>
    <n v="67"/>
    <n v="89"/>
    <n v="116"/>
    <n v="79"/>
    <n v="116"/>
    <n v="33"/>
    <n v="500"/>
    <n v="0"/>
    <n v="0"/>
    <n v="1"/>
    <n v="0"/>
    <n v="1"/>
    <n v="0"/>
  </r>
  <r>
    <s v="Bonsly"/>
    <x v="538"/>
    <n v="438"/>
    <s v="438_0"/>
    <x v="6"/>
    <n v="0.5"/>
    <n v="15"/>
    <x v="14"/>
    <m/>
    <s v="Sturdy"/>
    <s v="Rock Head"/>
    <s v="Rattled"/>
    <s v="Brown"/>
    <n v="50"/>
    <n v="50"/>
    <n v="0"/>
    <n v="20"/>
    <s v="Undiscovered"/>
    <m/>
    <n v="255"/>
    <n v="58"/>
    <n v="1000000"/>
    <x v="0"/>
    <m/>
    <m/>
    <n v="50"/>
    <n v="80"/>
    <n v="95"/>
    <n v="10"/>
    <n v="45"/>
    <n v="10"/>
    <n v="290"/>
    <n v="0"/>
    <n v="0"/>
    <n v="1"/>
    <n v="0"/>
    <n v="0"/>
    <n v="0"/>
  </r>
  <r>
    <s v="Mime Jr."/>
    <x v="539"/>
    <n v="439"/>
    <s v="439_0"/>
    <x v="6"/>
    <n v="0.6"/>
    <n v="13"/>
    <x v="13"/>
    <s v="Fairy"/>
    <s v="Soundproof"/>
    <s v="Filter"/>
    <s v="Technician"/>
    <s v="Pink"/>
    <n v="50"/>
    <n v="50"/>
    <n v="0"/>
    <n v="25"/>
    <s v="Undiscovered"/>
    <m/>
    <n v="145"/>
    <n v="62"/>
    <n v="1000000"/>
    <x v="0"/>
    <m/>
    <m/>
    <n v="20"/>
    <n v="25"/>
    <n v="45"/>
    <n v="70"/>
    <n v="90"/>
    <n v="60"/>
    <n v="310"/>
    <n v="0"/>
    <n v="0"/>
    <n v="0"/>
    <n v="0"/>
    <n v="1"/>
    <n v="0"/>
  </r>
  <r>
    <s v="Happiny"/>
    <x v="540"/>
    <n v="440"/>
    <s v="440_0"/>
    <x v="6"/>
    <n v="0.6"/>
    <n v="24.4"/>
    <x v="4"/>
    <m/>
    <s v="Natural Cure"/>
    <s v="Serene Grace"/>
    <s v="Friend Guard"/>
    <s v="Pink"/>
    <n v="0"/>
    <n v="100"/>
    <n v="0"/>
    <n v="40"/>
    <s v="Undiscovered"/>
    <m/>
    <n v="130"/>
    <n v="110"/>
    <n v="800000"/>
    <x v="0"/>
    <m/>
    <m/>
    <n v="100"/>
    <n v="5"/>
    <n v="5"/>
    <n v="15"/>
    <n v="65"/>
    <n v="30"/>
    <n v="220"/>
    <n v="1"/>
    <n v="0"/>
    <n v="0"/>
    <n v="0"/>
    <n v="0"/>
    <n v="0"/>
  </r>
  <r>
    <s v="Chatot"/>
    <x v="541"/>
    <n v="441"/>
    <s v="441_0"/>
    <x v="6"/>
    <n v="0.5"/>
    <n v="1.9"/>
    <x v="4"/>
    <s v="Flying"/>
    <s v="Keen Eye"/>
    <s v="Tangled Feet"/>
    <s v="Big Pecks"/>
    <s v="Black"/>
    <n v="50"/>
    <n v="50"/>
    <n v="0"/>
    <n v="20"/>
    <s v="Flying"/>
    <m/>
    <n v="30"/>
    <n v="144"/>
    <n v="1059860"/>
    <x v="0"/>
    <m/>
    <m/>
    <n v="76"/>
    <n v="65"/>
    <n v="45"/>
    <n v="92"/>
    <n v="42"/>
    <n v="91"/>
    <n v="411"/>
    <n v="0"/>
    <n v="1"/>
    <n v="0"/>
    <n v="0"/>
    <n v="0"/>
    <n v="0"/>
  </r>
  <r>
    <s v="Spiritomb"/>
    <x v="542"/>
    <n v="442"/>
    <s v="442_0"/>
    <x v="6"/>
    <n v="1"/>
    <n v="108"/>
    <x v="15"/>
    <s v="Dark"/>
    <s v="Pressure"/>
    <m/>
    <s v="Infiltrator"/>
    <s v="Purple"/>
    <n v="50"/>
    <n v="50"/>
    <n v="0"/>
    <n v="30"/>
    <s v="Amorphous"/>
    <m/>
    <n v="100"/>
    <n v="170"/>
    <n v="1000000"/>
    <x v="0"/>
    <m/>
    <m/>
    <n v="50"/>
    <n v="92"/>
    <n v="108"/>
    <n v="92"/>
    <n v="108"/>
    <n v="35"/>
    <n v="485"/>
    <n v="0"/>
    <n v="0"/>
    <n v="1"/>
    <n v="0"/>
    <n v="1"/>
    <n v="0"/>
  </r>
  <r>
    <s v="Gible"/>
    <x v="543"/>
    <n v="443"/>
    <s v="443_0"/>
    <x v="6"/>
    <n v="0.7"/>
    <n v="20.5"/>
    <x v="16"/>
    <s v="Ground"/>
    <s v="Sand Veil"/>
    <m/>
    <s v="Rough Skin"/>
    <s v="Blue"/>
    <n v="50"/>
    <n v="50"/>
    <n v="0"/>
    <n v="40"/>
    <s v="Monster"/>
    <s v="Dragon"/>
    <n v="45"/>
    <n v="60"/>
    <n v="1250000"/>
    <x v="0"/>
    <m/>
    <m/>
    <n v="58"/>
    <n v="70"/>
    <n v="45"/>
    <n v="40"/>
    <n v="45"/>
    <n v="42"/>
    <n v="300"/>
    <n v="0"/>
    <n v="1"/>
    <n v="0"/>
    <n v="0"/>
    <n v="0"/>
    <n v="0"/>
  </r>
  <r>
    <s v="Gabite"/>
    <x v="544"/>
    <n v="444"/>
    <s v="444_0"/>
    <x v="6"/>
    <n v="1.4"/>
    <n v="56"/>
    <x v="16"/>
    <s v="Ground"/>
    <s v="Sand Veil"/>
    <m/>
    <s v="Rough Skin"/>
    <s v="Blue"/>
    <n v="50"/>
    <n v="50"/>
    <n v="0"/>
    <n v="40"/>
    <s v="Monster"/>
    <s v="Dragon"/>
    <n v="45"/>
    <n v="144"/>
    <n v="1250000"/>
    <x v="0"/>
    <m/>
    <m/>
    <n v="68"/>
    <n v="90"/>
    <n v="65"/>
    <n v="50"/>
    <n v="55"/>
    <n v="82"/>
    <n v="410"/>
    <n v="0"/>
    <n v="2"/>
    <n v="0"/>
    <n v="0"/>
    <n v="0"/>
    <n v="0"/>
  </r>
  <r>
    <s v="Garchomp"/>
    <x v="545"/>
    <n v="445"/>
    <s v="445_0"/>
    <x v="6"/>
    <n v="1.9"/>
    <n v="95"/>
    <x v="16"/>
    <s v="Ground"/>
    <s v="Sand Veil"/>
    <m/>
    <s v="Rough Skin"/>
    <s v="Blue"/>
    <n v="50"/>
    <n v="50"/>
    <n v="0"/>
    <n v="40"/>
    <s v="Monster"/>
    <s v="Dragon"/>
    <n v="45"/>
    <n v="300"/>
    <n v="1250000"/>
    <x v="0"/>
    <m/>
    <m/>
    <n v="108"/>
    <n v="130"/>
    <n v="95"/>
    <n v="80"/>
    <n v="85"/>
    <n v="102"/>
    <n v="600"/>
    <n v="0"/>
    <n v="3"/>
    <n v="0"/>
    <n v="0"/>
    <n v="0"/>
    <n v="0"/>
  </r>
  <r>
    <s v="Garchomp"/>
    <x v="546"/>
    <n v="445"/>
    <s v="445_1"/>
    <x v="6"/>
    <n v="1.9"/>
    <n v="95"/>
    <x v="16"/>
    <s v="Ground"/>
    <s v="Sand Force"/>
    <m/>
    <m/>
    <s v="Blue"/>
    <n v="50"/>
    <n v="50"/>
    <n v="0"/>
    <n v="40"/>
    <s v="Monster"/>
    <s v="Dragon"/>
    <n v="45"/>
    <n v="315"/>
    <n v="1250000"/>
    <x v="0"/>
    <s v="Mega"/>
    <m/>
    <n v="108"/>
    <n v="170"/>
    <n v="115"/>
    <n v="120"/>
    <n v="95"/>
    <n v="92"/>
    <n v="700"/>
    <n v="0"/>
    <n v="3"/>
    <n v="0"/>
    <n v="0"/>
    <n v="0"/>
    <n v="0"/>
  </r>
  <r>
    <s v="Munchlax"/>
    <x v="547"/>
    <n v="446"/>
    <s v="446_0"/>
    <x v="6"/>
    <n v="0.6"/>
    <n v="105"/>
    <x v="4"/>
    <m/>
    <s v="Pickup"/>
    <s v="Thick Fat"/>
    <s v="Gluttony"/>
    <s v="Black"/>
    <n v="87.5"/>
    <n v="12.5"/>
    <n v="0"/>
    <n v="40"/>
    <s v="Undiscovered"/>
    <m/>
    <n v="50"/>
    <n v="78"/>
    <n v="1250000"/>
    <x v="0"/>
    <m/>
    <m/>
    <n v="135"/>
    <n v="85"/>
    <n v="40"/>
    <n v="40"/>
    <n v="85"/>
    <n v="5"/>
    <n v="390"/>
    <n v="1"/>
    <n v="0"/>
    <n v="0"/>
    <n v="0"/>
    <n v="0"/>
    <n v="0"/>
  </r>
  <r>
    <s v="Riolu"/>
    <x v="548"/>
    <n v="447"/>
    <s v="447_0"/>
    <x v="6"/>
    <n v="0.7"/>
    <n v="20.2"/>
    <x v="12"/>
    <m/>
    <s v="Steadfast"/>
    <s v="Inner Focus"/>
    <s v="Prankster"/>
    <s v="Blue"/>
    <n v="87.5"/>
    <n v="12.5"/>
    <n v="0"/>
    <n v="25"/>
    <s v="Undiscovered"/>
    <m/>
    <n v="75"/>
    <n v="57"/>
    <n v="1059860"/>
    <x v="0"/>
    <m/>
    <m/>
    <n v="40"/>
    <n v="70"/>
    <n v="40"/>
    <n v="35"/>
    <n v="40"/>
    <n v="60"/>
    <n v="285"/>
    <n v="0"/>
    <n v="1"/>
    <n v="0"/>
    <n v="0"/>
    <n v="0"/>
    <n v="0"/>
  </r>
  <r>
    <s v="Lucario"/>
    <x v="549"/>
    <n v="448"/>
    <s v="448_0"/>
    <x v="6"/>
    <n v="1.2"/>
    <n v="54"/>
    <x v="12"/>
    <s v="Steel"/>
    <s v="Steadfast"/>
    <s v="Inner Focus"/>
    <s v="Justified"/>
    <s v="Blue"/>
    <n v="87.5"/>
    <n v="12.5"/>
    <n v="0"/>
    <n v="25"/>
    <s v="Ground"/>
    <s v="Human-Like"/>
    <n v="45"/>
    <n v="184"/>
    <n v="1059860"/>
    <x v="0"/>
    <m/>
    <m/>
    <n v="70"/>
    <n v="110"/>
    <n v="70"/>
    <n v="115"/>
    <n v="70"/>
    <n v="90"/>
    <n v="525"/>
    <n v="0"/>
    <n v="1"/>
    <n v="0"/>
    <n v="1"/>
    <n v="0"/>
    <n v="0"/>
  </r>
  <r>
    <s v="Lucario"/>
    <x v="550"/>
    <n v="448"/>
    <s v="448_1"/>
    <x v="6"/>
    <n v="1.3"/>
    <n v="57.5"/>
    <x v="12"/>
    <s v="Steel"/>
    <s v="Adaptability"/>
    <m/>
    <m/>
    <s v="Blue"/>
    <n v="87.5"/>
    <n v="12.5"/>
    <n v="0"/>
    <n v="25"/>
    <s v="Ground"/>
    <s v="Human-Like"/>
    <n v="45"/>
    <n v="219"/>
    <n v="1059860"/>
    <x v="0"/>
    <s v="Mega"/>
    <m/>
    <n v="70"/>
    <n v="145"/>
    <n v="88"/>
    <n v="140"/>
    <n v="70"/>
    <n v="112"/>
    <n v="625"/>
    <n v="0"/>
    <n v="1"/>
    <n v="0"/>
    <n v="1"/>
    <n v="0"/>
    <n v="0"/>
  </r>
  <r>
    <s v="Hippopotas"/>
    <x v="551"/>
    <n v="449"/>
    <s v="449_0"/>
    <x v="6"/>
    <n v="0.8"/>
    <n v="49.5"/>
    <x v="8"/>
    <m/>
    <s v="Sand Stream"/>
    <m/>
    <s v="Sand Force"/>
    <s v="Brown"/>
    <n v="50"/>
    <n v="50"/>
    <n v="0"/>
    <n v="30"/>
    <s v="Ground"/>
    <m/>
    <n v="140"/>
    <n v="66"/>
    <n v="1250000"/>
    <x v="0"/>
    <m/>
    <m/>
    <n v="68"/>
    <n v="72"/>
    <n v="78"/>
    <n v="38"/>
    <n v="42"/>
    <n v="32"/>
    <n v="330"/>
    <n v="0"/>
    <n v="0"/>
    <n v="1"/>
    <n v="0"/>
    <n v="0"/>
    <n v="0"/>
  </r>
  <r>
    <s v="Hippowdon"/>
    <x v="552"/>
    <n v="450"/>
    <s v="450_0"/>
    <x v="6"/>
    <n v="2"/>
    <n v="300"/>
    <x v="8"/>
    <m/>
    <s v="Sand Stream"/>
    <m/>
    <s v="Sand Force"/>
    <s v="Brown"/>
    <n v="50"/>
    <n v="50"/>
    <n v="0"/>
    <n v="30"/>
    <s v="Ground"/>
    <m/>
    <n v="60"/>
    <n v="184"/>
    <n v="1250000"/>
    <x v="0"/>
    <m/>
    <m/>
    <n v="108"/>
    <n v="112"/>
    <n v="118"/>
    <n v="68"/>
    <n v="72"/>
    <n v="47"/>
    <n v="525"/>
    <n v="0"/>
    <n v="0"/>
    <n v="2"/>
    <n v="0"/>
    <n v="0"/>
    <n v="0"/>
  </r>
  <r>
    <s v="Skorupi"/>
    <x v="553"/>
    <n v="451"/>
    <s v="451_0"/>
    <x v="6"/>
    <n v="0.8"/>
    <n v="12"/>
    <x v="6"/>
    <s v="Bug"/>
    <s v="Battle Armor"/>
    <s v="Sniper"/>
    <s v="Keen Eye"/>
    <s v="Purple"/>
    <n v="50"/>
    <n v="50"/>
    <n v="0"/>
    <n v="20"/>
    <s v="Bug"/>
    <s v="Water3"/>
    <n v="120"/>
    <n v="66"/>
    <n v="1250000"/>
    <x v="0"/>
    <m/>
    <m/>
    <n v="40"/>
    <n v="50"/>
    <n v="90"/>
    <n v="30"/>
    <n v="55"/>
    <n v="65"/>
    <n v="330"/>
    <n v="0"/>
    <n v="0"/>
    <n v="1"/>
    <n v="0"/>
    <n v="0"/>
    <n v="0"/>
  </r>
  <r>
    <s v="Drapion"/>
    <x v="554"/>
    <n v="452"/>
    <s v="452_0"/>
    <x v="6"/>
    <n v="1.3"/>
    <n v="61.5"/>
    <x v="6"/>
    <s v="Dark"/>
    <s v="Battle Armor"/>
    <s v="Sniper"/>
    <s v="Keen Eye"/>
    <s v="Purple"/>
    <n v="50"/>
    <n v="50"/>
    <n v="0"/>
    <n v="20"/>
    <s v="Bug"/>
    <s v="Water3"/>
    <n v="45"/>
    <n v="175"/>
    <n v="1250000"/>
    <x v="0"/>
    <m/>
    <m/>
    <n v="70"/>
    <n v="90"/>
    <n v="110"/>
    <n v="60"/>
    <n v="75"/>
    <n v="95"/>
    <n v="500"/>
    <n v="0"/>
    <n v="0"/>
    <n v="2"/>
    <n v="0"/>
    <n v="0"/>
    <n v="0"/>
  </r>
  <r>
    <s v="Croagunk"/>
    <x v="555"/>
    <n v="453"/>
    <s v="453_0"/>
    <x v="6"/>
    <n v="0.7"/>
    <n v="23"/>
    <x v="6"/>
    <s v="Fighting"/>
    <s v="Anticipation"/>
    <s v="Dry Skin"/>
    <s v="Poison Touch"/>
    <s v="Blue"/>
    <n v="50"/>
    <n v="50"/>
    <n v="0"/>
    <n v="10"/>
    <s v="Human-Like"/>
    <m/>
    <n v="140"/>
    <n v="60"/>
    <n v="1000000"/>
    <x v="0"/>
    <m/>
    <m/>
    <n v="48"/>
    <n v="61"/>
    <n v="40"/>
    <n v="61"/>
    <n v="40"/>
    <n v="50"/>
    <n v="300"/>
    <n v="0"/>
    <n v="1"/>
    <n v="0"/>
    <n v="0"/>
    <n v="0"/>
    <n v="0"/>
  </r>
  <r>
    <s v="Toxicroak"/>
    <x v="556"/>
    <n v="454"/>
    <s v="454_0"/>
    <x v="6"/>
    <n v="1.3"/>
    <n v="44.4"/>
    <x v="6"/>
    <s v="Fighting"/>
    <s v="Anticipation"/>
    <s v="Dry Skin"/>
    <s v="Poison Touch"/>
    <s v="Blue"/>
    <n v="50"/>
    <n v="50"/>
    <n v="0"/>
    <n v="20"/>
    <s v="Human-Like"/>
    <m/>
    <n v="75"/>
    <n v="172"/>
    <n v="1000000"/>
    <x v="0"/>
    <m/>
    <m/>
    <n v="83"/>
    <n v="106"/>
    <n v="65"/>
    <n v="86"/>
    <n v="65"/>
    <n v="85"/>
    <n v="490"/>
    <n v="0"/>
    <n v="2"/>
    <n v="0"/>
    <n v="0"/>
    <n v="0"/>
    <n v="0"/>
  </r>
  <r>
    <s v="Carnivine"/>
    <x v="557"/>
    <n v="455"/>
    <s v="455_0"/>
    <x v="6"/>
    <n v="1.4"/>
    <n v="27"/>
    <x v="0"/>
    <m/>
    <s v="Levitate"/>
    <m/>
    <m/>
    <s v="Green"/>
    <n v="50"/>
    <n v="50"/>
    <n v="0"/>
    <n v="25"/>
    <s v="Grass"/>
    <m/>
    <n v="200"/>
    <n v="159"/>
    <n v="1250000"/>
    <x v="0"/>
    <m/>
    <m/>
    <n v="74"/>
    <n v="100"/>
    <n v="72"/>
    <n v="90"/>
    <n v="72"/>
    <n v="46"/>
    <n v="454"/>
    <n v="0"/>
    <n v="2"/>
    <n v="0"/>
    <n v="0"/>
    <n v="0"/>
    <n v="0"/>
  </r>
  <r>
    <s v="Finneon"/>
    <x v="558"/>
    <n v="456"/>
    <s v="456_0"/>
    <x v="6"/>
    <n v="0.4"/>
    <n v="7"/>
    <x v="2"/>
    <m/>
    <s v="Swift Swim"/>
    <s v="Storm Drain"/>
    <s v="Water Veil"/>
    <s v="Blue"/>
    <n v="50"/>
    <n v="50"/>
    <n v="0"/>
    <n v="20"/>
    <s v="Water2"/>
    <m/>
    <n v="190"/>
    <n v="66"/>
    <n v="600000"/>
    <x v="0"/>
    <m/>
    <m/>
    <n v="49"/>
    <n v="49"/>
    <n v="56"/>
    <n v="49"/>
    <n v="61"/>
    <n v="66"/>
    <n v="330"/>
    <n v="0"/>
    <n v="0"/>
    <n v="0"/>
    <n v="0"/>
    <n v="0"/>
    <n v="1"/>
  </r>
  <r>
    <s v="Lumineon"/>
    <x v="559"/>
    <n v="457"/>
    <s v="457_0"/>
    <x v="6"/>
    <n v="1.2"/>
    <n v="24"/>
    <x v="2"/>
    <m/>
    <s v="Swift Swim"/>
    <s v="Storm Drain"/>
    <s v="Water Veil"/>
    <s v="Blue"/>
    <n v="50"/>
    <n v="50"/>
    <n v="0"/>
    <n v="20"/>
    <s v="Water2"/>
    <m/>
    <n v="75"/>
    <n v="161"/>
    <n v="600000"/>
    <x v="0"/>
    <m/>
    <m/>
    <n v="69"/>
    <n v="69"/>
    <n v="76"/>
    <n v="69"/>
    <n v="86"/>
    <n v="91"/>
    <n v="460"/>
    <n v="0"/>
    <n v="0"/>
    <n v="0"/>
    <n v="0"/>
    <n v="0"/>
    <n v="2"/>
  </r>
  <r>
    <s v="Mantyke"/>
    <x v="560"/>
    <n v="458"/>
    <s v="458_0"/>
    <x v="6"/>
    <n v="1"/>
    <n v="65"/>
    <x v="2"/>
    <s v="Flying"/>
    <s v="Swift Swim"/>
    <s v="Water Absorb"/>
    <s v="Water Veil"/>
    <s v="Blue"/>
    <n v="50"/>
    <n v="50"/>
    <n v="0"/>
    <n v="25"/>
    <s v="Undiscovered"/>
    <m/>
    <n v="25"/>
    <n v="69"/>
    <n v="1250000"/>
    <x v="0"/>
    <m/>
    <m/>
    <n v="45"/>
    <n v="20"/>
    <n v="50"/>
    <n v="60"/>
    <n v="120"/>
    <n v="50"/>
    <n v="345"/>
    <n v="0"/>
    <n v="0"/>
    <n v="0"/>
    <n v="0"/>
    <n v="1"/>
    <n v="0"/>
  </r>
  <r>
    <s v="Snover"/>
    <x v="561"/>
    <n v="459"/>
    <s v="459_0"/>
    <x v="6"/>
    <n v="1"/>
    <n v="50.5"/>
    <x v="0"/>
    <s v="Ice"/>
    <s v="Snow Warning"/>
    <m/>
    <s v="Soundproof"/>
    <s v="White"/>
    <n v="50"/>
    <n v="50"/>
    <n v="0"/>
    <n v="20"/>
    <s v="Monster"/>
    <s v="Grass"/>
    <n v="120"/>
    <n v="67"/>
    <n v="1250000"/>
    <x v="0"/>
    <m/>
    <m/>
    <n v="60"/>
    <n v="62"/>
    <n v="50"/>
    <n v="62"/>
    <n v="60"/>
    <n v="40"/>
    <n v="334"/>
    <n v="0"/>
    <n v="1"/>
    <n v="0"/>
    <n v="0"/>
    <n v="0"/>
    <n v="0"/>
  </r>
  <r>
    <s v="Abomasnow"/>
    <x v="562"/>
    <n v="460"/>
    <s v="460_0"/>
    <x v="6"/>
    <n v="2.2000000000000002"/>
    <n v="135.5"/>
    <x v="0"/>
    <s v="Ice"/>
    <s v="Snow Warning"/>
    <m/>
    <s v="Soundproof"/>
    <s v="White"/>
    <n v="50"/>
    <n v="50"/>
    <n v="0"/>
    <n v="20"/>
    <s v="Monster"/>
    <s v="Grass"/>
    <n v="60"/>
    <n v="173"/>
    <n v="1250000"/>
    <x v="0"/>
    <m/>
    <m/>
    <n v="90"/>
    <n v="92"/>
    <n v="75"/>
    <n v="92"/>
    <n v="85"/>
    <n v="60"/>
    <n v="494"/>
    <n v="0"/>
    <n v="1"/>
    <n v="0"/>
    <n v="1"/>
    <n v="0"/>
    <n v="0"/>
  </r>
  <r>
    <s v="Abomasnow"/>
    <x v="563"/>
    <n v="460"/>
    <s v="460_1"/>
    <x v="6"/>
    <n v="2.7"/>
    <n v="185"/>
    <x v="0"/>
    <s v="Ice"/>
    <s v="Snow Warning"/>
    <m/>
    <m/>
    <s v="White"/>
    <n v="50"/>
    <n v="50"/>
    <n v="0"/>
    <n v="20"/>
    <s v="Monster"/>
    <s v="Grass"/>
    <n v="60"/>
    <n v="208"/>
    <n v="1250000"/>
    <x v="0"/>
    <s v="Mega"/>
    <m/>
    <n v="90"/>
    <n v="132"/>
    <n v="105"/>
    <n v="132"/>
    <n v="105"/>
    <n v="30"/>
    <n v="594"/>
    <n v="0"/>
    <n v="1"/>
    <n v="0"/>
    <n v="1"/>
    <n v="0"/>
    <n v="0"/>
  </r>
  <r>
    <s v="Weavile"/>
    <x v="564"/>
    <n v="461"/>
    <s v="461_0"/>
    <x v="6"/>
    <n v="1.1000000000000001"/>
    <n v="34"/>
    <x v="5"/>
    <s v="Ice"/>
    <s v="Pressure"/>
    <m/>
    <s v="Pickpocket"/>
    <s v="Black"/>
    <n v="50"/>
    <n v="50"/>
    <n v="0"/>
    <n v="20"/>
    <s v="Ground"/>
    <m/>
    <n v="45"/>
    <n v="179"/>
    <n v="1059860"/>
    <x v="0"/>
    <m/>
    <m/>
    <n v="70"/>
    <n v="120"/>
    <n v="65"/>
    <n v="45"/>
    <n v="85"/>
    <n v="125"/>
    <n v="510"/>
    <n v="0"/>
    <n v="1"/>
    <n v="0"/>
    <n v="0"/>
    <n v="0"/>
    <n v="1"/>
  </r>
  <r>
    <s v="Magnezone"/>
    <x v="565"/>
    <n v="462"/>
    <s v="462_0"/>
    <x v="6"/>
    <n v="1.2"/>
    <n v="180"/>
    <x v="7"/>
    <s v="Steel"/>
    <s v="Magnet Pull"/>
    <s v="Sturdy"/>
    <s v="Analytic"/>
    <s v="Gray"/>
    <n v="0"/>
    <n v="0"/>
    <n v="100"/>
    <n v="20"/>
    <s v="Mineral"/>
    <m/>
    <n v="30"/>
    <n v="268"/>
    <n v="1000000"/>
    <x v="0"/>
    <m/>
    <m/>
    <n v="70"/>
    <n v="70"/>
    <n v="115"/>
    <n v="130"/>
    <n v="90"/>
    <n v="60"/>
    <n v="535"/>
    <n v="0"/>
    <n v="0"/>
    <n v="0"/>
    <n v="3"/>
    <n v="0"/>
    <n v="0"/>
  </r>
  <r>
    <s v="Lickilicky"/>
    <x v="566"/>
    <n v="463"/>
    <s v="463_0"/>
    <x v="6"/>
    <n v="1.7"/>
    <n v="140"/>
    <x v="4"/>
    <m/>
    <s v="Own Tempo"/>
    <s v="Oblivious"/>
    <s v="Cloud Nine"/>
    <s v="Pink"/>
    <n v="50"/>
    <n v="50"/>
    <n v="0"/>
    <n v="20"/>
    <s v="Monster"/>
    <m/>
    <n v="30"/>
    <n v="180"/>
    <n v="1000000"/>
    <x v="0"/>
    <m/>
    <m/>
    <n v="110"/>
    <n v="85"/>
    <n v="95"/>
    <n v="80"/>
    <n v="95"/>
    <n v="50"/>
    <n v="515"/>
    <n v="3"/>
    <n v="0"/>
    <n v="0"/>
    <n v="0"/>
    <n v="0"/>
    <n v="0"/>
  </r>
  <r>
    <s v="Rhyperior"/>
    <x v="567"/>
    <n v="464"/>
    <s v="464_0"/>
    <x v="6"/>
    <n v="2.4"/>
    <n v="282.8"/>
    <x v="8"/>
    <s v="Rock"/>
    <s v="Lightning Rod"/>
    <s v="Solid Rock"/>
    <s v="Reckless"/>
    <s v="Gray"/>
    <n v="50"/>
    <n v="50"/>
    <n v="0"/>
    <n v="20"/>
    <s v="Monster"/>
    <s v="Ground"/>
    <n v="30"/>
    <n v="268"/>
    <n v="1250000"/>
    <x v="0"/>
    <m/>
    <m/>
    <n v="115"/>
    <n v="140"/>
    <n v="130"/>
    <n v="55"/>
    <n v="55"/>
    <n v="40"/>
    <n v="535"/>
    <n v="0"/>
    <n v="3"/>
    <n v="0"/>
    <n v="0"/>
    <n v="0"/>
    <n v="0"/>
  </r>
  <r>
    <s v="Tangrowth"/>
    <x v="568"/>
    <n v="465"/>
    <s v="465_0"/>
    <x v="6"/>
    <n v="2"/>
    <n v="128.6"/>
    <x v="0"/>
    <m/>
    <s v="Chlorophyll"/>
    <s v="Leaf Guard"/>
    <s v="Regenerator"/>
    <s v="Blue"/>
    <n v="50"/>
    <n v="50"/>
    <n v="0"/>
    <n v="20"/>
    <s v="Grass"/>
    <m/>
    <n v="30"/>
    <n v="187"/>
    <n v="1000000"/>
    <x v="0"/>
    <m/>
    <m/>
    <n v="100"/>
    <n v="100"/>
    <n v="125"/>
    <n v="110"/>
    <n v="50"/>
    <n v="50"/>
    <n v="535"/>
    <n v="0"/>
    <n v="0"/>
    <n v="2"/>
    <n v="0"/>
    <n v="0"/>
    <n v="0"/>
  </r>
  <r>
    <s v="Electivire"/>
    <x v="569"/>
    <n v="466"/>
    <s v="466_0"/>
    <x v="6"/>
    <n v="1.8"/>
    <n v="138.6"/>
    <x v="7"/>
    <m/>
    <s v="Motor Drive"/>
    <m/>
    <s v="Vital Spirit"/>
    <s v="Yellow"/>
    <n v="75"/>
    <n v="25"/>
    <n v="0"/>
    <n v="25"/>
    <s v="Human-Like"/>
    <m/>
    <n v="30"/>
    <n v="270"/>
    <n v="1000000"/>
    <x v="0"/>
    <m/>
    <m/>
    <n v="75"/>
    <n v="123"/>
    <n v="67"/>
    <n v="95"/>
    <n v="85"/>
    <n v="95"/>
    <n v="540"/>
    <n v="0"/>
    <n v="3"/>
    <n v="0"/>
    <n v="0"/>
    <n v="0"/>
    <n v="0"/>
  </r>
  <r>
    <s v="Magmortar"/>
    <x v="570"/>
    <n v="467"/>
    <s v="467_0"/>
    <x v="6"/>
    <n v="1.6"/>
    <n v="68"/>
    <x v="1"/>
    <m/>
    <s v="Flame Body"/>
    <m/>
    <s v="Vital Spirit"/>
    <s v="Red"/>
    <n v="75"/>
    <n v="25"/>
    <n v="0"/>
    <n v="25"/>
    <s v="Human-Like"/>
    <m/>
    <n v="30"/>
    <n v="270"/>
    <n v="1000000"/>
    <x v="0"/>
    <m/>
    <m/>
    <n v="75"/>
    <n v="95"/>
    <n v="67"/>
    <n v="125"/>
    <n v="95"/>
    <n v="83"/>
    <n v="540"/>
    <n v="0"/>
    <n v="0"/>
    <n v="0"/>
    <n v="3"/>
    <n v="0"/>
    <n v="0"/>
  </r>
  <r>
    <s v="Togekiss"/>
    <x v="571"/>
    <n v="468"/>
    <s v="468_0"/>
    <x v="6"/>
    <n v="1.5"/>
    <n v="38"/>
    <x v="10"/>
    <s v="Flying"/>
    <s v="Hustle"/>
    <s v="Serene Grace"/>
    <s v="Super Luck"/>
    <s v="White"/>
    <n v="87.5"/>
    <n v="12.5"/>
    <n v="0"/>
    <n v="10"/>
    <s v="Flying"/>
    <s v="Fairy"/>
    <n v="30"/>
    <n v="273"/>
    <n v="800000"/>
    <x v="0"/>
    <m/>
    <m/>
    <n v="85"/>
    <n v="50"/>
    <n v="95"/>
    <n v="120"/>
    <n v="115"/>
    <n v="80"/>
    <n v="545"/>
    <n v="0"/>
    <n v="0"/>
    <n v="0"/>
    <n v="2"/>
    <n v="1"/>
    <n v="0"/>
  </r>
  <r>
    <s v="Yanmega"/>
    <x v="572"/>
    <n v="469"/>
    <s v="469_0"/>
    <x v="6"/>
    <n v="1.9"/>
    <n v="51.5"/>
    <x v="3"/>
    <s v="Flying"/>
    <s v="Speed Boost"/>
    <s v="Tinted Lens"/>
    <s v="Frisk"/>
    <s v="Green"/>
    <n v="50"/>
    <n v="50"/>
    <n v="0"/>
    <n v="20"/>
    <s v="Bug"/>
    <m/>
    <n v="30"/>
    <n v="180"/>
    <n v="1000000"/>
    <x v="0"/>
    <m/>
    <m/>
    <n v="86"/>
    <n v="76"/>
    <n v="86"/>
    <n v="116"/>
    <n v="56"/>
    <n v="95"/>
    <n v="515"/>
    <n v="0"/>
    <n v="2"/>
    <n v="0"/>
    <n v="0"/>
    <n v="0"/>
    <n v="0"/>
  </r>
  <r>
    <s v="Leafeon"/>
    <x v="573"/>
    <n v="470"/>
    <s v="470_0"/>
    <x v="6"/>
    <n v="1"/>
    <n v="25.5"/>
    <x v="0"/>
    <m/>
    <s v="Leaf Guard"/>
    <m/>
    <s v="Chlorophyll"/>
    <s v="Green"/>
    <n v="87.5"/>
    <n v="12.5"/>
    <n v="0"/>
    <n v="35"/>
    <s v="Ground"/>
    <m/>
    <n v="45"/>
    <n v="184"/>
    <n v="1000000"/>
    <x v="0"/>
    <m/>
    <m/>
    <n v="65"/>
    <n v="110"/>
    <n v="130"/>
    <n v="60"/>
    <n v="65"/>
    <n v="95"/>
    <n v="525"/>
    <n v="0"/>
    <n v="0"/>
    <n v="2"/>
    <n v="0"/>
    <n v="0"/>
    <n v="0"/>
  </r>
  <r>
    <s v="Glaceon"/>
    <x v="574"/>
    <n v="471"/>
    <s v="471_0"/>
    <x v="6"/>
    <n v="0.8"/>
    <n v="25.9"/>
    <x v="9"/>
    <m/>
    <s v="Snow Cloak"/>
    <m/>
    <s v="Ice Body"/>
    <s v="Blue"/>
    <n v="87.5"/>
    <n v="12.5"/>
    <n v="0"/>
    <n v="35"/>
    <s v="Ground"/>
    <m/>
    <n v="45"/>
    <n v="184"/>
    <n v="1000000"/>
    <x v="0"/>
    <m/>
    <m/>
    <n v="65"/>
    <n v="60"/>
    <n v="110"/>
    <n v="130"/>
    <n v="95"/>
    <n v="65"/>
    <n v="525"/>
    <n v="0"/>
    <n v="0"/>
    <n v="0"/>
    <n v="2"/>
    <n v="0"/>
    <n v="0"/>
  </r>
  <r>
    <s v="Gliscor"/>
    <x v="575"/>
    <n v="472"/>
    <s v="472_0"/>
    <x v="6"/>
    <n v="2"/>
    <n v="42.5"/>
    <x v="8"/>
    <s v="Flying"/>
    <s v="Hyper Cutter"/>
    <s v="Sand Veil"/>
    <s v="Poison Heal"/>
    <s v="Purple"/>
    <n v="50"/>
    <n v="50"/>
    <n v="0"/>
    <n v="20"/>
    <s v="Bug"/>
    <m/>
    <n v="30"/>
    <n v="179"/>
    <n v="1059860"/>
    <x v="0"/>
    <m/>
    <m/>
    <n v="75"/>
    <n v="95"/>
    <n v="125"/>
    <n v="45"/>
    <n v="75"/>
    <n v="95"/>
    <n v="510"/>
    <n v="0"/>
    <n v="0"/>
    <n v="2"/>
    <n v="0"/>
    <n v="0"/>
    <n v="0"/>
  </r>
  <r>
    <s v="Mamoswine"/>
    <x v="576"/>
    <n v="473"/>
    <s v="473_0"/>
    <x v="6"/>
    <n v="2.5"/>
    <n v="291"/>
    <x v="9"/>
    <s v="Ground"/>
    <s v="Oblivious"/>
    <s v="Snow Cloak"/>
    <s v="Thick Fat"/>
    <s v="Brown"/>
    <n v="50"/>
    <n v="50"/>
    <n v="0"/>
    <n v="20"/>
    <s v="Ground"/>
    <m/>
    <n v="50"/>
    <n v="265"/>
    <n v="1250000"/>
    <x v="0"/>
    <m/>
    <m/>
    <n v="110"/>
    <n v="130"/>
    <n v="80"/>
    <n v="70"/>
    <n v="60"/>
    <n v="80"/>
    <n v="530"/>
    <n v="0"/>
    <n v="3"/>
    <n v="0"/>
    <n v="0"/>
    <n v="0"/>
    <n v="0"/>
  </r>
  <r>
    <s v="Porygon-Z"/>
    <x v="577"/>
    <n v="474"/>
    <s v="474_0"/>
    <x v="6"/>
    <n v="0.9"/>
    <n v="34"/>
    <x v="4"/>
    <m/>
    <s v="Adaptability"/>
    <s v="Download"/>
    <s v="Analytic"/>
    <s v="Red"/>
    <n v="0"/>
    <n v="0"/>
    <n v="100"/>
    <n v="20"/>
    <s v="Mineral"/>
    <m/>
    <n v="30"/>
    <n v="268"/>
    <n v="1000000"/>
    <x v="0"/>
    <m/>
    <m/>
    <n v="85"/>
    <n v="80"/>
    <n v="70"/>
    <n v="135"/>
    <n v="75"/>
    <n v="90"/>
    <n v="535"/>
    <n v="0"/>
    <n v="0"/>
    <n v="0"/>
    <n v="3"/>
    <n v="0"/>
    <n v="0"/>
  </r>
  <r>
    <s v="Gallade"/>
    <x v="578"/>
    <n v="475"/>
    <s v="475_0"/>
    <x v="6"/>
    <n v="1.6"/>
    <n v="52"/>
    <x v="13"/>
    <s v="Fighting"/>
    <s v="Steadfast"/>
    <s v="Sharpness"/>
    <s v="Justified"/>
    <s v="White"/>
    <n v="100"/>
    <n v="0"/>
    <n v="0"/>
    <n v="20"/>
    <s v="Human-Like"/>
    <s v="Amorphous"/>
    <n v="45"/>
    <n v="259"/>
    <n v="1250000"/>
    <x v="0"/>
    <m/>
    <m/>
    <n v="68"/>
    <n v="125"/>
    <n v="65"/>
    <n v="65"/>
    <n v="115"/>
    <n v="80"/>
    <n v="518"/>
    <n v="0"/>
    <n v="3"/>
    <n v="0"/>
    <n v="0"/>
    <n v="0"/>
    <n v="0"/>
  </r>
  <r>
    <s v="Gallade"/>
    <x v="579"/>
    <n v="475"/>
    <s v="475_1"/>
    <x v="6"/>
    <n v="1.6"/>
    <n v="56.4"/>
    <x v="13"/>
    <s v="Fighting"/>
    <s v="Inner Focus"/>
    <m/>
    <m/>
    <s v="White"/>
    <n v="100"/>
    <n v="0"/>
    <n v="0"/>
    <n v="20"/>
    <s v="Amorphous"/>
    <m/>
    <n v="45"/>
    <n v="278"/>
    <n v="1250000"/>
    <x v="0"/>
    <s v="Mega"/>
    <m/>
    <n v="68"/>
    <n v="165"/>
    <n v="95"/>
    <n v="65"/>
    <n v="115"/>
    <n v="110"/>
    <n v="618"/>
    <n v="0"/>
    <n v="3"/>
    <n v="0"/>
    <n v="0"/>
    <n v="0"/>
    <n v="0"/>
  </r>
  <r>
    <s v="Probopass"/>
    <x v="580"/>
    <n v="476"/>
    <s v="476_0"/>
    <x v="6"/>
    <n v="1.4"/>
    <n v="340"/>
    <x v="14"/>
    <s v="Steel"/>
    <s v="Sturdy"/>
    <s v="Magnet Pull"/>
    <s v="Sand Force"/>
    <s v="Gray"/>
    <n v="50"/>
    <n v="50"/>
    <n v="0"/>
    <n v="20"/>
    <s v="Mineral"/>
    <m/>
    <n v="60"/>
    <n v="184"/>
    <n v="1000000"/>
    <x v="0"/>
    <m/>
    <m/>
    <n v="60"/>
    <n v="55"/>
    <n v="145"/>
    <n v="75"/>
    <n v="150"/>
    <n v="40"/>
    <n v="525"/>
    <n v="0"/>
    <n v="0"/>
    <n v="1"/>
    <n v="0"/>
    <n v="2"/>
    <n v="0"/>
  </r>
  <r>
    <s v="Dusknoir"/>
    <x v="581"/>
    <n v="477"/>
    <s v="477_0"/>
    <x v="6"/>
    <n v="2.2000000000000002"/>
    <n v="106.6"/>
    <x v="15"/>
    <m/>
    <s v="Pressure"/>
    <m/>
    <s v="Frisk"/>
    <s v="Black"/>
    <n v="50"/>
    <n v="50"/>
    <n v="0"/>
    <n v="25"/>
    <s v="Amorphous"/>
    <m/>
    <n v="45"/>
    <n v="263"/>
    <n v="800000"/>
    <x v="0"/>
    <m/>
    <m/>
    <n v="45"/>
    <n v="100"/>
    <n v="135"/>
    <n v="65"/>
    <n v="135"/>
    <n v="45"/>
    <n v="525"/>
    <n v="0"/>
    <n v="0"/>
    <n v="1"/>
    <n v="0"/>
    <n v="2"/>
    <n v="0"/>
  </r>
  <r>
    <s v="Froslass"/>
    <x v="582"/>
    <n v="478"/>
    <s v="478_0"/>
    <x v="6"/>
    <n v="1.3"/>
    <n v="26.6"/>
    <x v="9"/>
    <s v="Ghost"/>
    <s v="Snow Cloak"/>
    <m/>
    <s v="Cursed Body"/>
    <s v="White"/>
    <n v="0"/>
    <n v="100"/>
    <n v="0"/>
    <n v="20"/>
    <s v="Fairy"/>
    <s v="Mineral"/>
    <n v="75"/>
    <n v="168"/>
    <n v="1000000"/>
    <x v="0"/>
    <m/>
    <m/>
    <n v="70"/>
    <n v="80"/>
    <n v="70"/>
    <n v="80"/>
    <n v="70"/>
    <n v="110"/>
    <n v="480"/>
    <n v="0"/>
    <n v="0"/>
    <n v="0"/>
    <n v="0"/>
    <n v="0"/>
    <n v="2"/>
  </r>
  <r>
    <s v="Rotom"/>
    <x v="583"/>
    <n v="479"/>
    <s v="479_0"/>
    <x v="6"/>
    <n v="0.3"/>
    <n v="0.3"/>
    <x v="7"/>
    <s v="Ghost"/>
    <s v="Levitate"/>
    <m/>
    <m/>
    <s v="Red"/>
    <n v="0"/>
    <n v="0"/>
    <n v="100"/>
    <n v="20"/>
    <s v="Amorphous"/>
    <m/>
    <n v="45"/>
    <n v="154"/>
    <n v="1000000"/>
    <x v="0"/>
    <m/>
    <m/>
    <n v="50"/>
    <n v="50"/>
    <n v="77"/>
    <n v="95"/>
    <n v="77"/>
    <n v="91"/>
    <n v="440"/>
    <n v="0"/>
    <n v="0"/>
    <n v="0"/>
    <n v="1"/>
    <n v="0"/>
    <n v="1"/>
  </r>
  <r>
    <s v="Rotom"/>
    <x v="584"/>
    <n v="479"/>
    <s v="479_1"/>
    <x v="6"/>
    <n v="0.3"/>
    <n v="0.3"/>
    <x v="7"/>
    <s v="Fire"/>
    <s v="Levitate"/>
    <m/>
    <m/>
    <s v="Red"/>
    <n v="0"/>
    <n v="0"/>
    <n v="100"/>
    <n v="20"/>
    <s v="Amorphous"/>
    <m/>
    <n v="45"/>
    <n v="182"/>
    <n v="1000000"/>
    <x v="0"/>
    <m/>
    <m/>
    <n v="50"/>
    <n v="65"/>
    <n v="107"/>
    <n v="105"/>
    <n v="107"/>
    <n v="86"/>
    <n v="520"/>
    <n v="0"/>
    <n v="0"/>
    <n v="0"/>
    <n v="1"/>
    <n v="0"/>
    <n v="1"/>
  </r>
  <r>
    <s v="Rotom"/>
    <x v="585"/>
    <n v="479"/>
    <s v="479_2"/>
    <x v="6"/>
    <n v="0.3"/>
    <n v="0.3"/>
    <x v="7"/>
    <s v="Water"/>
    <s v="Levitate"/>
    <m/>
    <m/>
    <s v="Red"/>
    <n v="0"/>
    <n v="0"/>
    <n v="100"/>
    <n v="20"/>
    <s v="Amorphous"/>
    <m/>
    <n v="45"/>
    <n v="182"/>
    <n v="1000000"/>
    <x v="0"/>
    <m/>
    <m/>
    <n v="50"/>
    <n v="65"/>
    <n v="107"/>
    <n v="105"/>
    <n v="107"/>
    <n v="86"/>
    <n v="520"/>
    <n v="0"/>
    <n v="0"/>
    <n v="0"/>
    <n v="1"/>
    <n v="0"/>
    <n v="1"/>
  </r>
  <r>
    <s v="Rotom"/>
    <x v="586"/>
    <n v="479"/>
    <s v="479_3"/>
    <x v="6"/>
    <n v="0.3"/>
    <n v="0.3"/>
    <x v="7"/>
    <s v="Ice"/>
    <s v="Levitate"/>
    <m/>
    <m/>
    <s v="Red"/>
    <n v="0"/>
    <n v="0"/>
    <n v="100"/>
    <n v="20"/>
    <s v="Amorphous"/>
    <m/>
    <n v="45"/>
    <n v="182"/>
    <n v="1000000"/>
    <x v="0"/>
    <m/>
    <m/>
    <n v="50"/>
    <n v="65"/>
    <n v="107"/>
    <n v="105"/>
    <n v="107"/>
    <n v="86"/>
    <n v="520"/>
    <n v="0"/>
    <n v="0"/>
    <n v="0"/>
    <n v="1"/>
    <n v="0"/>
    <n v="1"/>
  </r>
  <r>
    <s v="Rotom"/>
    <x v="587"/>
    <n v="479"/>
    <s v="479_4"/>
    <x v="6"/>
    <n v="0.3"/>
    <n v="0.3"/>
    <x v="7"/>
    <s v="Flying"/>
    <s v="Levitate"/>
    <m/>
    <m/>
    <s v="Red"/>
    <n v="0"/>
    <n v="0"/>
    <n v="100"/>
    <n v="20"/>
    <s v="Amorphous"/>
    <m/>
    <n v="45"/>
    <n v="182"/>
    <n v="1000000"/>
    <x v="0"/>
    <m/>
    <m/>
    <n v="50"/>
    <n v="65"/>
    <n v="107"/>
    <n v="105"/>
    <n v="107"/>
    <n v="86"/>
    <n v="520"/>
    <n v="0"/>
    <n v="0"/>
    <n v="0"/>
    <n v="1"/>
    <n v="0"/>
    <n v="1"/>
  </r>
  <r>
    <s v="Rotom"/>
    <x v="588"/>
    <n v="479"/>
    <s v="479_5"/>
    <x v="6"/>
    <n v="0.3"/>
    <n v="0.3"/>
    <x v="7"/>
    <s v="Grass"/>
    <s v="Levitate"/>
    <m/>
    <m/>
    <s v="Red"/>
    <n v="0"/>
    <n v="0"/>
    <n v="100"/>
    <n v="20"/>
    <s v="Amorphous"/>
    <m/>
    <n v="45"/>
    <n v="182"/>
    <n v="1000000"/>
    <x v="0"/>
    <m/>
    <m/>
    <n v="50"/>
    <n v="65"/>
    <n v="107"/>
    <n v="105"/>
    <n v="107"/>
    <n v="86"/>
    <n v="520"/>
    <n v="0"/>
    <n v="0"/>
    <n v="0"/>
    <n v="1"/>
    <n v="0"/>
    <n v="1"/>
  </r>
  <r>
    <s v="Uxie"/>
    <x v="589"/>
    <n v="480"/>
    <s v="480_0"/>
    <x v="6"/>
    <n v="0.3"/>
    <n v="0.3"/>
    <x v="13"/>
    <m/>
    <s v="Levitate"/>
    <m/>
    <m/>
    <s v="Yellow"/>
    <n v="0"/>
    <n v="0"/>
    <n v="100"/>
    <n v="80"/>
    <s v="Undiscovered"/>
    <m/>
    <n v="3"/>
    <n v="290"/>
    <n v="1250000"/>
    <x v="1"/>
    <m/>
    <m/>
    <n v="75"/>
    <n v="75"/>
    <n v="130"/>
    <n v="75"/>
    <n v="130"/>
    <n v="95"/>
    <n v="580"/>
    <n v="0"/>
    <n v="0"/>
    <n v="2"/>
    <n v="0"/>
    <n v="1"/>
    <n v="0"/>
  </r>
  <r>
    <s v="Mesprit"/>
    <x v="590"/>
    <n v="481"/>
    <s v="481_0"/>
    <x v="6"/>
    <n v="0.3"/>
    <n v="0.3"/>
    <x v="13"/>
    <m/>
    <s v="Levitate"/>
    <m/>
    <m/>
    <s v="Pink"/>
    <n v="0"/>
    <n v="0"/>
    <n v="100"/>
    <n v="80"/>
    <s v="Undiscovered"/>
    <m/>
    <n v="3"/>
    <n v="290"/>
    <n v="1250000"/>
    <x v="1"/>
    <m/>
    <m/>
    <n v="80"/>
    <n v="105"/>
    <n v="105"/>
    <n v="105"/>
    <n v="105"/>
    <n v="80"/>
    <n v="580"/>
    <n v="0"/>
    <n v="1"/>
    <n v="0"/>
    <n v="1"/>
    <n v="1"/>
    <n v="0"/>
  </r>
  <r>
    <s v="Azelf"/>
    <x v="591"/>
    <n v="482"/>
    <s v="482_0"/>
    <x v="6"/>
    <n v="0.3"/>
    <n v="0.3"/>
    <x v="13"/>
    <m/>
    <s v="Levitate"/>
    <m/>
    <m/>
    <s v="Blue"/>
    <n v="0"/>
    <n v="0"/>
    <n v="100"/>
    <n v="80"/>
    <s v="Undiscovered"/>
    <m/>
    <n v="3"/>
    <n v="290"/>
    <n v="1250000"/>
    <x v="1"/>
    <m/>
    <m/>
    <n v="75"/>
    <n v="125"/>
    <n v="70"/>
    <n v="125"/>
    <n v="70"/>
    <n v="115"/>
    <n v="580"/>
    <n v="0"/>
    <n v="2"/>
    <n v="0"/>
    <n v="1"/>
    <n v="0"/>
    <n v="0"/>
  </r>
  <r>
    <s v="Dialga"/>
    <x v="592"/>
    <n v="483"/>
    <s v="483_0"/>
    <x v="6"/>
    <n v="5.4"/>
    <n v="683"/>
    <x v="11"/>
    <s v="Dragon"/>
    <s v="Pressure"/>
    <m/>
    <s v="Telepathy"/>
    <s v="White"/>
    <n v="0"/>
    <n v="0"/>
    <n v="100"/>
    <n v="120"/>
    <s v="Undiscovered"/>
    <m/>
    <n v="3"/>
    <n v="340"/>
    <n v="1250000"/>
    <x v="2"/>
    <m/>
    <m/>
    <n v="100"/>
    <n v="120"/>
    <n v="120"/>
    <n v="150"/>
    <n v="100"/>
    <n v="90"/>
    <n v="680"/>
    <n v="0"/>
    <n v="0"/>
    <n v="0"/>
    <n v="3"/>
    <n v="0"/>
    <n v="0"/>
  </r>
  <r>
    <s v="Dialga"/>
    <x v="593"/>
    <n v="483"/>
    <s v="483_1"/>
    <x v="6"/>
    <n v="7"/>
    <n v="850"/>
    <x v="11"/>
    <s v="Dragon"/>
    <s v="Pressure"/>
    <m/>
    <s v="Telepathy"/>
    <s v="White"/>
    <n v="0"/>
    <n v="0"/>
    <n v="100"/>
    <n v="120"/>
    <s v="Undiscovered"/>
    <m/>
    <n v="3"/>
    <n v="340"/>
    <n v="1250000"/>
    <x v="2"/>
    <m/>
    <m/>
    <n v="100"/>
    <n v="100"/>
    <n v="120"/>
    <n v="150"/>
    <n v="120"/>
    <n v="90"/>
    <n v="680"/>
    <n v="0"/>
    <n v="0"/>
    <n v="0"/>
    <n v="3"/>
    <n v="0"/>
    <n v="0"/>
  </r>
  <r>
    <s v="Palkia"/>
    <x v="594"/>
    <n v="484"/>
    <s v="484_0"/>
    <x v="6"/>
    <n v="4.2"/>
    <n v="336"/>
    <x v="2"/>
    <s v="Dragon"/>
    <s v="Pressure"/>
    <m/>
    <s v="Telepathy"/>
    <s v="Purple"/>
    <n v="0"/>
    <n v="0"/>
    <n v="100"/>
    <n v="120"/>
    <s v="Undiscovered"/>
    <m/>
    <n v="3"/>
    <n v="340"/>
    <n v="1250000"/>
    <x v="2"/>
    <m/>
    <m/>
    <n v="90"/>
    <n v="120"/>
    <n v="100"/>
    <n v="150"/>
    <n v="120"/>
    <n v="100"/>
    <n v="680"/>
    <n v="0"/>
    <n v="0"/>
    <n v="0"/>
    <n v="3"/>
    <n v="0"/>
    <n v="0"/>
  </r>
  <r>
    <s v="Palkia"/>
    <x v="595"/>
    <n v="484"/>
    <s v="484_1"/>
    <x v="6"/>
    <n v="6.3"/>
    <n v="660"/>
    <x v="2"/>
    <s v="Dragon"/>
    <s v="Pressure"/>
    <m/>
    <s v="Telepathy"/>
    <s v="Purple"/>
    <n v="0"/>
    <n v="0"/>
    <n v="100"/>
    <n v="120"/>
    <s v="Undiscovered"/>
    <m/>
    <n v="3"/>
    <n v="340"/>
    <n v="1250000"/>
    <x v="2"/>
    <m/>
    <m/>
    <n v="90"/>
    <n v="100"/>
    <n v="100"/>
    <n v="150"/>
    <n v="120"/>
    <n v="120"/>
    <n v="680"/>
    <n v="0"/>
    <n v="0"/>
    <n v="0"/>
    <n v="3"/>
    <n v="0"/>
    <n v="0"/>
  </r>
  <r>
    <s v="Heatran"/>
    <x v="596"/>
    <n v="485"/>
    <s v="485_0"/>
    <x v="6"/>
    <n v="1.7"/>
    <n v="430"/>
    <x v="1"/>
    <s v="Steel"/>
    <s v="Flash Fire"/>
    <m/>
    <s v="Flame Body"/>
    <s v="Brown"/>
    <n v="50"/>
    <n v="50"/>
    <n v="0"/>
    <n v="10"/>
    <s v="Undiscovered"/>
    <m/>
    <n v="3"/>
    <n v="300"/>
    <n v="1250000"/>
    <x v="1"/>
    <m/>
    <m/>
    <n v="91"/>
    <n v="90"/>
    <n v="106"/>
    <n v="130"/>
    <n v="106"/>
    <n v="77"/>
    <n v="600"/>
    <n v="0"/>
    <n v="0"/>
    <n v="0"/>
    <n v="3"/>
    <n v="0"/>
    <n v="0"/>
  </r>
  <r>
    <s v="Regigigas"/>
    <x v="597"/>
    <n v="486"/>
    <s v="486_0"/>
    <x v="6"/>
    <n v="3.7"/>
    <n v="420"/>
    <x v="4"/>
    <m/>
    <s v="Slow Start"/>
    <m/>
    <m/>
    <s v="White"/>
    <n v="0"/>
    <n v="0"/>
    <n v="100"/>
    <n v="120"/>
    <s v="Undiscovered"/>
    <m/>
    <n v="3"/>
    <n v="335"/>
    <n v="1250000"/>
    <x v="1"/>
    <m/>
    <m/>
    <n v="110"/>
    <n v="160"/>
    <n v="110"/>
    <n v="80"/>
    <n v="110"/>
    <n v="100"/>
    <n v="670"/>
    <n v="0"/>
    <n v="3"/>
    <n v="0"/>
    <n v="0"/>
    <n v="0"/>
    <n v="0"/>
  </r>
  <r>
    <s v="Giratina"/>
    <x v="598"/>
    <n v="487"/>
    <s v="487_0"/>
    <x v="6"/>
    <n v="4.5"/>
    <n v="750"/>
    <x v="15"/>
    <s v="Dragon"/>
    <s v="Pressure"/>
    <m/>
    <s v="Telepathy"/>
    <s v="Black"/>
    <n v="0"/>
    <n v="0"/>
    <n v="100"/>
    <n v="120"/>
    <s v="Undiscovered"/>
    <m/>
    <n v="3"/>
    <n v="340"/>
    <n v="1250000"/>
    <x v="2"/>
    <m/>
    <m/>
    <n v="150"/>
    <n v="100"/>
    <n v="120"/>
    <n v="100"/>
    <n v="120"/>
    <n v="90"/>
    <n v="680"/>
    <n v="3"/>
    <n v="0"/>
    <n v="0"/>
    <n v="0"/>
    <n v="0"/>
    <n v="0"/>
  </r>
  <r>
    <s v="Giratina"/>
    <x v="599"/>
    <n v="487"/>
    <s v="487_1"/>
    <x v="6"/>
    <n v="6.9"/>
    <n v="650"/>
    <x v="15"/>
    <s v="Dragon"/>
    <s v="Levitate"/>
    <m/>
    <m/>
    <s v="Black"/>
    <n v="0"/>
    <n v="0"/>
    <n v="100"/>
    <n v="120"/>
    <s v="Undiscovered"/>
    <m/>
    <n v="3"/>
    <n v="340"/>
    <n v="1250000"/>
    <x v="2"/>
    <m/>
    <m/>
    <n v="150"/>
    <n v="120"/>
    <n v="100"/>
    <n v="120"/>
    <n v="100"/>
    <n v="90"/>
    <n v="680"/>
    <n v="3"/>
    <n v="0"/>
    <n v="0"/>
    <n v="0"/>
    <n v="0"/>
    <n v="0"/>
  </r>
  <r>
    <s v="Cresselia"/>
    <x v="600"/>
    <n v="488"/>
    <s v="488_0"/>
    <x v="6"/>
    <n v="1.5"/>
    <n v="85.6"/>
    <x v="13"/>
    <m/>
    <s v="Levitate"/>
    <m/>
    <m/>
    <s v="Yellow"/>
    <n v="0"/>
    <n v="100"/>
    <n v="0"/>
    <n v="120"/>
    <s v="Undiscovered"/>
    <m/>
    <n v="3"/>
    <n v="290"/>
    <n v="1250000"/>
    <x v="1"/>
    <m/>
    <m/>
    <n v="120"/>
    <n v="70"/>
    <n v="110"/>
    <n v="75"/>
    <n v="120"/>
    <n v="85"/>
    <n v="580"/>
    <n v="0"/>
    <n v="0"/>
    <n v="0"/>
    <n v="0"/>
    <n v="3"/>
    <n v="0"/>
  </r>
  <r>
    <s v="Phione"/>
    <x v="601"/>
    <n v="489"/>
    <s v="489_0"/>
    <x v="6"/>
    <n v="0.4"/>
    <n v="3.1"/>
    <x v="2"/>
    <m/>
    <s v="Hydration"/>
    <m/>
    <m/>
    <s v="Blue"/>
    <n v="0"/>
    <n v="0"/>
    <n v="100"/>
    <n v="40"/>
    <s v="Water1"/>
    <s v="Fairy"/>
    <n v="30"/>
    <n v="216"/>
    <n v="1250000"/>
    <x v="3"/>
    <m/>
    <m/>
    <n v="80"/>
    <n v="80"/>
    <n v="80"/>
    <n v="80"/>
    <n v="80"/>
    <n v="80"/>
    <n v="480"/>
    <n v="1"/>
    <n v="0"/>
    <n v="0"/>
    <n v="0"/>
    <n v="0"/>
    <n v="0"/>
  </r>
  <r>
    <s v="Manaphy"/>
    <x v="602"/>
    <n v="490"/>
    <s v="490_0"/>
    <x v="6"/>
    <n v="0.3"/>
    <n v="1.4"/>
    <x v="2"/>
    <m/>
    <s v="Hydration"/>
    <m/>
    <m/>
    <s v="Blue"/>
    <n v="0"/>
    <n v="0"/>
    <n v="100"/>
    <n v="10"/>
    <s v="Water1"/>
    <s v="Fairy"/>
    <n v="3"/>
    <n v="270"/>
    <n v="1250000"/>
    <x v="3"/>
    <m/>
    <m/>
    <n v="100"/>
    <n v="100"/>
    <n v="100"/>
    <n v="100"/>
    <n v="100"/>
    <n v="100"/>
    <n v="600"/>
    <n v="3"/>
    <n v="0"/>
    <n v="0"/>
    <n v="0"/>
    <n v="0"/>
    <n v="0"/>
  </r>
  <r>
    <s v="Darkrai"/>
    <x v="603"/>
    <n v="491"/>
    <s v="491_0"/>
    <x v="6"/>
    <n v="1.5"/>
    <n v="50.5"/>
    <x v="5"/>
    <m/>
    <s v="Bad Dreams"/>
    <m/>
    <m/>
    <s v="Black"/>
    <n v="0"/>
    <n v="0"/>
    <n v="100"/>
    <n v="120"/>
    <s v="Undiscovered"/>
    <m/>
    <n v="3"/>
    <n v="270"/>
    <n v="1250000"/>
    <x v="3"/>
    <m/>
    <m/>
    <n v="70"/>
    <n v="90"/>
    <n v="90"/>
    <n v="135"/>
    <n v="90"/>
    <n v="125"/>
    <n v="600"/>
    <n v="0"/>
    <n v="0"/>
    <n v="0"/>
    <n v="2"/>
    <n v="0"/>
    <n v="1"/>
  </r>
  <r>
    <s v="Shaymin"/>
    <x v="604"/>
    <n v="492"/>
    <s v="492_0"/>
    <x v="6"/>
    <n v="0.2"/>
    <n v="2.1"/>
    <x v="0"/>
    <m/>
    <s v="Natural Cure"/>
    <m/>
    <m/>
    <s v="Green"/>
    <n v="0"/>
    <n v="0"/>
    <n v="100"/>
    <n v="120"/>
    <s v="Undiscovered"/>
    <m/>
    <n v="45"/>
    <n v="270"/>
    <n v="1059860"/>
    <x v="3"/>
    <m/>
    <m/>
    <n v="100"/>
    <n v="100"/>
    <n v="100"/>
    <n v="100"/>
    <n v="100"/>
    <n v="100"/>
    <n v="600"/>
    <n v="3"/>
    <n v="0"/>
    <n v="0"/>
    <n v="0"/>
    <n v="0"/>
    <n v="0"/>
  </r>
  <r>
    <s v="Shaymin"/>
    <x v="605"/>
    <n v="492"/>
    <s v="492_1"/>
    <x v="6"/>
    <n v="0.4"/>
    <n v="5.2"/>
    <x v="0"/>
    <s v="Flying"/>
    <s v="Serene Grace"/>
    <m/>
    <m/>
    <s v="Green"/>
    <n v="0"/>
    <n v="0"/>
    <n v="100"/>
    <n v="120"/>
    <s v="Undiscovered"/>
    <m/>
    <n v="45"/>
    <n v="270"/>
    <n v="1059860"/>
    <x v="3"/>
    <m/>
    <m/>
    <n v="100"/>
    <n v="103"/>
    <n v="75"/>
    <n v="120"/>
    <n v="75"/>
    <n v="127"/>
    <n v="600"/>
    <n v="0"/>
    <n v="0"/>
    <n v="0"/>
    <n v="0"/>
    <n v="0"/>
    <n v="3"/>
  </r>
  <r>
    <s v="Arceus"/>
    <x v="606"/>
    <n v="493"/>
    <s v="493_0"/>
    <x v="6"/>
    <n v="3.2"/>
    <n v="320"/>
    <x v="4"/>
    <m/>
    <s v="Multitype"/>
    <m/>
    <m/>
    <s v="White"/>
    <n v="0"/>
    <n v="0"/>
    <n v="100"/>
    <n v="120"/>
    <s v="Undiscovered"/>
    <m/>
    <n v="3"/>
    <n v="360"/>
    <n v="1250000"/>
    <x v="3"/>
    <m/>
    <m/>
    <n v="120"/>
    <n v="120"/>
    <n v="120"/>
    <n v="120"/>
    <n v="120"/>
    <n v="120"/>
    <n v="720"/>
    <n v="3"/>
    <n v="0"/>
    <n v="0"/>
    <n v="0"/>
    <n v="0"/>
    <n v="0"/>
  </r>
  <r>
    <s v="Victini"/>
    <x v="607"/>
    <n v="494"/>
    <s v="494_0"/>
    <x v="7"/>
    <n v="0.4"/>
    <n v="4"/>
    <x v="13"/>
    <s v="Fire"/>
    <s v="Victory Star"/>
    <m/>
    <m/>
    <s v="Yellow"/>
    <n v="0"/>
    <n v="0"/>
    <n v="100"/>
    <n v="120"/>
    <s v="Undiscovered"/>
    <m/>
    <n v="3"/>
    <n v="300"/>
    <n v="1250000"/>
    <x v="3"/>
    <m/>
    <m/>
    <n v="100"/>
    <n v="100"/>
    <n v="100"/>
    <n v="100"/>
    <n v="100"/>
    <n v="100"/>
    <n v="600"/>
    <n v="3"/>
    <n v="0"/>
    <n v="0"/>
    <n v="0"/>
    <n v="0"/>
    <n v="0"/>
  </r>
  <r>
    <s v="Snivy"/>
    <x v="608"/>
    <n v="495"/>
    <s v="495_0"/>
    <x v="7"/>
    <n v="0.6"/>
    <n v="8.1"/>
    <x v="0"/>
    <m/>
    <s v="Overgrow"/>
    <m/>
    <s v="Contrary"/>
    <s v="Green"/>
    <n v="87.5"/>
    <n v="12.5"/>
    <n v="0"/>
    <n v="20"/>
    <s v="Ground"/>
    <s v="Grass"/>
    <n v="45"/>
    <n v="62"/>
    <n v="1059860"/>
    <x v="0"/>
    <m/>
    <m/>
    <n v="45"/>
    <n v="45"/>
    <n v="55"/>
    <n v="45"/>
    <n v="55"/>
    <n v="63"/>
    <n v="308"/>
    <n v="0"/>
    <n v="0"/>
    <n v="0"/>
    <n v="0"/>
    <n v="0"/>
    <n v="1"/>
  </r>
  <r>
    <s v="Servine"/>
    <x v="609"/>
    <n v="496"/>
    <s v="496_0"/>
    <x v="7"/>
    <n v="0.8"/>
    <n v="16"/>
    <x v="0"/>
    <m/>
    <s v="Overgrow"/>
    <m/>
    <s v="Contrary"/>
    <s v="Green"/>
    <n v="87.5"/>
    <n v="12.5"/>
    <n v="0"/>
    <n v="20"/>
    <s v="Ground"/>
    <s v="Grass"/>
    <n v="45"/>
    <n v="145"/>
    <n v="1059860"/>
    <x v="0"/>
    <m/>
    <m/>
    <n v="60"/>
    <n v="60"/>
    <n v="75"/>
    <n v="60"/>
    <n v="75"/>
    <n v="83"/>
    <n v="413"/>
    <n v="0"/>
    <n v="0"/>
    <n v="0"/>
    <n v="0"/>
    <n v="0"/>
    <n v="2"/>
  </r>
  <r>
    <s v="Serperior"/>
    <x v="610"/>
    <n v="497"/>
    <s v="497_0"/>
    <x v="7"/>
    <n v="3.3"/>
    <n v="63"/>
    <x v="0"/>
    <m/>
    <s v="Overgrow"/>
    <m/>
    <s v="Contrary"/>
    <s v="Green"/>
    <n v="87.5"/>
    <n v="12.5"/>
    <n v="0"/>
    <n v="20"/>
    <s v="Ground"/>
    <s v="Grass"/>
    <n v="45"/>
    <n v="238"/>
    <n v="1059860"/>
    <x v="0"/>
    <m/>
    <m/>
    <n v="75"/>
    <n v="75"/>
    <n v="95"/>
    <n v="75"/>
    <n v="95"/>
    <n v="113"/>
    <n v="528"/>
    <n v="0"/>
    <n v="0"/>
    <n v="0"/>
    <n v="0"/>
    <n v="0"/>
    <n v="3"/>
  </r>
  <r>
    <s v="Tepig"/>
    <x v="611"/>
    <n v="498"/>
    <s v="498_0"/>
    <x v="7"/>
    <n v="0.5"/>
    <n v="9.9"/>
    <x v="1"/>
    <m/>
    <s v="Blaze"/>
    <m/>
    <s v="Thick Fat"/>
    <s v="Red"/>
    <n v="87.5"/>
    <n v="12.5"/>
    <n v="0"/>
    <n v="20"/>
    <s v="Ground"/>
    <m/>
    <n v="45"/>
    <n v="62"/>
    <n v="1059860"/>
    <x v="0"/>
    <m/>
    <m/>
    <n v="65"/>
    <n v="63"/>
    <n v="45"/>
    <n v="45"/>
    <n v="45"/>
    <n v="45"/>
    <n v="308"/>
    <n v="1"/>
    <n v="0"/>
    <n v="0"/>
    <n v="0"/>
    <n v="0"/>
    <n v="0"/>
  </r>
  <r>
    <s v="Pignite"/>
    <x v="612"/>
    <n v="499"/>
    <s v="499_0"/>
    <x v="7"/>
    <n v="1"/>
    <n v="55.5"/>
    <x v="1"/>
    <s v="Fighting"/>
    <s v="Blaze"/>
    <m/>
    <s v="Thick Fat"/>
    <s v="Red"/>
    <n v="87.5"/>
    <n v="12.5"/>
    <n v="0"/>
    <n v="20"/>
    <s v="Ground"/>
    <m/>
    <n v="45"/>
    <n v="146"/>
    <n v="1059860"/>
    <x v="0"/>
    <m/>
    <m/>
    <n v="90"/>
    <n v="93"/>
    <n v="55"/>
    <n v="70"/>
    <n v="55"/>
    <n v="55"/>
    <n v="418"/>
    <n v="0"/>
    <n v="2"/>
    <n v="0"/>
    <n v="0"/>
    <n v="0"/>
    <n v="0"/>
  </r>
  <r>
    <s v="Emboar"/>
    <x v="613"/>
    <n v="500"/>
    <s v="500_0"/>
    <x v="7"/>
    <n v="1.6"/>
    <n v="150"/>
    <x v="1"/>
    <s v="Fighting"/>
    <s v="Blaze"/>
    <m/>
    <s v="Reckless"/>
    <s v="Red"/>
    <n v="87.5"/>
    <n v="12.5"/>
    <n v="0"/>
    <n v="20"/>
    <s v="Ground"/>
    <m/>
    <n v="45"/>
    <n v="238"/>
    <n v="1059860"/>
    <x v="0"/>
    <m/>
    <m/>
    <n v="110"/>
    <n v="123"/>
    <n v="65"/>
    <n v="100"/>
    <n v="65"/>
    <n v="65"/>
    <n v="528"/>
    <n v="0"/>
    <n v="3"/>
    <n v="0"/>
    <n v="0"/>
    <n v="0"/>
    <n v="0"/>
  </r>
  <r>
    <s v="Oshawott"/>
    <x v="614"/>
    <n v="501"/>
    <s v="501_0"/>
    <x v="7"/>
    <n v="0.5"/>
    <n v="5.9"/>
    <x v="2"/>
    <m/>
    <s v="Torrent"/>
    <m/>
    <s v="Shell Armor"/>
    <s v="Blue"/>
    <n v="87.5"/>
    <n v="12.5"/>
    <n v="0"/>
    <n v="20"/>
    <s v="Ground"/>
    <m/>
    <n v="45"/>
    <n v="62"/>
    <n v="1059860"/>
    <x v="0"/>
    <m/>
    <m/>
    <n v="55"/>
    <n v="55"/>
    <n v="45"/>
    <n v="63"/>
    <n v="45"/>
    <n v="45"/>
    <n v="308"/>
    <n v="0"/>
    <n v="0"/>
    <n v="0"/>
    <n v="1"/>
    <n v="0"/>
    <n v="0"/>
  </r>
  <r>
    <s v="Dewott"/>
    <x v="615"/>
    <n v="502"/>
    <s v="502_0"/>
    <x v="7"/>
    <n v="0.8"/>
    <n v="24.5"/>
    <x v="2"/>
    <m/>
    <s v="Torrent"/>
    <m/>
    <s v="Shell Armor"/>
    <s v="Blue"/>
    <n v="87.5"/>
    <n v="12.5"/>
    <n v="0"/>
    <n v="20"/>
    <s v="Ground"/>
    <m/>
    <n v="45"/>
    <n v="145"/>
    <n v="1059860"/>
    <x v="0"/>
    <m/>
    <m/>
    <n v="75"/>
    <n v="75"/>
    <n v="60"/>
    <n v="83"/>
    <n v="60"/>
    <n v="60"/>
    <n v="413"/>
    <n v="0"/>
    <n v="0"/>
    <n v="0"/>
    <n v="2"/>
    <n v="0"/>
    <n v="0"/>
  </r>
  <r>
    <s v="Samurott"/>
    <x v="616"/>
    <n v="503"/>
    <s v="503_0"/>
    <x v="7"/>
    <n v="1.5"/>
    <n v="94.6"/>
    <x v="2"/>
    <m/>
    <s v="Torrent"/>
    <m/>
    <s v="Shell Armor"/>
    <s v="Blue"/>
    <n v="87.5"/>
    <n v="12.5"/>
    <n v="0"/>
    <n v="20"/>
    <s v="Ground"/>
    <m/>
    <n v="45"/>
    <n v="264"/>
    <n v="1059860"/>
    <x v="0"/>
    <m/>
    <m/>
    <n v="95"/>
    <n v="100"/>
    <n v="85"/>
    <n v="108"/>
    <n v="70"/>
    <n v="70"/>
    <n v="528"/>
    <n v="0"/>
    <n v="0"/>
    <n v="0"/>
    <n v="3"/>
    <n v="0"/>
    <n v="0"/>
  </r>
  <r>
    <s v="Samurott"/>
    <x v="617"/>
    <n v="503"/>
    <s v="503_1"/>
    <x v="2"/>
    <n v="1.5"/>
    <n v="58.2"/>
    <x v="2"/>
    <s v="Dark"/>
    <s v="Torrent"/>
    <m/>
    <s v="Sharpness"/>
    <s v="Blue"/>
    <n v="87.5"/>
    <n v="12.5"/>
    <n v="0"/>
    <n v="20"/>
    <s v="Ground"/>
    <m/>
    <n v="45"/>
    <n v="264"/>
    <n v="1059860"/>
    <x v="0"/>
    <m/>
    <s v="Hisuian"/>
    <n v="90"/>
    <n v="108"/>
    <n v="80"/>
    <n v="100"/>
    <n v="65"/>
    <n v="85"/>
    <n v="528"/>
    <n v="0"/>
    <n v="3"/>
    <n v="0"/>
    <n v="0"/>
    <n v="0"/>
    <n v="0"/>
  </r>
  <r>
    <s v="Patrat"/>
    <x v="618"/>
    <n v="504"/>
    <s v="504_0"/>
    <x v="7"/>
    <n v="0.5"/>
    <n v="11.6"/>
    <x v="4"/>
    <m/>
    <s v="Run Away"/>
    <s v="Keen Eye"/>
    <s v="Analytic"/>
    <s v="Brown"/>
    <n v="50"/>
    <n v="50"/>
    <n v="0"/>
    <n v="15"/>
    <s v="Ground"/>
    <m/>
    <n v="255"/>
    <n v="51"/>
    <n v="1000000"/>
    <x v="0"/>
    <m/>
    <m/>
    <n v="45"/>
    <n v="55"/>
    <n v="39"/>
    <n v="35"/>
    <n v="39"/>
    <n v="42"/>
    <n v="255"/>
    <n v="0"/>
    <n v="1"/>
    <n v="0"/>
    <n v="0"/>
    <n v="0"/>
    <n v="0"/>
  </r>
  <r>
    <s v="Watchog"/>
    <x v="619"/>
    <n v="505"/>
    <s v="505_0"/>
    <x v="7"/>
    <n v="1.1000000000000001"/>
    <n v="27"/>
    <x v="4"/>
    <m/>
    <s v="Illuminate"/>
    <s v="Keen Eye"/>
    <s v="Analytic"/>
    <s v="Brown"/>
    <n v="50"/>
    <n v="50"/>
    <n v="0"/>
    <n v="20"/>
    <s v="Ground"/>
    <m/>
    <n v="255"/>
    <n v="147"/>
    <n v="1000000"/>
    <x v="0"/>
    <m/>
    <m/>
    <n v="60"/>
    <n v="85"/>
    <n v="69"/>
    <n v="60"/>
    <n v="69"/>
    <n v="77"/>
    <n v="420"/>
    <n v="0"/>
    <n v="2"/>
    <n v="0"/>
    <n v="0"/>
    <n v="0"/>
    <n v="0"/>
  </r>
  <r>
    <s v="Lillipup"/>
    <x v="620"/>
    <n v="506"/>
    <s v="506_0"/>
    <x v="7"/>
    <n v="0.4"/>
    <n v="4.0999999999999996"/>
    <x v="4"/>
    <m/>
    <s v="Vital Spirit"/>
    <s v="Pickup"/>
    <s v="Run Away"/>
    <s v="Brown"/>
    <n v="50"/>
    <n v="50"/>
    <n v="0"/>
    <n v="15"/>
    <s v="Ground"/>
    <m/>
    <n v="255"/>
    <n v="55"/>
    <n v="1059860"/>
    <x v="0"/>
    <m/>
    <m/>
    <n v="45"/>
    <n v="60"/>
    <n v="45"/>
    <n v="25"/>
    <n v="45"/>
    <n v="55"/>
    <n v="275"/>
    <n v="0"/>
    <n v="1"/>
    <n v="0"/>
    <n v="0"/>
    <n v="0"/>
    <n v="0"/>
  </r>
  <r>
    <s v="Herdier"/>
    <x v="621"/>
    <n v="507"/>
    <s v="507_0"/>
    <x v="7"/>
    <n v="0.9"/>
    <n v="14.7"/>
    <x v="4"/>
    <m/>
    <s v="Intimidate"/>
    <s v="Sand Rush"/>
    <s v="Scrappy"/>
    <s v="Gray"/>
    <n v="50"/>
    <n v="50"/>
    <n v="0"/>
    <n v="15"/>
    <s v="Ground"/>
    <m/>
    <n v="120"/>
    <n v="130"/>
    <n v="1059860"/>
    <x v="0"/>
    <m/>
    <m/>
    <n v="65"/>
    <n v="80"/>
    <n v="65"/>
    <n v="35"/>
    <n v="65"/>
    <n v="60"/>
    <n v="370"/>
    <n v="0"/>
    <n v="2"/>
    <n v="0"/>
    <n v="0"/>
    <n v="0"/>
    <n v="0"/>
  </r>
  <r>
    <s v="Stoutland"/>
    <x v="622"/>
    <n v="508"/>
    <s v="508_0"/>
    <x v="7"/>
    <n v="1.2"/>
    <n v="61"/>
    <x v="4"/>
    <m/>
    <s v="Intimidate"/>
    <s v="Sand Rush"/>
    <s v="Scrappy"/>
    <s v="Gray"/>
    <n v="50"/>
    <n v="50"/>
    <n v="0"/>
    <n v="15"/>
    <s v="Ground"/>
    <m/>
    <n v="45"/>
    <n v="250"/>
    <n v="1059860"/>
    <x v="0"/>
    <m/>
    <m/>
    <n v="85"/>
    <n v="110"/>
    <n v="90"/>
    <n v="45"/>
    <n v="90"/>
    <n v="80"/>
    <n v="500"/>
    <n v="0"/>
    <n v="3"/>
    <n v="0"/>
    <n v="0"/>
    <n v="0"/>
    <n v="0"/>
  </r>
  <r>
    <s v="Purrloin"/>
    <x v="623"/>
    <n v="509"/>
    <s v="509_0"/>
    <x v="7"/>
    <n v="0.4"/>
    <n v="10.1"/>
    <x v="5"/>
    <m/>
    <s v="Limber"/>
    <s v="Unburden"/>
    <s v="Prankster"/>
    <s v="Purple"/>
    <n v="50"/>
    <n v="50"/>
    <n v="0"/>
    <n v="20"/>
    <s v="Ground"/>
    <m/>
    <n v="255"/>
    <n v="56"/>
    <n v="1000000"/>
    <x v="0"/>
    <m/>
    <m/>
    <n v="41"/>
    <n v="50"/>
    <n v="37"/>
    <n v="50"/>
    <n v="37"/>
    <n v="66"/>
    <n v="281"/>
    <n v="0"/>
    <n v="0"/>
    <n v="0"/>
    <n v="0"/>
    <n v="0"/>
    <n v="1"/>
  </r>
  <r>
    <s v="Liepard"/>
    <x v="624"/>
    <n v="510"/>
    <s v="510_0"/>
    <x v="7"/>
    <n v="1.1000000000000001"/>
    <n v="37.5"/>
    <x v="5"/>
    <m/>
    <s v="Limber"/>
    <s v="Unburden"/>
    <s v="Prankster"/>
    <s v="Purple"/>
    <n v="50"/>
    <n v="50"/>
    <n v="0"/>
    <n v="20"/>
    <s v="Ground"/>
    <m/>
    <n v="90"/>
    <n v="156"/>
    <n v="1000000"/>
    <x v="0"/>
    <m/>
    <m/>
    <n v="64"/>
    <n v="88"/>
    <n v="50"/>
    <n v="88"/>
    <n v="50"/>
    <n v="106"/>
    <n v="446"/>
    <n v="0"/>
    <n v="0"/>
    <n v="0"/>
    <n v="0"/>
    <n v="0"/>
    <n v="2"/>
  </r>
  <r>
    <s v="Pansage"/>
    <x v="625"/>
    <n v="511"/>
    <s v="511_0"/>
    <x v="7"/>
    <n v="0.6"/>
    <n v="10.5"/>
    <x v="0"/>
    <m/>
    <s v="Gluttony"/>
    <m/>
    <s v="Overgrow"/>
    <s v="Green"/>
    <n v="87.5"/>
    <n v="12.5"/>
    <n v="0"/>
    <n v="20"/>
    <s v="Ground"/>
    <m/>
    <n v="190"/>
    <n v="63"/>
    <n v="1000000"/>
    <x v="0"/>
    <m/>
    <m/>
    <n v="50"/>
    <n v="53"/>
    <n v="48"/>
    <n v="53"/>
    <n v="48"/>
    <n v="64"/>
    <n v="316"/>
    <n v="0"/>
    <n v="0"/>
    <n v="0"/>
    <n v="0"/>
    <n v="0"/>
    <n v="1"/>
  </r>
  <r>
    <s v="Simisage"/>
    <x v="626"/>
    <n v="512"/>
    <s v="512_0"/>
    <x v="7"/>
    <n v="1.1000000000000001"/>
    <n v="30.5"/>
    <x v="0"/>
    <m/>
    <s v="Gluttony"/>
    <m/>
    <s v="Overgrow"/>
    <s v="Green"/>
    <n v="87.5"/>
    <n v="12.5"/>
    <n v="0"/>
    <n v="20"/>
    <s v="Ground"/>
    <m/>
    <n v="75"/>
    <n v="174"/>
    <n v="1000000"/>
    <x v="0"/>
    <m/>
    <m/>
    <n v="75"/>
    <n v="98"/>
    <n v="63"/>
    <n v="98"/>
    <n v="63"/>
    <n v="101"/>
    <n v="498"/>
    <n v="0"/>
    <n v="0"/>
    <n v="0"/>
    <n v="0"/>
    <n v="0"/>
    <n v="2"/>
  </r>
  <r>
    <s v="Pansear"/>
    <x v="627"/>
    <n v="513"/>
    <s v="513_0"/>
    <x v="7"/>
    <n v="0.6"/>
    <n v="11"/>
    <x v="1"/>
    <m/>
    <s v="Gluttony"/>
    <m/>
    <s v="Blaze"/>
    <s v="Red"/>
    <n v="87.5"/>
    <n v="12.5"/>
    <n v="0"/>
    <n v="20"/>
    <s v="Ground"/>
    <m/>
    <n v="190"/>
    <n v="63"/>
    <n v="1000000"/>
    <x v="0"/>
    <m/>
    <m/>
    <n v="50"/>
    <n v="53"/>
    <n v="48"/>
    <n v="53"/>
    <n v="48"/>
    <n v="64"/>
    <n v="316"/>
    <n v="0"/>
    <n v="0"/>
    <n v="0"/>
    <n v="0"/>
    <n v="0"/>
    <n v="1"/>
  </r>
  <r>
    <s v="Simisear"/>
    <x v="628"/>
    <n v="514"/>
    <s v="514_0"/>
    <x v="7"/>
    <n v="1"/>
    <n v="28"/>
    <x v="1"/>
    <m/>
    <s v="Gluttony"/>
    <m/>
    <s v="Blaze"/>
    <s v="Red"/>
    <n v="87.5"/>
    <n v="12.5"/>
    <n v="0"/>
    <n v="20"/>
    <s v="Ground"/>
    <m/>
    <n v="75"/>
    <n v="174"/>
    <n v="1000000"/>
    <x v="0"/>
    <m/>
    <m/>
    <n v="75"/>
    <n v="98"/>
    <n v="63"/>
    <n v="98"/>
    <n v="63"/>
    <n v="101"/>
    <n v="498"/>
    <n v="0"/>
    <n v="0"/>
    <n v="0"/>
    <n v="0"/>
    <n v="0"/>
    <n v="2"/>
  </r>
  <r>
    <s v="Panpour"/>
    <x v="629"/>
    <n v="515"/>
    <s v="515_0"/>
    <x v="7"/>
    <n v="0.6"/>
    <n v="13.5"/>
    <x v="2"/>
    <m/>
    <s v="Gluttony"/>
    <m/>
    <s v="Torrent"/>
    <s v="Blue"/>
    <n v="87.5"/>
    <n v="12.5"/>
    <n v="0"/>
    <n v="20"/>
    <s v="Ground"/>
    <m/>
    <n v="190"/>
    <n v="63"/>
    <n v="1000000"/>
    <x v="0"/>
    <m/>
    <m/>
    <n v="50"/>
    <n v="53"/>
    <n v="48"/>
    <n v="53"/>
    <n v="48"/>
    <n v="64"/>
    <n v="316"/>
    <n v="0"/>
    <n v="0"/>
    <n v="0"/>
    <n v="0"/>
    <n v="0"/>
    <n v="1"/>
  </r>
  <r>
    <s v="Simipour"/>
    <x v="630"/>
    <n v="516"/>
    <s v="516_0"/>
    <x v="7"/>
    <n v="1"/>
    <n v="29"/>
    <x v="2"/>
    <m/>
    <s v="Gluttony"/>
    <m/>
    <s v="Torrent"/>
    <s v="Blue"/>
    <n v="87.5"/>
    <n v="12.5"/>
    <n v="0"/>
    <n v="20"/>
    <s v="Ground"/>
    <m/>
    <n v="75"/>
    <n v="174"/>
    <n v="1000000"/>
    <x v="0"/>
    <m/>
    <m/>
    <n v="75"/>
    <n v="98"/>
    <n v="63"/>
    <n v="98"/>
    <n v="63"/>
    <n v="101"/>
    <n v="498"/>
    <n v="0"/>
    <n v="0"/>
    <n v="0"/>
    <n v="0"/>
    <n v="0"/>
    <n v="2"/>
  </r>
  <r>
    <s v="Munna"/>
    <x v="631"/>
    <n v="517"/>
    <s v="517_0"/>
    <x v="7"/>
    <n v="0.6"/>
    <n v="23.3"/>
    <x v="13"/>
    <m/>
    <s v="Forewarn"/>
    <s v="Synchronize"/>
    <s v="Telepathy"/>
    <s v="Pink"/>
    <n v="50"/>
    <n v="50"/>
    <n v="0"/>
    <n v="10"/>
    <s v="Ground"/>
    <m/>
    <n v="190"/>
    <n v="58"/>
    <n v="800000"/>
    <x v="0"/>
    <m/>
    <m/>
    <n v="76"/>
    <n v="25"/>
    <n v="45"/>
    <n v="67"/>
    <n v="55"/>
    <n v="24"/>
    <n v="292"/>
    <n v="1"/>
    <n v="0"/>
    <n v="0"/>
    <n v="0"/>
    <n v="0"/>
    <n v="0"/>
  </r>
  <r>
    <s v="Musharna"/>
    <x v="632"/>
    <n v="518"/>
    <s v="518_0"/>
    <x v="7"/>
    <n v="1.1000000000000001"/>
    <n v="60.5"/>
    <x v="13"/>
    <m/>
    <s v="Forewarn"/>
    <s v="Synchronize"/>
    <s v="Telepathy"/>
    <s v="Pink"/>
    <n v="50"/>
    <n v="50"/>
    <n v="0"/>
    <n v="10"/>
    <s v="Ground"/>
    <m/>
    <n v="75"/>
    <n v="170"/>
    <n v="800000"/>
    <x v="0"/>
    <m/>
    <m/>
    <n v="116"/>
    <n v="55"/>
    <n v="85"/>
    <n v="107"/>
    <n v="95"/>
    <n v="29"/>
    <n v="487"/>
    <n v="2"/>
    <n v="0"/>
    <n v="0"/>
    <n v="0"/>
    <n v="0"/>
    <n v="0"/>
  </r>
  <r>
    <s v="Pidove"/>
    <x v="633"/>
    <n v="519"/>
    <s v="519_0"/>
    <x v="7"/>
    <n v="0.3"/>
    <n v="2.1"/>
    <x v="4"/>
    <s v="Flying"/>
    <s v="Big Pecks"/>
    <s v="Super Luck"/>
    <s v="Rivalry"/>
    <s v="Gray"/>
    <n v="50"/>
    <n v="50"/>
    <n v="0"/>
    <n v="15"/>
    <s v="Flying"/>
    <m/>
    <n v="255"/>
    <n v="53"/>
    <n v="1059860"/>
    <x v="0"/>
    <m/>
    <m/>
    <n v="50"/>
    <n v="55"/>
    <n v="50"/>
    <n v="36"/>
    <n v="30"/>
    <n v="43"/>
    <n v="264"/>
    <n v="0"/>
    <n v="1"/>
    <n v="0"/>
    <n v="0"/>
    <n v="0"/>
    <n v="0"/>
  </r>
  <r>
    <s v="Tranquill"/>
    <x v="634"/>
    <n v="520"/>
    <s v="520_0"/>
    <x v="7"/>
    <n v="0.6"/>
    <n v="15"/>
    <x v="4"/>
    <s v="Flying"/>
    <s v="Big Pecks"/>
    <s v="Super Luck"/>
    <s v="Rivalry"/>
    <s v="Gray"/>
    <n v="50"/>
    <n v="50"/>
    <n v="0"/>
    <n v="15"/>
    <s v="Flying"/>
    <m/>
    <n v="120"/>
    <n v="125"/>
    <n v="1059860"/>
    <x v="0"/>
    <m/>
    <m/>
    <n v="62"/>
    <n v="77"/>
    <n v="62"/>
    <n v="50"/>
    <n v="42"/>
    <n v="65"/>
    <n v="358"/>
    <n v="0"/>
    <n v="2"/>
    <n v="0"/>
    <n v="0"/>
    <n v="0"/>
    <n v="0"/>
  </r>
  <r>
    <s v="Unfezant"/>
    <x v="635"/>
    <n v="521"/>
    <s v="521_0"/>
    <x v="7"/>
    <n v="1.2"/>
    <n v="29"/>
    <x v="4"/>
    <s v="Flying"/>
    <s v="Big Pecks"/>
    <s v="Super Luck"/>
    <s v="Rivalry"/>
    <s v="Gray"/>
    <n v="50"/>
    <n v="50"/>
    <n v="0"/>
    <n v="15"/>
    <s v="Flying"/>
    <m/>
    <n v="45"/>
    <n v="244"/>
    <n v="1059860"/>
    <x v="0"/>
    <m/>
    <m/>
    <n v="80"/>
    <n v="115"/>
    <n v="80"/>
    <n v="65"/>
    <n v="55"/>
    <n v="93"/>
    <n v="488"/>
    <n v="0"/>
    <n v="3"/>
    <n v="0"/>
    <n v="0"/>
    <n v="0"/>
    <n v="0"/>
  </r>
  <r>
    <s v="Blitzle"/>
    <x v="636"/>
    <n v="522"/>
    <s v="522_0"/>
    <x v="7"/>
    <n v="0.8"/>
    <n v="29.8"/>
    <x v="7"/>
    <m/>
    <s v="Lightning Rod"/>
    <s v="Motor Drive"/>
    <s v="Sap Sipper"/>
    <s v="Black"/>
    <n v="50"/>
    <n v="50"/>
    <n v="0"/>
    <n v="20"/>
    <s v="Ground"/>
    <m/>
    <n v="190"/>
    <n v="59"/>
    <n v="1000000"/>
    <x v="0"/>
    <m/>
    <m/>
    <n v="45"/>
    <n v="60"/>
    <n v="32"/>
    <n v="50"/>
    <n v="32"/>
    <n v="76"/>
    <n v="295"/>
    <n v="0"/>
    <n v="0"/>
    <n v="0"/>
    <n v="0"/>
    <n v="0"/>
    <n v="1"/>
  </r>
  <r>
    <s v="Zebstrika"/>
    <x v="637"/>
    <n v="523"/>
    <s v="523_0"/>
    <x v="7"/>
    <n v="1.6"/>
    <n v="79.5"/>
    <x v="7"/>
    <m/>
    <s v="Lightning Rod"/>
    <s v="Motor Drive"/>
    <s v="Sap Sipper"/>
    <s v="Black"/>
    <n v="50"/>
    <n v="50"/>
    <n v="0"/>
    <n v="20"/>
    <s v="Ground"/>
    <m/>
    <n v="75"/>
    <n v="174"/>
    <n v="1000000"/>
    <x v="0"/>
    <m/>
    <m/>
    <n v="75"/>
    <n v="100"/>
    <n v="63"/>
    <n v="80"/>
    <n v="63"/>
    <n v="116"/>
    <n v="497"/>
    <n v="0"/>
    <n v="0"/>
    <n v="0"/>
    <n v="0"/>
    <n v="0"/>
    <n v="2"/>
  </r>
  <r>
    <s v="Roggenrola"/>
    <x v="638"/>
    <n v="524"/>
    <s v="524_0"/>
    <x v="7"/>
    <n v="0.4"/>
    <n v="18"/>
    <x v="14"/>
    <m/>
    <s v="Sturdy"/>
    <s v="Weak Armor"/>
    <s v="Sand Force"/>
    <s v="Blue"/>
    <n v="50"/>
    <n v="50"/>
    <n v="0"/>
    <n v="15"/>
    <s v="Mineral"/>
    <m/>
    <n v="255"/>
    <n v="56"/>
    <n v="1059860"/>
    <x v="0"/>
    <m/>
    <m/>
    <n v="55"/>
    <n v="75"/>
    <n v="85"/>
    <n v="25"/>
    <n v="25"/>
    <n v="15"/>
    <n v="280"/>
    <n v="0"/>
    <n v="0"/>
    <n v="1"/>
    <n v="0"/>
    <n v="0"/>
    <n v="0"/>
  </r>
  <r>
    <s v="Boldore"/>
    <x v="639"/>
    <n v="525"/>
    <s v="525_0"/>
    <x v="7"/>
    <n v="0.9"/>
    <n v="102"/>
    <x v="14"/>
    <m/>
    <s v="Sturdy"/>
    <s v="Weak Armor"/>
    <s v="Sand Force"/>
    <s v="Blue"/>
    <n v="50"/>
    <n v="50"/>
    <n v="0"/>
    <n v="15"/>
    <s v="Mineral"/>
    <m/>
    <n v="120"/>
    <n v="137"/>
    <n v="1059860"/>
    <x v="0"/>
    <m/>
    <m/>
    <n v="70"/>
    <n v="105"/>
    <n v="105"/>
    <n v="50"/>
    <n v="40"/>
    <n v="20"/>
    <n v="390"/>
    <n v="0"/>
    <n v="1"/>
    <n v="1"/>
    <n v="0"/>
    <n v="0"/>
    <n v="0"/>
  </r>
  <r>
    <s v="Gigalith"/>
    <x v="640"/>
    <n v="526"/>
    <s v="526_0"/>
    <x v="7"/>
    <n v="1.7"/>
    <n v="260"/>
    <x v="14"/>
    <m/>
    <s v="Sturdy"/>
    <s v="Sand Stream"/>
    <s v="Sand Force"/>
    <s v="Blue"/>
    <n v="50"/>
    <n v="50"/>
    <n v="0"/>
    <n v="15"/>
    <s v="Mineral"/>
    <m/>
    <n v="45"/>
    <n v="258"/>
    <n v="1059860"/>
    <x v="0"/>
    <m/>
    <m/>
    <n v="85"/>
    <n v="135"/>
    <n v="130"/>
    <n v="60"/>
    <n v="80"/>
    <n v="25"/>
    <n v="515"/>
    <n v="0"/>
    <n v="3"/>
    <n v="0"/>
    <n v="0"/>
    <n v="0"/>
    <n v="0"/>
  </r>
  <r>
    <s v="Woobat"/>
    <x v="641"/>
    <n v="527"/>
    <s v="527_0"/>
    <x v="7"/>
    <n v="0.4"/>
    <n v="2.1"/>
    <x v="13"/>
    <s v="Flying"/>
    <s v="Unaware"/>
    <s v="Klutz"/>
    <s v="Simple"/>
    <s v="Blue"/>
    <n v="50"/>
    <n v="50"/>
    <n v="0"/>
    <n v="15"/>
    <s v="Ground"/>
    <s v="Flying"/>
    <n v="190"/>
    <n v="65"/>
    <n v="1000000"/>
    <x v="0"/>
    <m/>
    <m/>
    <n v="65"/>
    <n v="45"/>
    <n v="43"/>
    <n v="55"/>
    <n v="43"/>
    <n v="72"/>
    <n v="323"/>
    <n v="0"/>
    <n v="0"/>
    <n v="0"/>
    <n v="0"/>
    <n v="0"/>
    <n v="1"/>
  </r>
  <r>
    <s v="Swoobat"/>
    <x v="642"/>
    <n v="528"/>
    <s v="528_0"/>
    <x v="7"/>
    <n v="0.9"/>
    <n v="10.5"/>
    <x v="13"/>
    <s v="Flying"/>
    <s v="Unaware"/>
    <s v="Klutz"/>
    <s v="Simple"/>
    <s v="Blue"/>
    <n v="50"/>
    <n v="50"/>
    <n v="0"/>
    <n v="15"/>
    <s v="Ground"/>
    <s v="Flying"/>
    <n v="45"/>
    <n v="149"/>
    <n v="1000000"/>
    <x v="0"/>
    <m/>
    <m/>
    <n v="67"/>
    <n v="57"/>
    <n v="55"/>
    <n v="77"/>
    <n v="55"/>
    <n v="114"/>
    <n v="425"/>
    <n v="0"/>
    <n v="0"/>
    <n v="0"/>
    <n v="0"/>
    <n v="0"/>
    <n v="2"/>
  </r>
  <r>
    <s v="Drilbur"/>
    <x v="643"/>
    <n v="529"/>
    <s v="529_0"/>
    <x v="7"/>
    <n v="0.3"/>
    <n v="8.5"/>
    <x v="8"/>
    <m/>
    <s v="Sand Rush"/>
    <s v="Sand Force"/>
    <s v="Mold Breaker"/>
    <s v="Gray"/>
    <n v="50"/>
    <n v="50"/>
    <n v="0"/>
    <n v="20"/>
    <s v="Ground"/>
    <m/>
    <n v="120"/>
    <n v="66"/>
    <n v="1000000"/>
    <x v="0"/>
    <m/>
    <m/>
    <n v="60"/>
    <n v="85"/>
    <n v="40"/>
    <n v="30"/>
    <n v="45"/>
    <n v="68"/>
    <n v="328"/>
    <n v="0"/>
    <n v="1"/>
    <n v="0"/>
    <n v="0"/>
    <n v="0"/>
    <n v="0"/>
  </r>
  <r>
    <s v="Excadrill"/>
    <x v="644"/>
    <n v="530"/>
    <s v="530_0"/>
    <x v="7"/>
    <n v="0.7"/>
    <n v="40.4"/>
    <x v="8"/>
    <s v="Steel"/>
    <s v="Sand Rush"/>
    <s v="Sand Force"/>
    <s v="Mold Breaker"/>
    <s v="Gray"/>
    <n v="50"/>
    <n v="50"/>
    <n v="0"/>
    <n v="20"/>
    <s v="Ground"/>
    <m/>
    <n v="60"/>
    <n v="178"/>
    <n v="1000000"/>
    <x v="0"/>
    <m/>
    <m/>
    <n v="110"/>
    <n v="135"/>
    <n v="60"/>
    <n v="50"/>
    <n v="65"/>
    <n v="88"/>
    <n v="508"/>
    <n v="0"/>
    <n v="2"/>
    <n v="0"/>
    <n v="0"/>
    <n v="0"/>
    <n v="0"/>
  </r>
  <r>
    <s v="Audino"/>
    <x v="645"/>
    <n v="531"/>
    <s v="531_0"/>
    <x v="7"/>
    <n v="1.1000000000000001"/>
    <n v="31"/>
    <x v="4"/>
    <m/>
    <s v="Healer"/>
    <s v="Regenerator"/>
    <s v="Klutz"/>
    <s v="Pink"/>
    <n v="50"/>
    <n v="50"/>
    <n v="0"/>
    <n v="20"/>
    <s v="Fairy"/>
    <m/>
    <n v="255"/>
    <n v="390"/>
    <n v="800000"/>
    <x v="0"/>
    <m/>
    <m/>
    <n v="103"/>
    <n v="60"/>
    <n v="86"/>
    <n v="60"/>
    <n v="86"/>
    <n v="50"/>
    <n v="445"/>
    <n v="2"/>
    <n v="0"/>
    <n v="0"/>
    <n v="0"/>
    <n v="0"/>
    <n v="0"/>
  </r>
  <r>
    <s v="Audino"/>
    <x v="646"/>
    <n v="531"/>
    <s v="531_1"/>
    <x v="7"/>
    <n v="1.5"/>
    <n v="32"/>
    <x v="4"/>
    <s v="Fairy"/>
    <s v="Healer"/>
    <m/>
    <m/>
    <s v="White"/>
    <n v="50"/>
    <n v="50"/>
    <n v="0"/>
    <n v="20"/>
    <s v="Fairy"/>
    <m/>
    <n v="255"/>
    <n v="425"/>
    <n v="800000"/>
    <x v="0"/>
    <s v="Mega"/>
    <m/>
    <n v="103"/>
    <n v="60"/>
    <n v="126"/>
    <n v="80"/>
    <n v="126"/>
    <n v="50"/>
    <n v="545"/>
    <n v="2"/>
    <n v="0"/>
    <n v="0"/>
    <n v="0"/>
    <n v="0"/>
    <n v="0"/>
  </r>
  <r>
    <s v="Timburr"/>
    <x v="647"/>
    <n v="532"/>
    <s v="532_0"/>
    <x v="7"/>
    <n v="0.6"/>
    <n v="12.5"/>
    <x v="12"/>
    <m/>
    <s v="Guts"/>
    <s v="Sheer Force"/>
    <s v="Iron Fist"/>
    <s v="Gray"/>
    <n v="75"/>
    <n v="25"/>
    <n v="0"/>
    <n v="20"/>
    <s v="Human-Like"/>
    <m/>
    <n v="180"/>
    <n v="61"/>
    <n v="1059860"/>
    <x v="0"/>
    <m/>
    <m/>
    <n v="75"/>
    <n v="80"/>
    <n v="55"/>
    <n v="25"/>
    <n v="35"/>
    <n v="35"/>
    <n v="305"/>
    <n v="0"/>
    <n v="1"/>
    <n v="0"/>
    <n v="0"/>
    <n v="0"/>
    <n v="0"/>
  </r>
  <r>
    <s v="Gurdurr"/>
    <x v="648"/>
    <n v="533"/>
    <s v="533_0"/>
    <x v="7"/>
    <n v="1.2"/>
    <n v="40"/>
    <x v="12"/>
    <m/>
    <s v="Guts"/>
    <s v="Sheer Force"/>
    <s v="Iron Fist"/>
    <s v="Gray"/>
    <n v="75"/>
    <n v="25"/>
    <n v="0"/>
    <n v="20"/>
    <s v="Human-Like"/>
    <m/>
    <n v="90"/>
    <n v="142"/>
    <n v="1059860"/>
    <x v="0"/>
    <m/>
    <m/>
    <n v="85"/>
    <n v="105"/>
    <n v="85"/>
    <n v="40"/>
    <n v="50"/>
    <n v="40"/>
    <n v="405"/>
    <n v="0"/>
    <n v="2"/>
    <n v="0"/>
    <n v="0"/>
    <n v="0"/>
    <n v="0"/>
  </r>
  <r>
    <s v="Conkeldurr"/>
    <x v="649"/>
    <n v="534"/>
    <s v="534_0"/>
    <x v="7"/>
    <n v="1.4"/>
    <n v="87"/>
    <x v="12"/>
    <m/>
    <s v="Guts"/>
    <s v="Sheer Force"/>
    <s v="Iron Fist"/>
    <s v="Brown"/>
    <n v="75"/>
    <n v="25"/>
    <n v="0"/>
    <n v="20"/>
    <s v="Human-Like"/>
    <m/>
    <n v="45"/>
    <n v="253"/>
    <n v="1059860"/>
    <x v="0"/>
    <m/>
    <m/>
    <n v="105"/>
    <n v="140"/>
    <n v="95"/>
    <n v="55"/>
    <n v="65"/>
    <n v="45"/>
    <n v="505"/>
    <n v="0"/>
    <n v="3"/>
    <n v="0"/>
    <n v="0"/>
    <n v="0"/>
    <n v="0"/>
  </r>
  <r>
    <s v="Tympole"/>
    <x v="650"/>
    <n v="535"/>
    <s v="535_0"/>
    <x v="7"/>
    <n v="0.5"/>
    <n v="4.5"/>
    <x v="2"/>
    <m/>
    <s v="Swift Swim"/>
    <s v="Hydration"/>
    <s v="Water Absorb"/>
    <s v="Blue"/>
    <n v="50"/>
    <n v="50"/>
    <n v="0"/>
    <n v="20"/>
    <s v="Water1"/>
    <m/>
    <n v="255"/>
    <n v="59"/>
    <n v="1059860"/>
    <x v="0"/>
    <m/>
    <m/>
    <n v="50"/>
    <n v="50"/>
    <n v="40"/>
    <n v="50"/>
    <n v="40"/>
    <n v="64"/>
    <n v="294"/>
    <n v="0"/>
    <n v="0"/>
    <n v="0"/>
    <n v="0"/>
    <n v="0"/>
    <n v="1"/>
  </r>
  <r>
    <s v="Palpitoad"/>
    <x v="651"/>
    <n v="536"/>
    <s v="536_0"/>
    <x v="7"/>
    <n v="0.8"/>
    <n v="17"/>
    <x v="2"/>
    <s v="Ground"/>
    <s v="Swift Swim"/>
    <s v="Hydration"/>
    <s v="Water Absorb"/>
    <s v="Blue"/>
    <n v="50"/>
    <n v="50"/>
    <n v="0"/>
    <n v="20"/>
    <s v="Water1"/>
    <m/>
    <n v="120"/>
    <n v="134"/>
    <n v="1059860"/>
    <x v="0"/>
    <m/>
    <m/>
    <n v="75"/>
    <n v="65"/>
    <n v="55"/>
    <n v="65"/>
    <n v="55"/>
    <n v="69"/>
    <n v="384"/>
    <n v="2"/>
    <n v="0"/>
    <n v="0"/>
    <n v="0"/>
    <n v="0"/>
    <n v="0"/>
  </r>
  <r>
    <s v="Seismitoad"/>
    <x v="652"/>
    <n v="537"/>
    <s v="537_0"/>
    <x v="7"/>
    <n v="1.5"/>
    <n v="62"/>
    <x v="2"/>
    <s v="Ground"/>
    <s v="Swift Swim"/>
    <s v="Poison Touch"/>
    <s v="Water Absorb"/>
    <s v="Blue"/>
    <n v="50"/>
    <n v="50"/>
    <n v="0"/>
    <n v="20"/>
    <s v="Water1"/>
    <m/>
    <n v="45"/>
    <n v="255"/>
    <n v="1059860"/>
    <x v="0"/>
    <m/>
    <m/>
    <n v="105"/>
    <n v="95"/>
    <n v="75"/>
    <n v="85"/>
    <n v="75"/>
    <n v="74"/>
    <n v="509"/>
    <n v="3"/>
    <n v="0"/>
    <n v="0"/>
    <n v="0"/>
    <n v="0"/>
    <n v="0"/>
  </r>
  <r>
    <s v="Throh"/>
    <x v="653"/>
    <n v="538"/>
    <s v="538_0"/>
    <x v="7"/>
    <n v="1.3"/>
    <n v="55.5"/>
    <x v="12"/>
    <m/>
    <s v="Guts"/>
    <s v="Inner Focus"/>
    <s v="Mold Breaker"/>
    <s v="Red"/>
    <n v="100"/>
    <n v="0"/>
    <n v="0"/>
    <n v="20"/>
    <s v="Human-Like"/>
    <m/>
    <n v="45"/>
    <n v="163"/>
    <n v="1000000"/>
    <x v="0"/>
    <m/>
    <m/>
    <n v="120"/>
    <n v="100"/>
    <n v="85"/>
    <n v="30"/>
    <n v="85"/>
    <n v="45"/>
    <n v="465"/>
    <n v="2"/>
    <n v="0"/>
    <n v="0"/>
    <n v="0"/>
    <n v="0"/>
    <n v="0"/>
  </r>
  <r>
    <s v="Sawk"/>
    <x v="654"/>
    <n v="539"/>
    <s v="539_0"/>
    <x v="7"/>
    <n v="1.4"/>
    <n v="51"/>
    <x v="12"/>
    <m/>
    <s v="Sturdy"/>
    <s v="Inner Focus"/>
    <s v="Mold Breaker"/>
    <s v="Blue"/>
    <n v="100"/>
    <n v="0"/>
    <n v="0"/>
    <n v="20"/>
    <s v="Human-Like"/>
    <m/>
    <n v="45"/>
    <n v="163"/>
    <n v="1000000"/>
    <x v="0"/>
    <m/>
    <m/>
    <n v="75"/>
    <n v="125"/>
    <n v="75"/>
    <n v="30"/>
    <n v="75"/>
    <n v="85"/>
    <n v="465"/>
    <n v="0"/>
    <n v="2"/>
    <n v="0"/>
    <n v="0"/>
    <n v="0"/>
    <n v="0"/>
  </r>
  <r>
    <s v="Sewaddle"/>
    <x v="655"/>
    <n v="540"/>
    <s v="540_0"/>
    <x v="7"/>
    <n v="0.3"/>
    <n v="2.5"/>
    <x v="3"/>
    <s v="Grass"/>
    <s v="Swarm"/>
    <s v="Chlorophyll"/>
    <s v="Overcoat"/>
    <s v="Yellow"/>
    <n v="50"/>
    <n v="50"/>
    <n v="0"/>
    <n v="15"/>
    <s v="Bug"/>
    <m/>
    <n v="255"/>
    <n v="62"/>
    <n v="1059860"/>
    <x v="0"/>
    <m/>
    <m/>
    <n v="45"/>
    <n v="53"/>
    <n v="70"/>
    <n v="40"/>
    <n v="60"/>
    <n v="42"/>
    <n v="310"/>
    <n v="0"/>
    <n v="0"/>
    <n v="1"/>
    <n v="0"/>
    <n v="0"/>
    <n v="0"/>
  </r>
  <r>
    <s v="Swadloon"/>
    <x v="656"/>
    <n v="541"/>
    <s v="541_0"/>
    <x v="7"/>
    <n v="0.5"/>
    <n v="7.3"/>
    <x v="3"/>
    <s v="Grass"/>
    <s v="Leaf Guard"/>
    <s v="Chlorophyll"/>
    <s v="Overcoat"/>
    <s v="Green"/>
    <n v="50"/>
    <n v="50"/>
    <n v="0"/>
    <n v="15"/>
    <s v="Bug"/>
    <m/>
    <n v="120"/>
    <n v="133"/>
    <n v="1059860"/>
    <x v="0"/>
    <m/>
    <m/>
    <n v="55"/>
    <n v="63"/>
    <n v="90"/>
    <n v="50"/>
    <n v="80"/>
    <n v="42"/>
    <n v="380"/>
    <n v="0"/>
    <n v="0"/>
    <n v="2"/>
    <n v="0"/>
    <n v="0"/>
    <n v="0"/>
  </r>
  <r>
    <s v="Leavanny"/>
    <x v="657"/>
    <n v="542"/>
    <s v="542_0"/>
    <x v="7"/>
    <n v="1.2"/>
    <n v="20.5"/>
    <x v="3"/>
    <s v="Grass"/>
    <s v="Swarm"/>
    <s v="Chlorophyll"/>
    <s v="Overcoat"/>
    <s v="Yellow"/>
    <n v="50"/>
    <n v="50"/>
    <n v="0"/>
    <n v="15"/>
    <s v="Bug"/>
    <m/>
    <n v="45"/>
    <n v="225"/>
    <n v="1059860"/>
    <x v="0"/>
    <m/>
    <m/>
    <n v="75"/>
    <n v="103"/>
    <n v="80"/>
    <n v="70"/>
    <n v="80"/>
    <n v="92"/>
    <n v="500"/>
    <n v="0"/>
    <n v="3"/>
    <n v="0"/>
    <n v="0"/>
    <n v="0"/>
    <n v="0"/>
  </r>
  <r>
    <s v="Venipede"/>
    <x v="658"/>
    <n v="543"/>
    <s v="543_0"/>
    <x v="7"/>
    <n v="0.4"/>
    <n v="5.3"/>
    <x v="3"/>
    <s v="Poison"/>
    <s v="Poison Point"/>
    <s v="Swarm"/>
    <s v="Speed Boost"/>
    <s v="Red"/>
    <n v="50"/>
    <n v="50"/>
    <n v="0"/>
    <n v="15"/>
    <s v="Bug"/>
    <m/>
    <n v="255"/>
    <n v="52"/>
    <n v="1059860"/>
    <x v="0"/>
    <m/>
    <m/>
    <n v="30"/>
    <n v="45"/>
    <n v="59"/>
    <n v="30"/>
    <n v="39"/>
    <n v="57"/>
    <n v="260"/>
    <n v="0"/>
    <n v="0"/>
    <n v="1"/>
    <n v="0"/>
    <n v="0"/>
    <n v="0"/>
  </r>
  <r>
    <s v="Whirlipede"/>
    <x v="659"/>
    <n v="544"/>
    <s v="544_0"/>
    <x v="7"/>
    <n v="1.2"/>
    <n v="58.5"/>
    <x v="3"/>
    <s v="Poison"/>
    <s v="Poison Point"/>
    <s v="Swarm"/>
    <s v="Speed Boost"/>
    <s v="Gray"/>
    <n v="50"/>
    <n v="50"/>
    <n v="0"/>
    <n v="15"/>
    <s v="Bug"/>
    <m/>
    <n v="120"/>
    <n v="126"/>
    <n v="1059860"/>
    <x v="0"/>
    <m/>
    <m/>
    <n v="40"/>
    <n v="55"/>
    <n v="99"/>
    <n v="40"/>
    <n v="79"/>
    <n v="47"/>
    <n v="360"/>
    <n v="0"/>
    <n v="0"/>
    <n v="2"/>
    <n v="0"/>
    <n v="0"/>
    <n v="0"/>
  </r>
  <r>
    <s v="Scolipede"/>
    <x v="660"/>
    <n v="545"/>
    <s v="545_0"/>
    <x v="7"/>
    <n v="2.5"/>
    <n v="200.5"/>
    <x v="3"/>
    <s v="Poison"/>
    <s v="Poison Point"/>
    <s v="Swarm"/>
    <s v="Speed Boost"/>
    <s v="Red"/>
    <n v="50"/>
    <n v="50"/>
    <n v="0"/>
    <n v="20"/>
    <s v="Bug"/>
    <m/>
    <n v="45"/>
    <n v="243"/>
    <n v="1059860"/>
    <x v="0"/>
    <m/>
    <m/>
    <n v="60"/>
    <n v="100"/>
    <n v="89"/>
    <n v="55"/>
    <n v="69"/>
    <n v="112"/>
    <n v="485"/>
    <n v="0"/>
    <n v="0"/>
    <n v="0"/>
    <n v="0"/>
    <n v="0"/>
    <n v="3"/>
  </r>
  <r>
    <s v="Cottonee"/>
    <x v="661"/>
    <n v="546"/>
    <s v="546_0"/>
    <x v="7"/>
    <n v="0.3"/>
    <n v="0.6"/>
    <x v="0"/>
    <s v="Fairy"/>
    <s v="Prankster"/>
    <s v="Infiltrator"/>
    <s v="Chlorophyll"/>
    <s v="Green"/>
    <n v="50"/>
    <n v="50"/>
    <n v="0"/>
    <n v="20"/>
    <s v="Grass"/>
    <s v="Fairy"/>
    <n v="190"/>
    <n v="56"/>
    <n v="1000000"/>
    <x v="0"/>
    <m/>
    <m/>
    <n v="40"/>
    <n v="27"/>
    <n v="60"/>
    <n v="37"/>
    <n v="50"/>
    <n v="66"/>
    <n v="280"/>
    <n v="0"/>
    <n v="0"/>
    <n v="0"/>
    <n v="0"/>
    <n v="0"/>
    <n v="1"/>
  </r>
  <r>
    <s v="Whimsicott"/>
    <x v="662"/>
    <n v="547"/>
    <s v="547_0"/>
    <x v="7"/>
    <n v="0.7"/>
    <n v="6.6"/>
    <x v="0"/>
    <s v="Fairy"/>
    <s v="Prankster"/>
    <s v="Infiltrator"/>
    <s v="Chlorophyll"/>
    <s v="Green"/>
    <n v="50"/>
    <n v="50"/>
    <n v="0"/>
    <n v="20"/>
    <s v="Grass"/>
    <s v="Fairy"/>
    <n v="75"/>
    <n v="168"/>
    <n v="1000000"/>
    <x v="0"/>
    <m/>
    <m/>
    <n v="60"/>
    <n v="67"/>
    <n v="85"/>
    <n v="77"/>
    <n v="75"/>
    <n v="116"/>
    <n v="480"/>
    <n v="0"/>
    <n v="0"/>
    <n v="0"/>
    <n v="0"/>
    <n v="0"/>
    <n v="2"/>
  </r>
  <r>
    <s v="Petilil"/>
    <x v="663"/>
    <n v="548"/>
    <s v="548_0"/>
    <x v="7"/>
    <n v="0.5"/>
    <n v="6.6"/>
    <x v="0"/>
    <m/>
    <s v="Chlorophyll"/>
    <s v="Own Tempo"/>
    <s v="Leaf Guard"/>
    <s v="Green"/>
    <n v="0"/>
    <n v="100"/>
    <n v="0"/>
    <n v="20"/>
    <s v="Grass"/>
    <m/>
    <n v="190"/>
    <n v="56"/>
    <n v="1000000"/>
    <x v="0"/>
    <m/>
    <m/>
    <n v="45"/>
    <n v="35"/>
    <n v="50"/>
    <n v="70"/>
    <n v="50"/>
    <n v="30"/>
    <n v="280"/>
    <n v="0"/>
    <n v="0"/>
    <n v="0"/>
    <n v="1"/>
    <n v="0"/>
    <n v="0"/>
  </r>
  <r>
    <s v="Lilligant"/>
    <x v="664"/>
    <n v="549"/>
    <s v="549_0"/>
    <x v="7"/>
    <n v="1.1000000000000001"/>
    <n v="16.3"/>
    <x v="0"/>
    <m/>
    <s v="Chlorophyll"/>
    <s v="Own Tempo"/>
    <s v="Leaf Guard"/>
    <s v="Green"/>
    <n v="0"/>
    <n v="100"/>
    <n v="0"/>
    <n v="20"/>
    <s v="Grass"/>
    <m/>
    <n v="75"/>
    <n v="168"/>
    <n v="1000000"/>
    <x v="0"/>
    <m/>
    <m/>
    <n v="70"/>
    <n v="60"/>
    <n v="75"/>
    <n v="110"/>
    <n v="75"/>
    <n v="90"/>
    <n v="480"/>
    <n v="0"/>
    <n v="0"/>
    <n v="0"/>
    <n v="2"/>
    <n v="0"/>
    <n v="0"/>
  </r>
  <r>
    <s v="Lilligant"/>
    <x v="665"/>
    <n v="549"/>
    <s v="549_1"/>
    <x v="2"/>
    <n v="1.2"/>
    <n v="19.2"/>
    <x v="0"/>
    <s v="Fighting"/>
    <s v="Chlorophyll"/>
    <s v="Hustle"/>
    <s v="Leaf Guard"/>
    <s v="Green"/>
    <n v="0"/>
    <n v="100"/>
    <n v="0"/>
    <n v="20"/>
    <s v="Grass"/>
    <m/>
    <n v="75"/>
    <n v="168"/>
    <n v="1000000"/>
    <x v="0"/>
    <m/>
    <s v="Hisuian"/>
    <n v="70"/>
    <n v="105"/>
    <n v="75"/>
    <n v="50"/>
    <n v="75"/>
    <n v="105"/>
    <n v="480"/>
    <n v="0"/>
    <n v="1"/>
    <n v="0"/>
    <n v="0"/>
    <n v="0"/>
    <n v="1"/>
  </r>
  <r>
    <s v="Basculin"/>
    <x v="666"/>
    <n v="550"/>
    <s v="550_0"/>
    <x v="7"/>
    <n v="1"/>
    <n v="18"/>
    <x v="2"/>
    <m/>
    <s v="Reckless"/>
    <s v="Adaptability"/>
    <s v="Mold Breaker"/>
    <s v="Green"/>
    <n v="50"/>
    <n v="50"/>
    <n v="0"/>
    <n v="40"/>
    <s v="Water2"/>
    <m/>
    <n v="25"/>
    <n v="161"/>
    <n v="1000000"/>
    <x v="0"/>
    <m/>
    <m/>
    <n v="70"/>
    <n v="92"/>
    <n v="65"/>
    <n v="80"/>
    <n v="55"/>
    <n v="98"/>
    <n v="460"/>
    <n v="0"/>
    <n v="0"/>
    <n v="0"/>
    <n v="0"/>
    <n v="0"/>
    <n v="2"/>
  </r>
  <r>
    <s v="Basculin"/>
    <x v="667"/>
    <n v="550"/>
    <s v="550_1"/>
    <x v="7"/>
    <n v="1"/>
    <n v="18"/>
    <x v="2"/>
    <m/>
    <s v="Rock Head"/>
    <s v="Adaptability"/>
    <s v="Mold Breaker"/>
    <s v="Green"/>
    <n v="50"/>
    <n v="50"/>
    <n v="0"/>
    <n v="40"/>
    <s v="Water2"/>
    <m/>
    <n v="25"/>
    <n v="161"/>
    <n v="1000000"/>
    <x v="0"/>
    <m/>
    <m/>
    <n v="70"/>
    <n v="92"/>
    <n v="65"/>
    <n v="80"/>
    <n v="55"/>
    <n v="98"/>
    <n v="460"/>
    <n v="0"/>
    <n v="0"/>
    <n v="0"/>
    <n v="0"/>
    <n v="0"/>
    <n v="2"/>
  </r>
  <r>
    <s v="Basculin"/>
    <x v="668"/>
    <n v="550"/>
    <s v="550_2"/>
    <x v="2"/>
    <n v="1"/>
    <n v="18"/>
    <x v="2"/>
    <m/>
    <s v="Rattled"/>
    <s v="Adaptability"/>
    <s v="Mold Breaker"/>
    <s v="Green"/>
    <n v="50"/>
    <n v="50"/>
    <n v="0"/>
    <n v="40"/>
    <s v="Water2"/>
    <m/>
    <n v="25"/>
    <n v="161"/>
    <n v="1000000"/>
    <x v="0"/>
    <m/>
    <s v="Hisuian"/>
    <n v="70"/>
    <n v="92"/>
    <n v="65"/>
    <n v="80"/>
    <n v="55"/>
    <n v="98"/>
    <n v="460"/>
    <n v="0"/>
    <n v="0"/>
    <n v="0"/>
    <n v="0"/>
    <n v="0"/>
    <n v="2"/>
  </r>
  <r>
    <s v="Sandile"/>
    <x v="669"/>
    <n v="551"/>
    <s v="551_0"/>
    <x v="7"/>
    <n v="0.7"/>
    <n v="15.2"/>
    <x v="8"/>
    <s v="Dark"/>
    <s v="Intimidate"/>
    <s v="Moxie"/>
    <s v="Anger Point"/>
    <s v="Brown"/>
    <n v="50"/>
    <n v="50"/>
    <n v="0"/>
    <n v="20"/>
    <s v="Ground"/>
    <m/>
    <n v="180"/>
    <n v="58"/>
    <n v="1059860"/>
    <x v="0"/>
    <m/>
    <m/>
    <n v="50"/>
    <n v="72"/>
    <n v="35"/>
    <n v="35"/>
    <n v="35"/>
    <n v="65"/>
    <n v="292"/>
    <n v="0"/>
    <n v="1"/>
    <n v="0"/>
    <n v="0"/>
    <n v="0"/>
    <n v="0"/>
  </r>
  <r>
    <s v="Krokorok"/>
    <x v="670"/>
    <n v="552"/>
    <s v="552_0"/>
    <x v="7"/>
    <n v="1"/>
    <n v="33.4"/>
    <x v="8"/>
    <s v="Dark"/>
    <s v="Intimidate"/>
    <s v="Moxie"/>
    <s v="Anger Point"/>
    <s v="Brown"/>
    <n v="50"/>
    <n v="50"/>
    <n v="0"/>
    <n v="20"/>
    <s v="Ground"/>
    <m/>
    <n v="90"/>
    <n v="123"/>
    <n v="1059860"/>
    <x v="0"/>
    <m/>
    <m/>
    <n v="60"/>
    <n v="82"/>
    <n v="45"/>
    <n v="45"/>
    <n v="45"/>
    <n v="74"/>
    <n v="351"/>
    <n v="0"/>
    <n v="2"/>
    <n v="0"/>
    <n v="0"/>
    <n v="0"/>
    <n v="0"/>
  </r>
  <r>
    <s v="Krookodile"/>
    <x v="671"/>
    <n v="553"/>
    <s v="553_0"/>
    <x v="7"/>
    <n v="1.5"/>
    <n v="96.3"/>
    <x v="8"/>
    <s v="Dark"/>
    <s v="Intimidate"/>
    <s v="Moxie"/>
    <s v="Anger Point"/>
    <s v="Red"/>
    <n v="50"/>
    <n v="50"/>
    <n v="0"/>
    <n v="20"/>
    <s v="Ground"/>
    <m/>
    <n v="45"/>
    <n v="260"/>
    <n v="1059860"/>
    <x v="0"/>
    <m/>
    <m/>
    <n v="95"/>
    <n v="117"/>
    <n v="80"/>
    <n v="65"/>
    <n v="70"/>
    <n v="92"/>
    <n v="519"/>
    <n v="0"/>
    <n v="3"/>
    <n v="0"/>
    <n v="0"/>
    <n v="0"/>
    <n v="0"/>
  </r>
  <r>
    <s v="Darumaka"/>
    <x v="672"/>
    <n v="554"/>
    <s v="554_0"/>
    <x v="7"/>
    <n v="0.6"/>
    <n v="37.5"/>
    <x v="1"/>
    <m/>
    <s v="Hustle"/>
    <m/>
    <s v="Inner Focus"/>
    <s v="Red"/>
    <n v="50"/>
    <n v="50"/>
    <n v="0"/>
    <n v="20"/>
    <s v="Ground"/>
    <m/>
    <n v="120"/>
    <n v="63"/>
    <n v="1059860"/>
    <x v="0"/>
    <m/>
    <m/>
    <n v="70"/>
    <n v="90"/>
    <n v="45"/>
    <n v="15"/>
    <n v="45"/>
    <n v="50"/>
    <n v="315"/>
    <n v="0"/>
    <n v="1"/>
    <n v="0"/>
    <n v="0"/>
    <n v="0"/>
    <n v="0"/>
  </r>
  <r>
    <s v="Darumaka"/>
    <x v="673"/>
    <n v="554"/>
    <s v="554_1"/>
    <x v="2"/>
    <n v="0.7"/>
    <n v="40"/>
    <x v="9"/>
    <m/>
    <s v="Hustle"/>
    <m/>
    <s v="Inner Focus"/>
    <s v="White"/>
    <n v="50"/>
    <n v="50"/>
    <n v="0"/>
    <n v="20"/>
    <s v="Ground"/>
    <m/>
    <n v="120"/>
    <n v="63"/>
    <n v="1059860"/>
    <x v="0"/>
    <m/>
    <s v="Galarian"/>
    <n v="70"/>
    <n v="90"/>
    <n v="45"/>
    <n v="15"/>
    <n v="45"/>
    <n v="50"/>
    <n v="315"/>
    <n v="0"/>
    <n v="1"/>
    <n v="0"/>
    <n v="0"/>
    <n v="0"/>
    <n v="0"/>
  </r>
  <r>
    <s v="Darmanitan"/>
    <x v="674"/>
    <n v="555"/>
    <s v="555_0"/>
    <x v="7"/>
    <n v="1.3"/>
    <n v="92.9"/>
    <x v="1"/>
    <m/>
    <s v="Sheer Force"/>
    <m/>
    <s v="Zen Mode"/>
    <s v="Red"/>
    <n v="50"/>
    <n v="50"/>
    <n v="0"/>
    <n v="20"/>
    <s v="Ground"/>
    <m/>
    <n v="60"/>
    <n v="168"/>
    <n v="1059860"/>
    <x v="0"/>
    <m/>
    <m/>
    <n v="105"/>
    <n v="140"/>
    <n v="55"/>
    <n v="30"/>
    <n v="55"/>
    <n v="95"/>
    <n v="480"/>
    <n v="0"/>
    <n v="2"/>
    <n v="0"/>
    <n v="0"/>
    <n v="0"/>
    <n v="0"/>
  </r>
  <r>
    <s v="Darmanitan"/>
    <x v="675"/>
    <n v="555"/>
    <s v="555_1"/>
    <x v="7"/>
    <n v="1.3"/>
    <n v="92.9"/>
    <x v="1"/>
    <s v="Psychic"/>
    <s v="Sheer Force"/>
    <m/>
    <s v="Zen Mode"/>
    <s v="Blue"/>
    <n v="50"/>
    <n v="50"/>
    <n v="0"/>
    <n v="20"/>
    <s v="Ground"/>
    <m/>
    <n v="60"/>
    <n v="189"/>
    <n v="1059860"/>
    <x v="0"/>
    <m/>
    <m/>
    <n v="105"/>
    <n v="30"/>
    <n v="105"/>
    <n v="140"/>
    <n v="105"/>
    <n v="55"/>
    <n v="540"/>
    <n v="0"/>
    <n v="0"/>
    <n v="0"/>
    <n v="2"/>
    <n v="0"/>
    <n v="0"/>
  </r>
  <r>
    <s v="Darmanitan"/>
    <x v="676"/>
    <n v="555"/>
    <s v="555_2"/>
    <x v="2"/>
    <n v="1.7"/>
    <n v="120"/>
    <x v="9"/>
    <m/>
    <s v="Gorilla Tactics"/>
    <m/>
    <s v="Zen Mode"/>
    <s v="White"/>
    <n v="50"/>
    <n v="50"/>
    <n v="0"/>
    <n v="20"/>
    <s v="Ground"/>
    <m/>
    <n v="60"/>
    <n v="168"/>
    <n v="1059860"/>
    <x v="0"/>
    <m/>
    <s v="Galarian"/>
    <n v="105"/>
    <n v="140"/>
    <n v="55"/>
    <n v="30"/>
    <n v="55"/>
    <n v="95"/>
    <n v="480"/>
    <n v="0"/>
    <n v="2"/>
    <n v="0"/>
    <n v="0"/>
    <n v="0"/>
    <n v="0"/>
  </r>
  <r>
    <s v="Darmanitan"/>
    <x v="677"/>
    <n v="555"/>
    <s v="555_3"/>
    <x v="2"/>
    <n v="1.7"/>
    <n v="120"/>
    <x v="9"/>
    <s v="Fire"/>
    <s v="Gorilla Tactics"/>
    <m/>
    <s v="Zen Mode"/>
    <s v="White"/>
    <n v="50"/>
    <n v="50"/>
    <n v="0"/>
    <n v="20"/>
    <s v="Ground"/>
    <m/>
    <n v="60"/>
    <n v="189"/>
    <n v="1059860"/>
    <x v="0"/>
    <m/>
    <s v="Galarian"/>
    <n v="105"/>
    <n v="160"/>
    <n v="55"/>
    <n v="30"/>
    <n v="55"/>
    <n v="135"/>
    <n v="540"/>
    <n v="0"/>
    <n v="0"/>
    <n v="0"/>
    <n v="2"/>
    <n v="0"/>
    <n v="0"/>
  </r>
  <r>
    <s v="Maractus"/>
    <x v="678"/>
    <n v="556"/>
    <s v="556_0"/>
    <x v="7"/>
    <n v="1"/>
    <n v="28"/>
    <x v="0"/>
    <m/>
    <s v="Water Absorb"/>
    <s v="Chlorophyll"/>
    <s v="Storm Drain"/>
    <s v="Green"/>
    <n v="50"/>
    <n v="50"/>
    <n v="0"/>
    <n v="20"/>
    <s v="Grass"/>
    <m/>
    <n v="255"/>
    <n v="161"/>
    <n v="1000000"/>
    <x v="0"/>
    <m/>
    <m/>
    <n v="75"/>
    <n v="86"/>
    <n v="67"/>
    <n v="106"/>
    <n v="67"/>
    <n v="60"/>
    <n v="461"/>
    <n v="0"/>
    <n v="0"/>
    <n v="0"/>
    <n v="2"/>
    <n v="0"/>
    <n v="0"/>
  </r>
  <r>
    <s v="Dwebble"/>
    <x v="679"/>
    <n v="557"/>
    <s v="557_0"/>
    <x v="7"/>
    <n v="0.3"/>
    <n v="14.5"/>
    <x v="3"/>
    <s v="Rock"/>
    <s v="Sturdy"/>
    <s v="Shell Armor"/>
    <s v="Weak Armor"/>
    <s v="Red"/>
    <n v="50"/>
    <n v="50"/>
    <n v="0"/>
    <n v="20"/>
    <s v="Bug"/>
    <s v="Mineral"/>
    <n v="190"/>
    <n v="65"/>
    <n v="1000000"/>
    <x v="0"/>
    <m/>
    <m/>
    <n v="50"/>
    <n v="65"/>
    <n v="85"/>
    <n v="35"/>
    <n v="35"/>
    <n v="55"/>
    <n v="325"/>
    <n v="0"/>
    <n v="0"/>
    <n v="1"/>
    <n v="0"/>
    <n v="0"/>
    <n v="0"/>
  </r>
  <r>
    <s v="Crustle"/>
    <x v="680"/>
    <n v="558"/>
    <s v="558_0"/>
    <x v="7"/>
    <n v="1.4"/>
    <n v="200"/>
    <x v="3"/>
    <s v="Rock"/>
    <s v="Sturdy"/>
    <s v="Shell Armor"/>
    <s v="Weak Armor"/>
    <s v="Red"/>
    <n v="50"/>
    <n v="50"/>
    <n v="0"/>
    <n v="20"/>
    <s v="Bug"/>
    <s v="Mineral"/>
    <n v="75"/>
    <n v="170"/>
    <n v="1000000"/>
    <x v="0"/>
    <m/>
    <m/>
    <n v="70"/>
    <n v="105"/>
    <n v="125"/>
    <n v="65"/>
    <n v="75"/>
    <n v="45"/>
    <n v="485"/>
    <n v="0"/>
    <n v="0"/>
    <n v="2"/>
    <n v="0"/>
    <n v="0"/>
    <n v="0"/>
  </r>
  <r>
    <s v="Scraggy"/>
    <x v="681"/>
    <n v="559"/>
    <s v="559_0"/>
    <x v="7"/>
    <n v="0.6"/>
    <n v="11.8"/>
    <x v="5"/>
    <s v="Fighting"/>
    <s v="Shed Skin"/>
    <s v="Moxie"/>
    <s v="Intimidate"/>
    <s v="Yellow"/>
    <n v="50"/>
    <n v="50"/>
    <n v="0"/>
    <n v="15"/>
    <s v="Ground"/>
    <s v="Dragon"/>
    <n v="180"/>
    <n v="70"/>
    <n v="1000000"/>
    <x v="0"/>
    <m/>
    <m/>
    <n v="50"/>
    <n v="75"/>
    <n v="70"/>
    <n v="35"/>
    <n v="70"/>
    <n v="48"/>
    <n v="348"/>
    <n v="0"/>
    <n v="1"/>
    <n v="0"/>
    <n v="0"/>
    <n v="0"/>
    <n v="0"/>
  </r>
  <r>
    <s v="Scrafty"/>
    <x v="682"/>
    <n v="560"/>
    <s v="560_0"/>
    <x v="7"/>
    <n v="1.1000000000000001"/>
    <n v="30"/>
    <x v="5"/>
    <s v="Fighting"/>
    <s v="Shed Skin"/>
    <s v="Moxie"/>
    <s v="Intimidate"/>
    <s v="Red"/>
    <n v="50"/>
    <n v="50"/>
    <n v="0"/>
    <n v="15"/>
    <s v="Ground"/>
    <s v="Dragon"/>
    <n v="90"/>
    <n v="171"/>
    <n v="1000000"/>
    <x v="0"/>
    <m/>
    <m/>
    <n v="65"/>
    <n v="90"/>
    <n v="115"/>
    <n v="45"/>
    <n v="115"/>
    <n v="58"/>
    <n v="488"/>
    <n v="0"/>
    <n v="0"/>
    <n v="1"/>
    <n v="0"/>
    <n v="1"/>
    <n v="0"/>
  </r>
  <r>
    <s v="Sigilyph"/>
    <x v="683"/>
    <n v="561"/>
    <s v="561_0"/>
    <x v="7"/>
    <n v="1.4"/>
    <n v="14"/>
    <x v="13"/>
    <s v="Flying"/>
    <s v="Wonder Skin"/>
    <s v="Magic Guard"/>
    <s v="Tinted Lens"/>
    <s v="Black"/>
    <n v="50"/>
    <n v="50"/>
    <n v="0"/>
    <n v="20"/>
    <s v="Flying"/>
    <m/>
    <n v="45"/>
    <n v="172"/>
    <n v="1000000"/>
    <x v="0"/>
    <m/>
    <m/>
    <n v="72"/>
    <n v="58"/>
    <n v="80"/>
    <n v="103"/>
    <n v="80"/>
    <n v="97"/>
    <n v="490"/>
    <n v="0"/>
    <n v="0"/>
    <n v="0"/>
    <n v="2"/>
    <n v="0"/>
    <n v="0"/>
  </r>
  <r>
    <s v="Yamask"/>
    <x v="684"/>
    <n v="562"/>
    <s v="562_0"/>
    <x v="7"/>
    <n v="0.5"/>
    <n v="1.5"/>
    <x v="15"/>
    <m/>
    <s v="Mummy"/>
    <m/>
    <m/>
    <s v="Black"/>
    <n v="50"/>
    <n v="50"/>
    <n v="0"/>
    <n v="25"/>
    <s v="Mineral"/>
    <s v="Amorphous"/>
    <n v="190"/>
    <n v="61"/>
    <n v="1000000"/>
    <x v="0"/>
    <m/>
    <m/>
    <n v="38"/>
    <n v="30"/>
    <n v="85"/>
    <n v="55"/>
    <n v="65"/>
    <n v="30"/>
    <n v="303"/>
    <n v="0"/>
    <n v="0"/>
    <n v="1"/>
    <n v="0"/>
    <n v="0"/>
    <n v="0"/>
  </r>
  <r>
    <s v="Yamask"/>
    <x v="685"/>
    <n v="562"/>
    <s v="562_1"/>
    <x v="2"/>
    <n v="0.5"/>
    <n v="1.5"/>
    <x v="8"/>
    <s v="Ghost"/>
    <s v="Wandering Spirit"/>
    <m/>
    <m/>
    <s v="Black"/>
    <n v="50"/>
    <n v="50"/>
    <n v="0"/>
    <n v="25"/>
    <s v="Mineral"/>
    <s v="Amorphous"/>
    <n v="190"/>
    <n v="61"/>
    <n v="1000000"/>
    <x v="0"/>
    <m/>
    <s v="Galarian"/>
    <n v="38"/>
    <n v="55"/>
    <n v="85"/>
    <n v="30"/>
    <n v="65"/>
    <n v="30"/>
    <n v="303"/>
    <n v="0"/>
    <n v="0"/>
    <n v="1"/>
    <n v="0"/>
    <n v="0"/>
    <n v="0"/>
  </r>
  <r>
    <s v="Cofagrigus"/>
    <x v="686"/>
    <n v="563"/>
    <s v="563_0"/>
    <x v="7"/>
    <n v="1.7"/>
    <n v="76.5"/>
    <x v="15"/>
    <m/>
    <s v="Mummy"/>
    <m/>
    <m/>
    <s v="Yellow"/>
    <n v="50"/>
    <n v="50"/>
    <n v="0"/>
    <n v="25"/>
    <s v="Mineral"/>
    <s v="Amorphous"/>
    <n v="90"/>
    <n v="169"/>
    <n v="1000000"/>
    <x v="0"/>
    <m/>
    <m/>
    <n v="58"/>
    <n v="50"/>
    <n v="145"/>
    <n v="95"/>
    <n v="105"/>
    <n v="30"/>
    <n v="483"/>
    <n v="0"/>
    <n v="0"/>
    <n v="2"/>
    <n v="0"/>
    <n v="0"/>
    <n v="0"/>
  </r>
  <r>
    <s v="Tirtouga"/>
    <x v="687"/>
    <n v="564"/>
    <s v="564_0"/>
    <x v="7"/>
    <n v="0.7"/>
    <n v="16.5"/>
    <x v="2"/>
    <s v="Rock"/>
    <s v="Solid Rock"/>
    <s v="Sturdy"/>
    <s v="Swift Swim"/>
    <s v="Blue"/>
    <n v="87.5"/>
    <n v="12.5"/>
    <n v="0"/>
    <n v="30"/>
    <s v="Water1"/>
    <s v="Water3"/>
    <n v="45"/>
    <n v="71"/>
    <n v="1000000"/>
    <x v="0"/>
    <m/>
    <m/>
    <n v="54"/>
    <n v="78"/>
    <n v="103"/>
    <n v="53"/>
    <n v="45"/>
    <n v="22"/>
    <n v="355"/>
    <n v="0"/>
    <n v="0"/>
    <n v="1"/>
    <n v="0"/>
    <n v="0"/>
    <n v="0"/>
  </r>
  <r>
    <s v="Carracosta"/>
    <x v="688"/>
    <n v="565"/>
    <s v="565_0"/>
    <x v="7"/>
    <n v="1.2"/>
    <n v="81"/>
    <x v="2"/>
    <s v="Rock"/>
    <s v="Solid Rock"/>
    <s v="Sturdy"/>
    <s v="Swift Swim"/>
    <s v="Blue"/>
    <n v="87.5"/>
    <n v="12.5"/>
    <n v="0"/>
    <n v="30"/>
    <s v="Water1"/>
    <s v="Water3"/>
    <n v="45"/>
    <n v="173"/>
    <n v="1000000"/>
    <x v="0"/>
    <m/>
    <m/>
    <n v="74"/>
    <n v="108"/>
    <n v="133"/>
    <n v="83"/>
    <n v="65"/>
    <n v="32"/>
    <n v="495"/>
    <n v="0"/>
    <n v="0"/>
    <n v="2"/>
    <n v="0"/>
    <n v="0"/>
    <n v="0"/>
  </r>
  <r>
    <s v="Archen"/>
    <x v="689"/>
    <n v="566"/>
    <s v="566_0"/>
    <x v="7"/>
    <n v="0.5"/>
    <n v="9.5"/>
    <x v="14"/>
    <s v="Flying"/>
    <s v="Defeatist"/>
    <m/>
    <m/>
    <s v="Yellow"/>
    <n v="87.5"/>
    <n v="12.5"/>
    <n v="0"/>
    <n v="30"/>
    <s v="Flying"/>
    <s v="Water3"/>
    <n v="45"/>
    <n v="71"/>
    <n v="1000000"/>
    <x v="0"/>
    <m/>
    <m/>
    <n v="55"/>
    <n v="112"/>
    <n v="45"/>
    <n v="74"/>
    <n v="45"/>
    <n v="70"/>
    <n v="401"/>
    <n v="0"/>
    <n v="1"/>
    <n v="0"/>
    <n v="0"/>
    <n v="0"/>
    <n v="0"/>
  </r>
  <r>
    <s v="Archeops"/>
    <x v="690"/>
    <n v="567"/>
    <s v="567_0"/>
    <x v="7"/>
    <n v="1.4"/>
    <n v="32"/>
    <x v="14"/>
    <s v="Flying"/>
    <s v="Defeatist"/>
    <m/>
    <m/>
    <s v="Yellow"/>
    <n v="87.5"/>
    <n v="12.5"/>
    <n v="0"/>
    <n v="30"/>
    <s v="Flying"/>
    <s v="Water3"/>
    <n v="45"/>
    <n v="177"/>
    <n v="1000000"/>
    <x v="0"/>
    <m/>
    <m/>
    <n v="75"/>
    <n v="140"/>
    <n v="65"/>
    <n v="112"/>
    <n v="65"/>
    <n v="110"/>
    <n v="567"/>
    <n v="0"/>
    <n v="2"/>
    <n v="0"/>
    <n v="0"/>
    <n v="0"/>
    <n v="0"/>
  </r>
  <r>
    <s v="Trubbish"/>
    <x v="691"/>
    <n v="568"/>
    <s v="568_0"/>
    <x v="7"/>
    <n v="0.6"/>
    <n v="31"/>
    <x v="6"/>
    <m/>
    <s v="Stench"/>
    <s v="Sticky Hold"/>
    <s v="Aftermath"/>
    <s v="Green"/>
    <n v="50"/>
    <n v="50"/>
    <n v="0"/>
    <n v="20"/>
    <s v="Mineral"/>
    <m/>
    <n v="190"/>
    <n v="66"/>
    <n v="1000000"/>
    <x v="0"/>
    <m/>
    <m/>
    <n v="50"/>
    <n v="50"/>
    <n v="62"/>
    <n v="40"/>
    <n v="62"/>
    <n v="65"/>
    <n v="329"/>
    <n v="0"/>
    <n v="0"/>
    <n v="0"/>
    <n v="0"/>
    <n v="0"/>
    <n v="1"/>
  </r>
  <r>
    <s v="Garbodor"/>
    <x v="692"/>
    <n v="569"/>
    <s v="569_0"/>
    <x v="7"/>
    <n v="1.9"/>
    <n v="107.3"/>
    <x v="6"/>
    <m/>
    <s v="Stench"/>
    <s v="Weak Armor"/>
    <s v="Aftermath"/>
    <s v="Green"/>
    <n v="50"/>
    <n v="50"/>
    <n v="0"/>
    <n v="20"/>
    <s v="Mineral"/>
    <m/>
    <n v="60"/>
    <n v="166"/>
    <n v="1000000"/>
    <x v="0"/>
    <m/>
    <m/>
    <n v="80"/>
    <n v="95"/>
    <n v="82"/>
    <n v="60"/>
    <n v="82"/>
    <n v="75"/>
    <n v="474"/>
    <n v="0"/>
    <n v="2"/>
    <n v="0"/>
    <n v="0"/>
    <n v="0"/>
    <n v="0"/>
  </r>
  <r>
    <s v="Zorua"/>
    <x v="693"/>
    <n v="570"/>
    <s v="570_0"/>
    <x v="7"/>
    <n v="0.7"/>
    <n v="12.5"/>
    <x v="5"/>
    <m/>
    <s v="Illusion"/>
    <m/>
    <m/>
    <s v="Gray"/>
    <n v="87.5"/>
    <n v="12.5"/>
    <n v="0"/>
    <n v="25"/>
    <s v="Ground"/>
    <m/>
    <n v="75"/>
    <n v="66"/>
    <n v="1059860"/>
    <x v="0"/>
    <m/>
    <m/>
    <n v="40"/>
    <n v="65"/>
    <n v="40"/>
    <n v="80"/>
    <n v="40"/>
    <n v="65"/>
    <n v="330"/>
    <n v="0"/>
    <n v="0"/>
    <n v="0"/>
    <n v="1"/>
    <n v="0"/>
    <n v="0"/>
  </r>
  <r>
    <s v="Zorua"/>
    <x v="694"/>
    <n v="570"/>
    <s v="570_1"/>
    <x v="2"/>
    <n v="0.7"/>
    <n v="12.5"/>
    <x v="4"/>
    <s v="Ghost"/>
    <s v="Illusion"/>
    <m/>
    <m/>
    <s v="Gray"/>
    <n v="87.5"/>
    <n v="12.5"/>
    <n v="0"/>
    <n v="25"/>
    <s v="Ground"/>
    <m/>
    <n v="75"/>
    <n v="66"/>
    <n v="1059860"/>
    <x v="0"/>
    <m/>
    <s v="Hisuian"/>
    <n v="35"/>
    <n v="60"/>
    <n v="40"/>
    <n v="85"/>
    <n v="40"/>
    <n v="70"/>
    <n v="330"/>
    <n v="0"/>
    <n v="0"/>
    <n v="0"/>
    <n v="1"/>
    <n v="0"/>
    <n v="0"/>
  </r>
  <r>
    <s v="Zoroark"/>
    <x v="695"/>
    <n v="571"/>
    <s v="571_0"/>
    <x v="7"/>
    <n v="1.6"/>
    <n v="81.099999999999994"/>
    <x v="5"/>
    <m/>
    <s v="Illusion"/>
    <m/>
    <m/>
    <s v="Gray"/>
    <n v="87.5"/>
    <n v="12.5"/>
    <n v="0"/>
    <n v="20"/>
    <s v="Ground"/>
    <m/>
    <n v="45"/>
    <n v="179"/>
    <n v="1059860"/>
    <x v="0"/>
    <m/>
    <m/>
    <n v="60"/>
    <n v="105"/>
    <n v="60"/>
    <n v="120"/>
    <n v="60"/>
    <n v="105"/>
    <n v="510"/>
    <n v="0"/>
    <n v="0"/>
    <n v="0"/>
    <n v="2"/>
    <n v="0"/>
    <n v="0"/>
  </r>
  <r>
    <s v="Zoroark"/>
    <x v="696"/>
    <n v="571"/>
    <s v="571_1"/>
    <x v="2"/>
    <n v="1.6"/>
    <n v="73"/>
    <x v="4"/>
    <s v="Ghost"/>
    <s v="Illusion"/>
    <m/>
    <m/>
    <s v="Gray"/>
    <n v="87.5"/>
    <n v="12.5"/>
    <n v="0"/>
    <n v="20"/>
    <s v="Ground"/>
    <m/>
    <n v="45"/>
    <n v="179"/>
    <n v="1059860"/>
    <x v="0"/>
    <m/>
    <s v="Hisuian"/>
    <n v="60"/>
    <n v="105"/>
    <n v="60"/>
    <n v="120"/>
    <n v="60"/>
    <n v="105"/>
    <n v="510"/>
    <n v="0"/>
    <n v="0"/>
    <n v="0"/>
    <n v="2"/>
    <n v="0"/>
    <n v="0"/>
  </r>
  <r>
    <s v="Minccino"/>
    <x v="697"/>
    <n v="572"/>
    <s v="572_0"/>
    <x v="7"/>
    <n v="0.4"/>
    <n v="5.8"/>
    <x v="4"/>
    <m/>
    <s v="Cute Charm"/>
    <s v="Technician"/>
    <s v="Skill Link"/>
    <s v="Gray"/>
    <n v="25"/>
    <n v="75"/>
    <n v="0"/>
    <n v="15"/>
    <s v="Ground"/>
    <m/>
    <n v="255"/>
    <n v="60"/>
    <n v="800000"/>
    <x v="0"/>
    <m/>
    <m/>
    <n v="55"/>
    <n v="50"/>
    <n v="40"/>
    <n v="40"/>
    <n v="40"/>
    <n v="75"/>
    <n v="300"/>
    <n v="0"/>
    <n v="0"/>
    <n v="0"/>
    <n v="0"/>
    <n v="0"/>
    <n v="1"/>
  </r>
  <r>
    <s v="Cinccino"/>
    <x v="698"/>
    <n v="573"/>
    <s v="573_0"/>
    <x v="7"/>
    <n v="0.5"/>
    <n v="7.5"/>
    <x v="4"/>
    <m/>
    <s v="Cute Charm"/>
    <s v="Technician"/>
    <s v="Skill Link"/>
    <s v="Gray"/>
    <n v="25"/>
    <n v="75"/>
    <n v="0"/>
    <n v="15"/>
    <s v="Ground"/>
    <m/>
    <n v="60"/>
    <n v="165"/>
    <n v="800000"/>
    <x v="0"/>
    <m/>
    <m/>
    <n v="75"/>
    <n v="95"/>
    <n v="60"/>
    <n v="65"/>
    <n v="60"/>
    <n v="115"/>
    <n v="470"/>
    <n v="0"/>
    <n v="0"/>
    <n v="0"/>
    <n v="0"/>
    <n v="0"/>
    <n v="2"/>
  </r>
  <r>
    <s v="Gothita"/>
    <x v="699"/>
    <n v="574"/>
    <s v="574_0"/>
    <x v="7"/>
    <n v="0.4"/>
    <n v="5.8"/>
    <x v="13"/>
    <m/>
    <s v="Frisk"/>
    <s v="Competitive"/>
    <s v="Shadow Tag"/>
    <s v="Purple"/>
    <n v="25"/>
    <n v="75"/>
    <n v="0"/>
    <n v="20"/>
    <s v="Human-Like"/>
    <m/>
    <n v="200"/>
    <n v="58"/>
    <n v="1059860"/>
    <x v="0"/>
    <m/>
    <m/>
    <n v="45"/>
    <n v="30"/>
    <n v="50"/>
    <n v="55"/>
    <n v="65"/>
    <n v="45"/>
    <n v="290"/>
    <n v="0"/>
    <n v="0"/>
    <n v="0"/>
    <n v="0"/>
    <n v="1"/>
    <n v="0"/>
  </r>
  <r>
    <s v="Gothorita"/>
    <x v="700"/>
    <n v="575"/>
    <s v="575_0"/>
    <x v="7"/>
    <n v="0.7"/>
    <n v="18"/>
    <x v="13"/>
    <m/>
    <s v="Frisk"/>
    <s v="Competitive"/>
    <s v="Shadow Tag"/>
    <s v="Purple"/>
    <n v="25"/>
    <n v="75"/>
    <n v="0"/>
    <n v="20"/>
    <s v="Human-Like"/>
    <m/>
    <n v="100"/>
    <n v="137"/>
    <n v="1059860"/>
    <x v="0"/>
    <m/>
    <m/>
    <n v="60"/>
    <n v="45"/>
    <n v="70"/>
    <n v="75"/>
    <n v="85"/>
    <n v="55"/>
    <n v="390"/>
    <n v="0"/>
    <n v="0"/>
    <n v="0"/>
    <n v="0"/>
    <n v="2"/>
    <n v="0"/>
  </r>
  <r>
    <s v="Gothitelle"/>
    <x v="701"/>
    <n v="576"/>
    <s v="576_0"/>
    <x v="7"/>
    <n v="1.5"/>
    <n v="44"/>
    <x v="13"/>
    <m/>
    <s v="Frisk"/>
    <s v="Competitive"/>
    <s v="Shadow Tag"/>
    <s v="Purple"/>
    <n v="25"/>
    <n v="75"/>
    <n v="0"/>
    <n v="20"/>
    <s v="Human-Like"/>
    <m/>
    <n v="50"/>
    <n v="245"/>
    <n v="1059860"/>
    <x v="0"/>
    <m/>
    <m/>
    <n v="70"/>
    <n v="55"/>
    <n v="95"/>
    <n v="95"/>
    <n v="110"/>
    <n v="65"/>
    <n v="490"/>
    <n v="0"/>
    <n v="0"/>
    <n v="0"/>
    <n v="0"/>
    <n v="3"/>
    <n v="0"/>
  </r>
  <r>
    <s v="Solosis"/>
    <x v="702"/>
    <n v="577"/>
    <s v="577_0"/>
    <x v="7"/>
    <n v="0.3"/>
    <n v="1"/>
    <x v="13"/>
    <m/>
    <s v="Overcoat"/>
    <s v="Magic Guard"/>
    <s v="Regenerator"/>
    <s v="Green"/>
    <n v="50"/>
    <n v="50"/>
    <n v="0"/>
    <n v="20"/>
    <s v="Amorphous"/>
    <m/>
    <n v="200"/>
    <n v="58"/>
    <n v="1059860"/>
    <x v="0"/>
    <m/>
    <m/>
    <n v="45"/>
    <n v="30"/>
    <n v="40"/>
    <n v="105"/>
    <n v="50"/>
    <n v="20"/>
    <n v="290"/>
    <n v="0"/>
    <n v="0"/>
    <n v="0"/>
    <n v="1"/>
    <n v="0"/>
    <n v="0"/>
  </r>
  <r>
    <s v="Duosion"/>
    <x v="703"/>
    <n v="578"/>
    <s v="578_0"/>
    <x v="7"/>
    <n v="0.6"/>
    <n v="8"/>
    <x v="13"/>
    <m/>
    <s v="Overcoat"/>
    <s v="Magic Guard"/>
    <s v="Regenerator"/>
    <s v="Green"/>
    <n v="50"/>
    <n v="50"/>
    <n v="0"/>
    <n v="20"/>
    <s v="Amorphous"/>
    <m/>
    <n v="100"/>
    <n v="130"/>
    <n v="1059860"/>
    <x v="0"/>
    <m/>
    <m/>
    <n v="65"/>
    <n v="40"/>
    <n v="50"/>
    <n v="125"/>
    <n v="60"/>
    <n v="30"/>
    <n v="370"/>
    <n v="0"/>
    <n v="0"/>
    <n v="0"/>
    <n v="2"/>
    <n v="0"/>
    <n v="0"/>
  </r>
  <r>
    <s v="Reuniclus"/>
    <x v="704"/>
    <n v="579"/>
    <s v="579_0"/>
    <x v="7"/>
    <n v="1"/>
    <n v="20.100000000000001"/>
    <x v="13"/>
    <m/>
    <s v="Overcoat"/>
    <s v="Magic Guard"/>
    <s v="Regenerator"/>
    <s v="Green"/>
    <n v="50"/>
    <n v="50"/>
    <n v="0"/>
    <n v="20"/>
    <s v="Amorphous"/>
    <m/>
    <n v="50"/>
    <n v="245"/>
    <n v="1059860"/>
    <x v="0"/>
    <m/>
    <m/>
    <n v="110"/>
    <n v="65"/>
    <n v="75"/>
    <n v="125"/>
    <n v="85"/>
    <n v="30"/>
    <n v="490"/>
    <n v="0"/>
    <n v="0"/>
    <n v="0"/>
    <n v="3"/>
    <n v="0"/>
    <n v="0"/>
  </r>
  <r>
    <s v="Ducklett"/>
    <x v="705"/>
    <n v="580"/>
    <s v="580_0"/>
    <x v="7"/>
    <n v="0.5"/>
    <n v="5.5"/>
    <x v="2"/>
    <s v="Flying"/>
    <s v="Keen Eye"/>
    <s v="Big Pecks"/>
    <s v="Hydration"/>
    <s v="Blue"/>
    <n v="50"/>
    <n v="50"/>
    <n v="0"/>
    <n v="20"/>
    <s v="Water1"/>
    <s v="Flying"/>
    <n v="190"/>
    <n v="61"/>
    <n v="1000000"/>
    <x v="0"/>
    <m/>
    <m/>
    <n v="62"/>
    <n v="44"/>
    <n v="50"/>
    <n v="44"/>
    <n v="50"/>
    <n v="55"/>
    <n v="305"/>
    <n v="1"/>
    <n v="0"/>
    <n v="0"/>
    <n v="0"/>
    <n v="0"/>
    <n v="0"/>
  </r>
  <r>
    <s v="Swanna"/>
    <x v="706"/>
    <n v="581"/>
    <s v="581_0"/>
    <x v="7"/>
    <n v="1.3"/>
    <n v="24.2"/>
    <x v="2"/>
    <s v="Flying"/>
    <s v="Keen Eye"/>
    <s v="Big Pecks"/>
    <s v="Hydration"/>
    <s v="White"/>
    <n v="50"/>
    <n v="50"/>
    <n v="0"/>
    <n v="20"/>
    <s v="Water1"/>
    <s v="Flying"/>
    <n v="45"/>
    <n v="166"/>
    <n v="1000000"/>
    <x v="0"/>
    <m/>
    <m/>
    <n v="75"/>
    <n v="87"/>
    <n v="63"/>
    <n v="87"/>
    <n v="63"/>
    <n v="98"/>
    <n v="473"/>
    <n v="0"/>
    <n v="0"/>
    <n v="0"/>
    <n v="0"/>
    <n v="0"/>
    <n v="2"/>
  </r>
  <r>
    <s v="Vanillite"/>
    <x v="707"/>
    <n v="582"/>
    <s v="582_0"/>
    <x v="7"/>
    <n v="0.4"/>
    <n v="5.7"/>
    <x v="9"/>
    <m/>
    <s v="Ice Body"/>
    <s v="Snow Cloak"/>
    <s v="Weak Armor"/>
    <s v="White"/>
    <n v="50"/>
    <n v="50"/>
    <n v="0"/>
    <n v="20"/>
    <s v="Mineral"/>
    <m/>
    <n v="255"/>
    <n v="61"/>
    <n v="1250000"/>
    <x v="0"/>
    <m/>
    <m/>
    <n v="36"/>
    <n v="50"/>
    <n v="50"/>
    <n v="65"/>
    <n v="60"/>
    <n v="44"/>
    <n v="305"/>
    <n v="0"/>
    <n v="0"/>
    <n v="0"/>
    <n v="1"/>
    <n v="0"/>
    <n v="0"/>
  </r>
  <r>
    <s v="Vanillish"/>
    <x v="708"/>
    <n v="583"/>
    <s v="583_0"/>
    <x v="7"/>
    <n v="1.1000000000000001"/>
    <n v="41"/>
    <x v="9"/>
    <m/>
    <s v="Ice Body"/>
    <s v="Snow Cloak"/>
    <s v="Weak Armor"/>
    <s v="White"/>
    <n v="50"/>
    <n v="50"/>
    <n v="0"/>
    <n v="20"/>
    <s v="Mineral"/>
    <m/>
    <n v="120"/>
    <n v="138"/>
    <n v="1250000"/>
    <x v="0"/>
    <m/>
    <m/>
    <n v="51"/>
    <n v="65"/>
    <n v="65"/>
    <n v="80"/>
    <n v="75"/>
    <n v="59"/>
    <n v="395"/>
    <n v="0"/>
    <n v="0"/>
    <n v="0"/>
    <n v="2"/>
    <n v="0"/>
    <n v="0"/>
  </r>
  <r>
    <s v="Vanilluxe"/>
    <x v="709"/>
    <n v="584"/>
    <s v="584_0"/>
    <x v="7"/>
    <n v="1.3"/>
    <n v="57.5"/>
    <x v="9"/>
    <m/>
    <s v="Ice Body"/>
    <s v="Snow Warning"/>
    <s v="Weak Armor"/>
    <s v="White"/>
    <n v="50"/>
    <n v="50"/>
    <n v="0"/>
    <n v="20"/>
    <s v="Mineral"/>
    <m/>
    <n v="45"/>
    <n v="268"/>
    <n v="1250000"/>
    <x v="0"/>
    <m/>
    <m/>
    <n v="71"/>
    <n v="95"/>
    <n v="85"/>
    <n v="110"/>
    <n v="95"/>
    <n v="79"/>
    <n v="535"/>
    <n v="0"/>
    <n v="0"/>
    <n v="0"/>
    <n v="3"/>
    <n v="0"/>
    <n v="0"/>
  </r>
  <r>
    <s v="Deerling"/>
    <x v="710"/>
    <n v="585"/>
    <s v="585_0"/>
    <x v="7"/>
    <n v="0.6"/>
    <n v="19.5"/>
    <x v="4"/>
    <s v="Grass"/>
    <s v="Chlorophyll"/>
    <s v="Sap Sipper"/>
    <s v="Serene Grace"/>
    <s v="Pink"/>
    <n v="50"/>
    <n v="50"/>
    <n v="0"/>
    <n v="20"/>
    <s v="Ground"/>
    <m/>
    <n v="190"/>
    <n v="67"/>
    <n v="1000000"/>
    <x v="0"/>
    <m/>
    <m/>
    <n v="60"/>
    <n v="60"/>
    <n v="50"/>
    <n v="40"/>
    <n v="50"/>
    <n v="75"/>
    <n v="335"/>
    <n v="0"/>
    <n v="0"/>
    <n v="0"/>
    <n v="0"/>
    <n v="0"/>
    <n v="1"/>
  </r>
  <r>
    <s v="Deerling"/>
    <x v="711"/>
    <n v="585"/>
    <s v="585_1"/>
    <x v="7"/>
    <n v="0.6"/>
    <n v="19.5"/>
    <x v="4"/>
    <s v="Grass"/>
    <s v="Chlorophyll"/>
    <s v="Sap Sipper"/>
    <s v="Serene Grace"/>
    <s v="Green"/>
    <n v="50"/>
    <n v="50"/>
    <n v="0"/>
    <n v="20"/>
    <s v="Ground"/>
    <m/>
    <n v="190"/>
    <n v="67"/>
    <n v="1000000"/>
    <x v="0"/>
    <m/>
    <m/>
    <n v="60"/>
    <n v="60"/>
    <n v="50"/>
    <n v="40"/>
    <n v="50"/>
    <n v="75"/>
    <n v="335"/>
    <n v="0"/>
    <n v="0"/>
    <n v="0"/>
    <n v="0"/>
    <n v="0"/>
    <n v="1"/>
  </r>
  <r>
    <s v="Deerling"/>
    <x v="712"/>
    <n v="585"/>
    <s v="585_2"/>
    <x v="7"/>
    <n v="0.6"/>
    <n v="19.5"/>
    <x v="4"/>
    <s v="Grass"/>
    <s v="Chlorophyll"/>
    <s v="Sap Sipper"/>
    <s v="Serene Grace"/>
    <s v="Red"/>
    <n v="50"/>
    <n v="50"/>
    <n v="0"/>
    <n v="20"/>
    <s v="Ground"/>
    <m/>
    <n v="190"/>
    <n v="67"/>
    <n v="1000000"/>
    <x v="0"/>
    <m/>
    <m/>
    <n v="60"/>
    <n v="60"/>
    <n v="50"/>
    <n v="40"/>
    <n v="50"/>
    <n v="75"/>
    <n v="335"/>
    <n v="0"/>
    <n v="0"/>
    <n v="0"/>
    <n v="0"/>
    <n v="0"/>
    <n v="1"/>
  </r>
  <r>
    <s v="Deerling"/>
    <x v="713"/>
    <n v="585"/>
    <s v="585_3"/>
    <x v="7"/>
    <n v="0.6"/>
    <n v="19.5"/>
    <x v="4"/>
    <s v="Grass"/>
    <s v="Chlorophyll"/>
    <s v="Sap Sipper"/>
    <s v="Serene Grace"/>
    <s v="Brown"/>
    <n v="50"/>
    <n v="50"/>
    <n v="0"/>
    <n v="20"/>
    <s v="Ground"/>
    <m/>
    <n v="190"/>
    <n v="67"/>
    <n v="1000000"/>
    <x v="0"/>
    <m/>
    <m/>
    <n v="60"/>
    <n v="60"/>
    <n v="50"/>
    <n v="40"/>
    <n v="50"/>
    <n v="75"/>
    <n v="335"/>
    <n v="0"/>
    <n v="0"/>
    <n v="0"/>
    <n v="0"/>
    <n v="0"/>
    <n v="1"/>
  </r>
  <r>
    <s v="Sawsbuck"/>
    <x v="714"/>
    <n v="586"/>
    <s v="586_0"/>
    <x v="7"/>
    <n v="1.9"/>
    <n v="92.5"/>
    <x v="4"/>
    <s v="Grass"/>
    <s v="Chlorophyll"/>
    <s v="Sap Sipper"/>
    <s v="Serene Grace"/>
    <s v="Brown"/>
    <n v="50"/>
    <n v="50"/>
    <n v="0"/>
    <n v="20"/>
    <s v="Ground"/>
    <m/>
    <n v="75"/>
    <n v="166"/>
    <n v="1000000"/>
    <x v="0"/>
    <m/>
    <m/>
    <n v="80"/>
    <n v="100"/>
    <n v="70"/>
    <n v="60"/>
    <n v="70"/>
    <n v="95"/>
    <n v="475"/>
    <n v="0"/>
    <n v="2"/>
    <n v="0"/>
    <n v="0"/>
    <n v="0"/>
    <n v="0"/>
  </r>
  <r>
    <s v="Emolga"/>
    <x v="715"/>
    <n v="587"/>
    <s v="587_0"/>
    <x v="7"/>
    <n v="0.4"/>
    <n v="5"/>
    <x v="7"/>
    <s v="Flying"/>
    <s v="Static"/>
    <m/>
    <s v="Motor Drive"/>
    <s v="White"/>
    <n v="50"/>
    <n v="50"/>
    <n v="0"/>
    <n v="20"/>
    <s v="Ground"/>
    <m/>
    <n v="200"/>
    <n v="150"/>
    <n v="1000000"/>
    <x v="0"/>
    <m/>
    <m/>
    <n v="55"/>
    <n v="75"/>
    <n v="60"/>
    <n v="75"/>
    <n v="60"/>
    <n v="103"/>
    <n v="428"/>
    <n v="0"/>
    <n v="0"/>
    <n v="0"/>
    <n v="0"/>
    <n v="0"/>
    <n v="2"/>
  </r>
  <r>
    <s v="Karrablast"/>
    <x v="716"/>
    <n v="588"/>
    <s v="588_0"/>
    <x v="7"/>
    <n v="0.5"/>
    <n v="5.9"/>
    <x v="3"/>
    <m/>
    <s v="Swarm"/>
    <s v="Shed Skin"/>
    <s v="No Guard"/>
    <s v="Blue"/>
    <n v="50"/>
    <n v="50"/>
    <n v="0"/>
    <n v="15"/>
    <s v="Bug"/>
    <m/>
    <n v="200"/>
    <n v="63"/>
    <n v="1000000"/>
    <x v="0"/>
    <m/>
    <m/>
    <n v="50"/>
    <n v="75"/>
    <n v="45"/>
    <n v="40"/>
    <n v="45"/>
    <n v="60"/>
    <n v="315"/>
    <n v="0"/>
    <n v="1"/>
    <n v="0"/>
    <n v="0"/>
    <n v="0"/>
    <n v="0"/>
  </r>
  <r>
    <s v="Escavalier"/>
    <x v="717"/>
    <n v="589"/>
    <s v="589_0"/>
    <x v="7"/>
    <n v="1"/>
    <n v="33"/>
    <x v="3"/>
    <s v="Steel"/>
    <s v="Swarm"/>
    <s v="Shell Armor"/>
    <s v="Overcoat"/>
    <s v="Gray"/>
    <n v="50"/>
    <n v="50"/>
    <n v="0"/>
    <n v="15"/>
    <s v="Bug"/>
    <m/>
    <n v="75"/>
    <n v="173"/>
    <n v="1000000"/>
    <x v="0"/>
    <m/>
    <m/>
    <n v="70"/>
    <n v="135"/>
    <n v="105"/>
    <n v="60"/>
    <n v="105"/>
    <n v="20"/>
    <n v="495"/>
    <n v="0"/>
    <n v="2"/>
    <n v="0"/>
    <n v="0"/>
    <n v="0"/>
    <n v="0"/>
  </r>
  <r>
    <s v="Foongus"/>
    <x v="718"/>
    <n v="590"/>
    <s v="590_0"/>
    <x v="7"/>
    <n v="0.2"/>
    <n v="1"/>
    <x v="0"/>
    <s v="Poison"/>
    <s v="Effect Spore"/>
    <m/>
    <s v="Regenerator"/>
    <s v="White"/>
    <n v="50"/>
    <n v="50"/>
    <n v="0"/>
    <n v="20"/>
    <s v="Grass"/>
    <m/>
    <n v="190"/>
    <n v="59"/>
    <n v="1000000"/>
    <x v="0"/>
    <m/>
    <m/>
    <n v="69"/>
    <n v="55"/>
    <n v="45"/>
    <n v="55"/>
    <n v="55"/>
    <n v="15"/>
    <n v="294"/>
    <n v="1"/>
    <n v="0"/>
    <n v="0"/>
    <n v="0"/>
    <n v="0"/>
    <n v="0"/>
  </r>
  <r>
    <s v="Amoonguss"/>
    <x v="719"/>
    <n v="591"/>
    <s v="591_0"/>
    <x v="7"/>
    <n v="0.6"/>
    <n v="10.5"/>
    <x v="0"/>
    <s v="Poison"/>
    <s v="Effect Spore"/>
    <m/>
    <s v="Regenerator"/>
    <s v="White"/>
    <n v="50"/>
    <n v="50"/>
    <n v="0"/>
    <n v="20"/>
    <s v="Grass"/>
    <m/>
    <n v="75"/>
    <n v="162"/>
    <n v="1000000"/>
    <x v="0"/>
    <m/>
    <m/>
    <n v="114"/>
    <n v="85"/>
    <n v="70"/>
    <n v="85"/>
    <n v="80"/>
    <n v="30"/>
    <n v="464"/>
    <n v="2"/>
    <n v="0"/>
    <n v="0"/>
    <n v="0"/>
    <n v="0"/>
    <n v="0"/>
  </r>
  <r>
    <s v="Frillish"/>
    <x v="720"/>
    <n v="592"/>
    <s v="592_0"/>
    <x v="7"/>
    <n v="1.2"/>
    <n v="33"/>
    <x v="2"/>
    <s v="Ghost"/>
    <s v="Water Absorb"/>
    <s v="Cursed Body"/>
    <s v="Damp"/>
    <s v="White"/>
    <n v="50"/>
    <n v="50"/>
    <n v="0"/>
    <n v="20"/>
    <s v="Amorphous"/>
    <m/>
    <n v="190"/>
    <n v="67"/>
    <n v="1000000"/>
    <x v="0"/>
    <m/>
    <m/>
    <n v="55"/>
    <n v="40"/>
    <n v="50"/>
    <n v="65"/>
    <n v="85"/>
    <n v="40"/>
    <n v="335"/>
    <n v="0"/>
    <n v="0"/>
    <n v="0"/>
    <n v="0"/>
    <n v="1"/>
    <n v="0"/>
  </r>
  <r>
    <s v="Jellicent"/>
    <x v="721"/>
    <n v="593"/>
    <s v="593_0"/>
    <x v="7"/>
    <n v="2.2000000000000002"/>
    <n v="135"/>
    <x v="2"/>
    <s v="Ghost"/>
    <s v="Water Absorb"/>
    <s v="Cursed Body"/>
    <s v="Damp"/>
    <s v="White"/>
    <n v="50"/>
    <n v="50"/>
    <n v="0"/>
    <n v="20"/>
    <s v="Amorphous"/>
    <m/>
    <n v="60"/>
    <n v="168"/>
    <n v="1000000"/>
    <x v="0"/>
    <m/>
    <m/>
    <n v="100"/>
    <n v="60"/>
    <n v="70"/>
    <n v="85"/>
    <n v="105"/>
    <n v="60"/>
    <n v="480"/>
    <n v="0"/>
    <n v="0"/>
    <n v="0"/>
    <n v="0"/>
    <n v="2"/>
    <n v="0"/>
  </r>
  <r>
    <s v="Alomomola"/>
    <x v="722"/>
    <n v="594"/>
    <s v="594_0"/>
    <x v="7"/>
    <n v="1.2"/>
    <n v="31.6"/>
    <x v="2"/>
    <m/>
    <s v="Healer"/>
    <s v="Hydration"/>
    <s v="Regenerator"/>
    <s v="Pink"/>
    <n v="50"/>
    <n v="50"/>
    <n v="0"/>
    <n v="40"/>
    <s v="Water1"/>
    <s v="Water2"/>
    <n v="75"/>
    <n v="165"/>
    <n v="800000"/>
    <x v="0"/>
    <m/>
    <m/>
    <n v="165"/>
    <n v="75"/>
    <n v="80"/>
    <n v="40"/>
    <n v="45"/>
    <n v="65"/>
    <n v="470"/>
    <n v="2"/>
    <n v="0"/>
    <n v="0"/>
    <n v="0"/>
    <n v="0"/>
    <n v="0"/>
  </r>
  <r>
    <s v="Joltik"/>
    <x v="723"/>
    <n v="595"/>
    <s v="595_0"/>
    <x v="7"/>
    <n v="0.1"/>
    <n v="0.6"/>
    <x v="3"/>
    <s v="Electric"/>
    <s v="Compound Eyes"/>
    <s v="Unnerve"/>
    <s v="Swarm"/>
    <s v="Yellow"/>
    <n v="50"/>
    <n v="50"/>
    <n v="0"/>
    <n v="20"/>
    <s v="Bug"/>
    <m/>
    <n v="190"/>
    <n v="64"/>
    <n v="1000000"/>
    <x v="0"/>
    <m/>
    <m/>
    <n v="50"/>
    <n v="47"/>
    <n v="50"/>
    <n v="57"/>
    <n v="50"/>
    <n v="65"/>
    <n v="319"/>
    <n v="0"/>
    <n v="0"/>
    <n v="0"/>
    <n v="0"/>
    <n v="0"/>
    <n v="1"/>
  </r>
  <r>
    <s v="Galvantula"/>
    <x v="724"/>
    <n v="596"/>
    <s v="596_0"/>
    <x v="7"/>
    <n v="0.8"/>
    <n v="14.3"/>
    <x v="3"/>
    <s v="Electric"/>
    <s v="Compound Eyes"/>
    <s v="Unnerve"/>
    <s v="Swarm"/>
    <s v="Yellow"/>
    <n v="50"/>
    <n v="50"/>
    <n v="0"/>
    <n v="20"/>
    <s v="Bug"/>
    <m/>
    <n v="75"/>
    <n v="165"/>
    <n v="1000000"/>
    <x v="0"/>
    <m/>
    <m/>
    <n v="70"/>
    <n v="77"/>
    <n v="60"/>
    <n v="97"/>
    <n v="60"/>
    <n v="108"/>
    <n v="472"/>
    <n v="0"/>
    <n v="0"/>
    <n v="0"/>
    <n v="0"/>
    <n v="0"/>
    <n v="2"/>
  </r>
  <r>
    <s v="Ferroseed"/>
    <x v="725"/>
    <n v="597"/>
    <s v="597_0"/>
    <x v="7"/>
    <n v="0.6"/>
    <n v="18.8"/>
    <x v="0"/>
    <s v="Steel"/>
    <s v="Iron Barbs"/>
    <m/>
    <m/>
    <s v="Gray"/>
    <n v="50"/>
    <n v="50"/>
    <n v="0"/>
    <n v="20"/>
    <s v="Grass"/>
    <s v="Mineral"/>
    <n v="255"/>
    <n v="61"/>
    <n v="1000000"/>
    <x v="0"/>
    <m/>
    <m/>
    <n v="44"/>
    <n v="50"/>
    <n v="91"/>
    <n v="24"/>
    <n v="86"/>
    <n v="10"/>
    <n v="305"/>
    <n v="0"/>
    <n v="0"/>
    <n v="1"/>
    <n v="0"/>
    <n v="0"/>
    <n v="0"/>
  </r>
  <r>
    <s v="Ferrothorn"/>
    <x v="726"/>
    <n v="598"/>
    <s v="598_0"/>
    <x v="7"/>
    <n v="1"/>
    <n v="110"/>
    <x v="0"/>
    <s v="Steel"/>
    <s v="Iron Barbs"/>
    <m/>
    <s v="Anticipation"/>
    <s v="Gray"/>
    <n v="50"/>
    <n v="50"/>
    <n v="0"/>
    <n v="20"/>
    <s v="Grass"/>
    <s v="Mineral"/>
    <n v="90"/>
    <n v="171"/>
    <n v="1000000"/>
    <x v="0"/>
    <m/>
    <m/>
    <n v="74"/>
    <n v="94"/>
    <n v="131"/>
    <n v="54"/>
    <n v="116"/>
    <n v="20"/>
    <n v="489"/>
    <n v="0"/>
    <n v="0"/>
    <n v="2"/>
    <n v="0"/>
    <n v="0"/>
    <n v="0"/>
  </r>
  <r>
    <s v="Klink"/>
    <x v="727"/>
    <n v="599"/>
    <s v="599_0"/>
    <x v="7"/>
    <n v="0.3"/>
    <n v="21"/>
    <x v="11"/>
    <m/>
    <s v="Plus"/>
    <s v="Minus"/>
    <s v="Clear Body"/>
    <s v="Gray"/>
    <n v="0"/>
    <n v="0"/>
    <n v="100"/>
    <n v="20"/>
    <s v="Mineral"/>
    <m/>
    <n v="130"/>
    <n v="60"/>
    <n v="1059860"/>
    <x v="0"/>
    <m/>
    <m/>
    <n v="40"/>
    <n v="55"/>
    <n v="70"/>
    <n v="45"/>
    <n v="60"/>
    <n v="30"/>
    <n v="300"/>
    <n v="0"/>
    <n v="0"/>
    <n v="1"/>
    <n v="0"/>
    <n v="0"/>
    <n v="0"/>
  </r>
  <r>
    <s v="Klang"/>
    <x v="728"/>
    <n v="600"/>
    <s v="600_0"/>
    <x v="7"/>
    <n v="0.6"/>
    <n v="51"/>
    <x v="11"/>
    <m/>
    <s v="Plus"/>
    <s v="Minus"/>
    <s v="Clear Body"/>
    <s v="Gray"/>
    <n v="0"/>
    <n v="0"/>
    <n v="100"/>
    <n v="20"/>
    <s v="Mineral"/>
    <m/>
    <n v="60"/>
    <n v="154"/>
    <n v="1059860"/>
    <x v="0"/>
    <m/>
    <m/>
    <n v="60"/>
    <n v="80"/>
    <n v="95"/>
    <n v="70"/>
    <n v="85"/>
    <n v="50"/>
    <n v="440"/>
    <n v="0"/>
    <n v="0"/>
    <n v="2"/>
    <n v="0"/>
    <n v="0"/>
    <n v="0"/>
  </r>
  <r>
    <s v="Klinklang"/>
    <x v="729"/>
    <n v="601"/>
    <s v="601_0"/>
    <x v="7"/>
    <n v="0.6"/>
    <n v="81"/>
    <x v="11"/>
    <m/>
    <s v="Plus"/>
    <s v="Minus"/>
    <s v="Clear Body"/>
    <s v="Gray"/>
    <n v="0"/>
    <n v="0"/>
    <n v="100"/>
    <n v="20"/>
    <s v="Mineral"/>
    <m/>
    <n v="30"/>
    <n v="260"/>
    <n v="1059860"/>
    <x v="0"/>
    <m/>
    <m/>
    <n v="60"/>
    <n v="100"/>
    <n v="115"/>
    <n v="70"/>
    <n v="85"/>
    <n v="90"/>
    <n v="520"/>
    <n v="0"/>
    <n v="0"/>
    <n v="3"/>
    <n v="0"/>
    <n v="0"/>
    <n v="0"/>
  </r>
  <r>
    <s v="Tynamo"/>
    <x v="730"/>
    <n v="602"/>
    <s v="602_0"/>
    <x v="7"/>
    <n v="0.2"/>
    <n v="0.3"/>
    <x v="7"/>
    <m/>
    <s v="Levitate"/>
    <m/>
    <m/>
    <s v="White"/>
    <n v="50"/>
    <n v="50"/>
    <n v="0"/>
    <n v="20"/>
    <s v="Amorphous"/>
    <m/>
    <n v="190"/>
    <n v="55"/>
    <n v="1250000"/>
    <x v="0"/>
    <m/>
    <m/>
    <n v="35"/>
    <n v="55"/>
    <n v="40"/>
    <n v="45"/>
    <n v="40"/>
    <n v="60"/>
    <n v="275"/>
    <n v="0"/>
    <n v="0"/>
    <n v="0"/>
    <n v="0"/>
    <n v="0"/>
    <n v="1"/>
  </r>
  <r>
    <s v="Eelektrik"/>
    <x v="731"/>
    <n v="603"/>
    <s v="603_0"/>
    <x v="7"/>
    <n v="1.2"/>
    <n v="22"/>
    <x v="7"/>
    <m/>
    <s v="Levitate"/>
    <m/>
    <m/>
    <s v="Blue"/>
    <n v="50"/>
    <n v="50"/>
    <n v="0"/>
    <n v="20"/>
    <s v="Amorphous"/>
    <m/>
    <n v="60"/>
    <n v="142"/>
    <n v="1250000"/>
    <x v="0"/>
    <m/>
    <m/>
    <n v="65"/>
    <n v="85"/>
    <n v="70"/>
    <n v="75"/>
    <n v="70"/>
    <n v="40"/>
    <n v="405"/>
    <n v="0"/>
    <n v="2"/>
    <n v="0"/>
    <n v="0"/>
    <n v="0"/>
    <n v="0"/>
  </r>
  <r>
    <s v="Eelektross"/>
    <x v="732"/>
    <n v="604"/>
    <s v="604_0"/>
    <x v="7"/>
    <n v="2.1"/>
    <n v="80.5"/>
    <x v="7"/>
    <m/>
    <s v="Levitate"/>
    <m/>
    <m/>
    <s v="Blue"/>
    <n v="50"/>
    <n v="50"/>
    <n v="0"/>
    <n v="20"/>
    <s v="Amorphous"/>
    <m/>
    <n v="30"/>
    <n v="258"/>
    <n v="1250000"/>
    <x v="0"/>
    <m/>
    <m/>
    <n v="85"/>
    <n v="115"/>
    <n v="80"/>
    <n v="105"/>
    <n v="80"/>
    <n v="50"/>
    <n v="515"/>
    <n v="0"/>
    <n v="3"/>
    <n v="0"/>
    <n v="0"/>
    <n v="0"/>
    <n v="0"/>
  </r>
  <r>
    <s v="Elgyem"/>
    <x v="733"/>
    <n v="605"/>
    <s v="605_0"/>
    <x v="7"/>
    <n v="0.5"/>
    <n v="9"/>
    <x v="13"/>
    <m/>
    <s v="Telepathy"/>
    <s v="Synchronize"/>
    <s v="Analytic"/>
    <s v="Blue"/>
    <n v="50"/>
    <n v="50"/>
    <n v="0"/>
    <n v="20"/>
    <s v="Human-Like"/>
    <m/>
    <n v="255"/>
    <n v="67"/>
    <n v="1000000"/>
    <x v="0"/>
    <m/>
    <m/>
    <n v="55"/>
    <n v="55"/>
    <n v="55"/>
    <n v="85"/>
    <n v="55"/>
    <n v="30"/>
    <n v="335"/>
    <n v="0"/>
    <n v="0"/>
    <n v="0"/>
    <n v="1"/>
    <n v="0"/>
    <n v="0"/>
  </r>
  <r>
    <s v="Beheeyem"/>
    <x v="734"/>
    <n v="606"/>
    <s v="606_0"/>
    <x v="7"/>
    <n v="1"/>
    <n v="34.5"/>
    <x v="13"/>
    <m/>
    <s v="Telepathy"/>
    <s v="Synchronize"/>
    <s v="Analytic"/>
    <s v="Brown"/>
    <n v="50"/>
    <n v="50"/>
    <n v="0"/>
    <n v="20"/>
    <s v="Human-Like"/>
    <m/>
    <n v="90"/>
    <n v="170"/>
    <n v="1000000"/>
    <x v="0"/>
    <m/>
    <m/>
    <n v="75"/>
    <n v="75"/>
    <n v="75"/>
    <n v="125"/>
    <n v="95"/>
    <n v="40"/>
    <n v="485"/>
    <n v="0"/>
    <n v="0"/>
    <n v="0"/>
    <n v="2"/>
    <n v="0"/>
    <n v="0"/>
  </r>
  <r>
    <s v="Litwick"/>
    <x v="735"/>
    <n v="607"/>
    <s v="607_0"/>
    <x v="7"/>
    <n v="0.3"/>
    <n v="3.1"/>
    <x v="15"/>
    <s v="Fire"/>
    <s v="Flash Fire"/>
    <s v="Flame Body"/>
    <s v="Infiltrator"/>
    <s v="White"/>
    <n v="50"/>
    <n v="50"/>
    <n v="0"/>
    <n v="20"/>
    <s v="Amorphous"/>
    <m/>
    <n v="190"/>
    <n v="55"/>
    <n v="1059860"/>
    <x v="0"/>
    <m/>
    <m/>
    <n v="50"/>
    <n v="30"/>
    <n v="55"/>
    <n v="65"/>
    <n v="55"/>
    <n v="20"/>
    <n v="275"/>
    <n v="0"/>
    <n v="0"/>
    <n v="0"/>
    <n v="1"/>
    <n v="0"/>
    <n v="0"/>
  </r>
  <r>
    <s v="Lampent"/>
    <x v="736"/>
    <n v="608"/>
    <s v="608_0"/>
    <x v="7"/>
    <n v="0.6"/>
    <n v="13"/>
    <x v="15"/>
    <s v="Fire"/>
    <s v="Flash Fire"/>
    <s v="Flame Body"/>
    <s v="Infiltrator"/>
    <s v="Black"/>
    <n v="50"/>
    <n v="50"/>
    <n v="0"/>
    <n v="20"/>
    <s v="Amorphous"/>
    <m/>
    <n v="90"/>
    <n v="130"/>
    <n v="1059860"/>
    <x v="0"/>
    <m/>
    <m/>
    <n v="60"/>
    <n v="40"/>
    <n v="60"/>
    <n v="95"/>
    <n v="60"/>
    <n v="55"/>
    <n v="370"/>
    <n v="0"/>
    <n v="0"/>
    <n v="0"/>
    <n v="2"/>
    <n v="0"/>
    <n v="0"/>
  </r>
  <r>
    <s v="Chandelure"/>
    <x v="737"/>
    <n v="609"/>
    <s v="609_0"/>
    <x v="7"/>
    <n v="1"/>
    <n v="34.299999999999997"/>
    <x v="15"/>
    <s v="Fire"/>
    <s v="Flash Fire"/>
    <s v="Flame Body"/>
    <s v="Infiltrator"/>
    <s v="Black"/>
    <n v="50"/>
    <n v="50"/>
    <n v="0"/>
    <n v="20"/>
    <s v="Amorphous"/>
    <m/>
    <n v="45"/>
    <n v="260"/>
    <n v="1059860"/>
    <x v="0"/>
    <m/>
    <m/>
    <n v="60"/>
    <n v="55"/>
    <n v="90"/>
    <n v="145"/>
    <n v="90"/>
    <n v="80"/>
    <n v="520"/>
    <n v="0"/>
    <n v="0"/>
    <n v="0"/>
    <n v="3"/>
    <n v="0"/>
    <n v="0"/>
  </r>
  <r>
    <s v="Axew"/>
    <x v="738"/>
    <n v="610"/>
    <s v="610_0"/>
    <x v="7"/>
    <n v="0.6"/>
    <n v="18"/>
    <x v="16"/>
    <m/>
    <s v="Rivalry"/>
    <s v="Mold Breaker"/>
    <s v="Unnerve"/>
    <s v="Green"/>
    <n v="50"/>
    <n v="50"/>
    <n v="0"/>
    <n v="40"/>
    <s v="Monster"/>
    <s v="Dragon"/>
    <n v="75"/>
    <n v="64"/>
    <n v="1250000"/>
    <x v="0"/>
    <m/>
    <m/>
    <n v="46"/>
    <n v="87"/>
    <n v="60"/>
    <n v="30"/>
    <n v="40"/>
    <n v="57"/>
    <n v="320"/>
    <n v="0"/>
    <n v="1"/>
    <n v="0"/>
    <n v="0"/>
    <n v="0"/>
    <n v="0"/>
  </r>
  <r>
    <s v="Fraxure"/>
    <x v="739"/>
    <n v="611"/>
    <s v="611_0"/>
    <x v="7"/>
    <n v="1"/>
    <n v="36"/>
    <x v="16"/>
    <m/>
    <s v="Rivalry"/>
    <s v="Mold Breaker"/>
    <s v="Unnerve"/>
    <s v="Green"/>
    <n v="50"/>
    <n v="50"/>
    <n v="0"/>
    <n v="40"/>
    <s v="Monster"/>
    <s v="Dragon"/>
    <n v="60"/>
    <n v="144"/>
    <n v="1250000"/>
    <x v="0"/>
    <m/>
    <m/>
    <n v="66"/>
    <n v="117"/>
    <n v="70"/>
    <n v="40"/>
    <n v="50"/>
    <n v="67"/>
    <n v="410"/>
    <n v="0"/>
    <n v="2"/>
    <n v="0"/>
    <n v="0"/>
    <n v="0"/>
    <n v="0"/>
  </r>
  <r>
    <s v="Haxorus"/>
    <x v="740"/>
    <n v="612"/>
    <s v="612_0"/>
    <x v="7"/>
    <n v="1.8"/>
    <n v="105.5"/>
    <x v="16"/>
    <m/>
    <s v="Rivalry"/>
    <s v="Mold Breaker"/>
    <s v="Unnerve"/>
    <s v="Yellow"/>
    <n v="50"/>
    <n v="50"/>
    <n v="0"/>
    <n v="40"/>
    <s v="Monster"/>
    <s v="Dragon"/>
    <n v="45"/>
    <n v="270"/>
    <n v="1250000"/>
    <x v="0"/>
    <m/>
    <m/>
    <n v="76"/>
    <n v="147"/>
    <n v="90"/>
    <n v="60"/>
    <n v="70"/>
    <n v="97"/>
    <n v="540"/>
    <n v="0"/>
    <n v="3"/>
    <n v="0"/>
    <n v="0"/>
    <n v="0"/>
    <n v="0"/>
  </r>
  <r>
    <s v="Cubchoo"/>
    <x v="741"/>
    <n v="613"/>
    <s v="613_0"/>
    <x v="7"/>
    <n v="0.5"/>
    <n v="8.5"/>
    <x v="9"/>
    <m/>
    <s v="Snow Cloak"/>
    <s v="Slush Rush"/>
    <s v="Rattled"/>
    <s v="White"/>
    <n v="50"/>
    <n v="50"/>
    <n v="0"/>
    <n v="20"/>
    <s v="Ground"/>
    <m/>
    <n v="120"/>
    <n v="61"/>
    <n v="1000000"/>
    <x v="0"/>
    <m/>
    <m/>
    <n v="55"/>
    <n v="70"/>
    <n v="40"/>
    <n v="60"/>
    <n v="40"/>
    <n v="40"/>
    <n v="305"/>
    <n v="0"/>
    <n v="1"/>
    <n v="0"/>
    <n v="0"/>
    <n v="0"/>
    <n v="0"/>
  </r>
  <r>
    <s v="Beartic"/>
    <x v="742"/>
    <n v="614"/>
    <s v="614_0"/>
    <x v="7"/>
    <n v="2.6"/>
    <n v="260"/>
    <x v="9"/>
    <m/>
    <s v="Snow Cloak"/>
    <s v="Slush Rush"/>
    <s v="Swift Swim"/>
    <s v="White"/>
    <n v="50"/>
    <n v="50"/>
    <n v="0"/>
    <n v="20"/>
    <s v="Ground"/>
    <m/>
    <n v="60"/>
    <n v="177"/>
    <n v="1000000"/>
    <x v="0"/>
    <m/>
    <m/>
    <n v="95"/>
    <n v="130"/>
    <n v="80"/>
    <n v="70"/>
    <n v="80"/>
    <n v="50"/>
    <n v="505"/>
    <n v="0"/>
    <n v="2"/>
    <n v="0"/>
    <n v="0"/>
    <n v="0"/>
    <n v="0"/>
  </r>
  <r>
    <s v="Cryogonal"/>
    <x v="743"/>
    <n v="615"/>
    <s v="615_0"/>
    <x v="7"/>
    <n v="1.1000000000000001"/>
    <n v="148"/>
    <x v="9"/>
    <m/>
    <s v="Levitate"/>
    <m/>
    <m/>
    <s v="Blue"/>
    <n v="0"/>
    <n v="0"/>
    <n v="100"/>
    <n v="25"/>
    <s v="Mineral"/>
    <m/>
    <n v="25"/>
    <n v="180"/>
    <n v="1000000"/>
    <x v="0"/>
    <m/>
    <m/>
    <n v="80"/>
    <n v="50"/>
    <n v="50"/>
    <n v="95"/>
    <n v="135"/>
    <n v="105"/>
    <n v="515"/>
    <n v="0"/>
    <n v="0"/>
    <n v="0"/>
    <n v="0"/>
    <n v="2"/>
    <n v="0"/>
  </r>
  <r>
    <s v="Shelmet"/>
    <x v="744"/>
    <n v="616"/>
    <s v="616_0"/>
    <x v="7"/>
    <n v="0.4"/>
    <n v="7.7"/>
    <x v="3"/>
    <m/>
    <s v="Hydration"/>
    <s v="Shell Armor"/>
    <s v="Overcoat"/>
    <s v="Red"/>
    <n v="50"/>
    <n v="50"/>
    <n v="0"/>
    <n v="15"/>
    <s v="Bug"/>
    <m/>
    <n v="200"/>
    <n v="61"/>
    <n v="1000000"/>
    <x v="0"/>
    <m/>
    <m/>
    <n v="50"/>
    <n v="40"/>
    <n v="85"/>
    <n v="40"/>
    <n v="65"/>
    <n v="25"/>
    <n v="305"/>
    <n v="0"/>
    <n v="0"/>
    <n v="1"/>
    <n v="0"/>
    <n v="0"/>
    <n v="0"/>
  </r>
  <r>
    <s v="Accelgor"/>
    <x v="745"/>
    <n v="617"/>
    <s v="617_0"/>
    <x v="7"/>
    <n v="0.8"/>
    <n v="25.3"/>
    <x v="3"/>
    <m/>
    <s v="Hydration"/>
    <s v="Sticky Hold"/>
    <s v="Unburden"/>
    <s v="Red"/>
    <n v="50"/>
    <n v="50"/>
    <n v="0"/>
    <n v="15"/>
    <s v="Bug"/>
    <m/>
    <n v="75"/>
    <n v="173"/>
    <n v="1000000"/>
    <x v="0"/>
    <m/>
    <m/>
    <n v="80"/>
    <n v="70"/>
    <n v="40"/>
    <n v="100"/>
    <n v="60"/>
    <n v="145"/>
    <n v="495"/>
    <n v="0"/>
    <n v="0"/>
    <n v="0"/>
    <n v="0"/>
    <n v="0"/>
    <n v="2"/>
  </r>
  <r>
    <s v="Stunfisk"/>
    <x v="746"/>
    <n v="618"/>
    <s v="618_0"/>
    <x v="7"/>
    <n v="0.7"/>
    <n v="11"/>
    <x v="8"/>
    <s v="Electric"/>
    <s v="Static"/>
    <s v="Limber"/>
    <s v="Sand Veil"/>
    <s v="Brown"/>
    <n v="50"/>
    <n v="50"/>
    <n v="0"/>
    <n v="20"/>
    <s v="Water1"/>
    <s v="Amorphous"/>
    <n v="75"/>
    <n v="165"/>
    <n v="1000000"/>
    <x v="0"/>
    <m/>
    <m/>
    <n v="109"/>
    <n v="66"/>
    <n v="84"/>
    <n v="81"/>
    <n v="99"/>
    <n v="32"/>
    <n v="471"/>
    <n v="2"/>
    <n v="0"/>
    <n v="0"/>
    <n v="0"/>
    <n v="0"/>
    <n v="0"/>
  </r>
  <r>
    <s v="Stunfisk"/>
    <x v="747"/>
    <n v="618"/>
    <s v="618_1"/>
    <x v="2"/>
    <n v="0.7"/>
    <n v="20.5"/>
    <x v="8"/>
    <s v="Steel"/>
    <s v="Mimicry"/>
    <m/>
    <m/>
    <s v="Green"/>
    <n v="50"/>
    <n v="50"/>
    <n v="0"/>
    <n v="20"/>
    <s v="Water1"/>
    <s v="Amorphous"/>
    <n v="75"/>
    <n v="165"/>
    <n v="1000000"/>
    <x v="0"/>
    <m/>
    <s v="Galarian"/>
    <n v="109"/>
    <n v="81"/>
    <n v="99"/>
    <n v="66"/>
    <n v="84"/>
    <n v="32"/>
    <n v="471"/>
    <n v="2"/>
    <n v="0"/>
    <n v="0"/>
    <n v="0"/>
    <n v="0"/>
    <n v="0"/>
  </r>
  <r>
    <s v="Mienfoo"/>
    <x v="748"/>
    <n v="619"/>
    <s v="619_0"/>
    <x v="7"/>
    <n v="0.9"/>
    <n v="20"/>
    <x v="12"/>
    <m/>
    <s v="Inner Focus"/>
    <s v="Regenerator"/>
    <s v="Reckless"/>
    <s v="Yellow"/>
    <n v="50"/>
    <n v="50"/>
    <n v="0"/>
    <n v="25"/>
    <s v="Ground"/>
    <s v="Human-Like"/>
    <n v="180"/>
    <n v="70"/>
    <n v="1059860"/>
    <x v="0"/>
    <m/>
    <m/>
    <n v="45"/>
    <n v="85"/>
    <n v="50"/>
    <n v="55"/>
    <n v="50"/>
    <n v="65"/>
    <n v="350"/>
    <n v="0"/>
    <n v="1"/>
    <n v="0"/>
    <n v="0"/>
    <n v="0"/>
    <n v="0"/>
  </r>
  <r>
    <s v="Mienshao"/>
    <x v="749"/>
    <n v="620"/>
    <s v="620_0"/>
    <x v="7"/>
    <n v="1.4"/>
    <n v="35.5"/>
    <x v="12"/>
    <m/>
    <s v="Inner Focus"/>
    <s v="Regenerator"/>
    <s v="Reckless"/>
    <s v="Purple"/>
    <n v="50"/>
    <n v="50"/>
    <n v="0"/>
    <n v="25"/>
    <s v="Ground"/>
    <s v="Human-Like"/>
    <n v="45"/>
    <n v="179"/>
    <n v="1059860"/>
    <x v="0"/>
    <m/>
    <m/>
    <n v="65"/>
    <n v="125"/>
    <n v="60"/>
    <n v="95"/>
    <n v="60"/>
    <n v="105"/>
    <n v="510"/>
    <n v="0"/>
    <n v="2"/>
    <n v="0"/>
    <n v="0"/>
    <n v="0"/>
    <n v="0"/>
  </r>
  <r>
    <s v="Druddigon"/>
    <x v="750"/>
    <n v="621"/>
    <s v="621_0"/>
    <x v="7"/>
    <n v="1.6"/>
    <n v="139"/>
    <x v="16"/>
    <m/>
    <s v="Rough Skin"/>
    <s v="Sheer Force"/>
    <s v="Mold Breaker"/>
    <s v="Red"/>
    <n v="50"/>
    <n v="50"/>
    <n v="0"/>
    <n v="30"/>
    <s v="Dragon"/>
    <s v="Monster"/>
    <n v="45"/>
    <n v="170"/>
    <n v="1000000"/>
    <x v="0"/>
    <m/>
    <m/>
    <n v="77"/>
    <n v="120"/>
    <n v="90"/>
    <n v="60"/>
    <n v="90"/>
    <n v="48"/>
    <n v="485"/>
    <n v="0"/>
    <n v="2"/>
    <n v="0"/>
    <n v="0"/>
    <n v="0"/>
    <n v="0"/>
  </r>
  <r>
    <s v="Golett"/>
    <x v="751"/>
    <n v="622"/>
    <s v="622_0"/>
    <x v="7"/>
    <n v="1"/>
    <n v="92"/>
    <x v="8"/>
    <s v="Ghost"/>
    <s v="Iron Fist"/>
    <s v="Klutz"/>
    <s v="No Guard"/>
    <s v="Green"/>
    <n v="0"/>
    <n v="0"/>
    <n v="100"/>
    <n v="25"/>
    <s v="Mineral"/>
    <m/>
    <n v="190"/>
    <n v="61"/>
    <n v="1000000"/>
    <x v="0"/>
    <m/>
    <m/>
    <n v="59"/>
    <n v="74"/>
    <n v="50"/>
    <n v="35"/>
    <n v="50"/>
    <n v="35"/>
    <n v="303"/>
    <n v="0"/>
    <n v="1"/>
    <n v="0"/>
    <n v="0"/>
    <n v="0"/>
    <n v="0"/>
  </r>
  <r>
    <s v="Golurk"/>
    <x v="752"/>
    <n v="623"/>
    <s v="623_0"/>
    <x v="7"/>
    <n v="2.8"/>
    <n v="330"/>
    <x v="8"/>
    <s v="Ghost"/>
    <s v="Iron Fist"/>
    <s v="Klutz"/>
    <s v="No Guard"/>
    <s v="Green"/>
    <n v="0"/>
    <n v="0"/>
    <n v="100"/>
    <n v="25"/>
    <s v="Mineral"/>
    <m/>
    <n v="90"/>
    <n v="169"/>
    <n v="1000000"/>
    <x v="0"/>
    <m/>
    <m/>
    <n v="89"/>
    <n v="124"/>
    <n v="80"/>
    <n v="55"/>
    <n v="80"/>
    <n v="55"/>
    <n v="483"/>
    <n v="0"/>
    <n v="2"/>
    <n v="0"/>
    <n v="0"/>
    <n v="0"/>
    <n v="0"/>
  </r>
  <r>
    <s v="Pawniard"/>
    <x v="753"/>
    <n v="624"/>
    <s v="624_0"/>
    <x v="7"/>
    <n v="0.5"/>
    <n v="10.199999999999999"/>
    <x v="5"/>
    <s v="Steel"/>
    <s v="Defiant"/>
    <s v="Inner Focus"/>
    <s v="Pressure"/>
    <s v="Red"/>
    <n v="50"/>
    <n v="50"/>
    <n v="0"/>
    <n v="20"/>
    <s v="Human-Like"/>
    <m/>
    <n v="120"/>
    <n v="68"/>
    <n v="1000000"/>
    <x v="0"/>
    <m/>
    <m/>
    <n v="45"/>
    <n v="85"/>
    <n v="70"/>
    <n v="40"/>
    <n v="40"/>
    <n v="60"/>
    <n v="340"/>
    <n v="0"/>
    <n v="1"/>
    <n v="0"/>
    <n v="0"/>
    <n v="0"/>
    <n v="0"/>
  </r>
  <r>
    <s v="Bisharp"/>
    <x v="754"/>
    <n v="625"/>
    <s v="625_0"/>
    <x v="7"/>
    <n v="1.6"/>
    <n v="70"/>
    <x v="5"/>
    <s v="Steel"/>
    <s v="Defiant"/>
    <s v="Inner Focus"/>
    <s v="Pressure"/>
    <s v="Red"/>
    <n v="50"/>
    <n v="50"/>
    <n v="0"/>
    <n v="20"/>
    <s v="Human-Like"/>
    <m/>
    <n v="45"/>
    <n v="172"/>
    <n v="1000000"/>
    <x v="0"/>
    <m/>
    <m/>
    <n v="65"/>
    <n v="125"/>
    <n v="100"/>
    <n v="60"/>
    <n v="70"/>
    <n v="70"/>
    <n v="490"/>
    <n v="0"/>
    <n v="2"/>
    <n v="0"/>
    <n v="0"/>
    <n v="0"/>
    <n v="0"/>
  </r>
  <r>
    <s v="Bouffalant"/>
    <x v="755"/>
    <n v="626"/>
    <s v="626_0"/>
    <x v="7"/>
    <n v="1.6"/>
    <n v="94.6"/>
    <x v="4"/>
    <m/>
    <s v="Reckless"/>
    <s v="Sap Sipper"/>
    <s v="Soundproof"/>
    <s v="Brown"/>
    <n v="50"/>
    <n v="50"/>
    <n v="0"/>
    <n v="20"/>
    <s v="Ground"/>
    <m/>
    <n v="45"/>
    <n v="172"/>
    <n v="1000000"/>
    <x v="0"/>
    <m/>
    <m/>
    <n v="95"/>
    <n v="110"/>
    <n v="95"/>
    <n v="40"/>
    <n v="95"/>
    <n v="55"/>
    <n v="490"/>
    <n v="0"/>
    <n v="2"/>
    <n v="0"/>
    <n v="0"/>
    <n v="0"/>
    <n v="0"/>
  </r>
  <r>
    <s v="Rufflet"/>
    <x v="756"/>
    <n v="627"/>
    <s v="627_0"/>
    <x v="7"/>
    <n v="0.5"/>
    <n v="10.5"/>
    <x v="4"/>
    <s v="Flying"/>
    <s v="Keen Eye"/>
    <s v="Sheer Force"/>
    <s v="Hustle"/>
    <s v="White"/>
    <n v="100"/>
    <n v="0"/>
    <n v="0"/>
    <n v="20"/>
    <s v="Flying"/>
    <m/>
    <n v="190"/>
    <n v="70"/>
    <n v="1250000"/>
    <x v="0"/>
    <m/>
    <m/>
    <n v="70"/>
    <n v="83"/>
    <n v="50"/>
    <n v="37"/>
    <n v="50"/>
    <n v="60"/>
    <n v="350"/>
    <n v="0"/>
    <n v="1"/>
    <n v="0"/>
    <n v="0"/>
    <n v="0"/>
    <n v="0"/>
  </r>
  <r>
    <s v="Braviary"/>
    <x v="757"/>
    <n v="628"/>
    <s v="628_0"/>
    <x v="7"/>
    <n v="1.5"/>
    <n v="41"/>
    <x v="4"/>
    <s v="Flying"/>
    <s v="Keen Eye"/>
    <s v="Sheer Force"/>
    <s v="Defiant"/>
    <s v="Red"/>
    <n v="100"/>
    <n v="0"/>
    <n v="0"/>
    <n v="20"/>
    <s v="Flying"/>
    <m/>
    <n v="60"/>
    <n v="179"/>
    <n v="1250000"/>
    <x v="0"/>
    <m/>
    <m/>
    <n v="100"/>
    <n v="123"/>
    <n v="75"/>
    <n v="57"/>
    <n v="75"/>
    <n v="80"/>
    <n v="510"/>
    <n v="0"/>
    <n v="2"/>
    <n v="0"/>
    <n v="0"/>
    <n v="0"/>
    <n v="0"/>
  </r>
  <r>
    <s v="Braviary"/>
    <x v="758"/>
    <n v="628"/>
    <s v="628_1"/>
    <x v="2"/>
    <n v="1.7"/>
    <n v="43.4"/>
    <x v="13"/>
    <s v="Flying"/>
    <s v="Keen Eye"/>
    <s v="Sheer Force"/>
    <s v="Tinted Lens"/>
    <s v="Red"/>
    <n v="100"/>
    <n v="0"/>
    <n v="0"/>
    <n v="20"/>
    <s v="Flying"/>
    <m/>
    <n v="60"/>
    <n v="179"/>
    <n v="1250000"/>
    <x v="0"/>
    <m/>
    <s v="Hisuian"/>
    <n v="110"/>
    <n v="83"/>
    <n v="70"/>
    <n v="112"/>
    <n v="70"/>
    <n v="65"/>
    <n v="510"/>
    <n v="0"/>
    <n v="0"/>
    <n v="0"/>
    <n v="2"/>
    <n v="0"/>
    <n v="0"/>
  </r>
  <r>
    <s v="Vullaby"/>
    <x v="759"/>
    <n v="629"/>
    <s v="629_0"/>
    <x v="7"/>
    <n v="0.5"/>
    <n v="9"/>
    <x v="5"/>
    <s v="Flying"/>
    <s v="Big Pecks"/>
    <s v="Overcoat"/>
    <s v="Weak Armor"/>
    <s v="Brown"/>
    <n v="0"/>
    <n v="100"/>
    <n v="0"/>
    <n v="20"/>
    <s v="Flying"/>
    <m/>
    <n v="190"/>
    <n v="74"/>
    <n v="1250000"/>
    <x v="0"/>
    <m/>
    <m/>
    <n v="70"/>
    <n v="55"/>
    <n v="75"/>
    <n v="45"/>
    <n v="65"/>
    <n v="60"/>
    <n v="370"/>
    <n v="0"/>
    <n v="0"/>
    <n v="1"/>
    <n v="0"/>
    <n v="0"/>
    <n v="0"/>
  </r>
  <r>
    <s v="Mandibuzz"/>
    <x v="760"/>
    <n v="630"/>
    <s v="630_0"/>
    <x v="7"/>
    <n v="1.2"/>
    <n v="39.5"/>
    <x v="5"/>
    <s v="Flying"/>
    <s v="Big Pecks"/>
    <s v="Overcoat"/>
    <s v="Weak Armor"/>
    <s v="Brown"/>
    <n v="0"/>
    <n v="100"/>
    <n v="0"/>
    <n v="20"/>
    <s v="Flying"/>
    <m/>
    <n v="60"/>
    <n v="179"/>
    <n v="1250000"/>
    <x v="0"/>
    <m/>
    <m/>
    <n v="110"/>
    <n v="65"/>
    <n v="105"/>
    <n v="55"/>
    <n v="95"/>
    <n v="80"/>
    <n v="510"/>
    <n v="0"/>
    <n v="0"/>
    <n v="0"/>
    <n v="2"/>
    <n v="0"/>
    <n v="0"/>
  </r>
  <r>
    <s v="Heatmor"/>
    <x v="761"/>
    <n v="631"/>
    <s v="631_0"/>
    <x v="7"/>
    <n v="1.4"/>
    <n v="58"/>
    <x v="1"/>
    <m/>
    <s v="Gluttony"/>
    <s v="Flash Fire"/>
    <s v="White Smoke"/>
    <s v="Red"/>
    <n v="50"/>
    <n v="50"/>
    <n v="0"/>
    <n v="20"/>
    <s v="Ground"/>
    <m/>
    <n v="90"/>
    <n v="169"/>
    <n v="1000000"/>
    <x v="0"/>
    <m/>
    <m/>
    <n v="85"/>
    <n v="97"/>
    <n v="66"/>
    <n v="105"/>
    <n v="66"/>
    <n v="65"/>
    <n v="484"/>
    <n v="0"/>
    <n v="0"/>
    <n v="0"/>
    <n v="2"/>
    <n v="0"/>
    <n v="0"/>
  </r>
  <r>
    <s v="Durant"/>
    <x v="762"/>
    <n v="632"/>
    <s v="632_0"/>
    <x v="7"/>
    <n v="0.3"/>
    <n v="33"/>
    <x v="3"/>
    <s v="Steel"/>
    <s v="Swarm"/>
    <s v="Hustle"/>
    <s v="Truant"/>
    <s v="Gray"/>
    <n v="50"/>
    <n v="50"/>
    <n v="0"/>
    <n v="20"/>
    <s v="Bug"/>
    <m/>
    <n v="90"/>
    <n v="169"/>
    <n v="1000000"/>
    <x v="0"/>
    <m/>
    <m/>
    <n v="58"/>
    <n v="109"/>
    <n v="112"/>
    <n v="48"/>
    <n v="48"/>
    <n v="109"/>
    <n v="484"/>
    <n v="0"/>
    <n v="0"/>
    <n v="2"/>
    <n v="0"/>
    <n v="0"/>
    <n v="0"/>
  </r>
  <r>
    <s v="Deino"/>
    <x v="763"/>
    <n v="633"/>
    <s v="633_0"/>
    <x v="7"/>
    <n v="0.8"/>
    <n v="17.3"/>
    <x v="5"/>
    <s v="Dragon"/>
    <s v="Hustle"/>
    <m/>
    <m/>
    <s v="Blue"/>
    <n v="50"/>
    <n v="50"/>
    <n v="0"/>
    <n v="40"/>
    <s v="Dragon"/>
    <m/>
    <n v="45"/>
    <n v="60"/>
    <n v="1250000"/>
    <x v="0"/>
    <m/>
    <m/>
    <n v="52"/>
    <n v="65"/>
    <n v="50"/>
    <n v="45"/>
    <n v="50"/>
    <n v="38"/>
    <n v="300"/>
    <n v="0"/>
    <n v="1"/>
    <n v="0"/>
    <n v="0"/>
    <n v="0"/>
    <n v="0"/>
  </r>
  <r>
    <s v="Zweilous"/>
    <x v="764"/>
    <n v="634"/>
    <s v="634_0"/>
    <x v="7"/>
    <n v="1.4"/>
    <n v="50"/>
    <x v="5"/>
    <s v="Dragon"/>
    <s v="Hustle"/>
    <m/>
    <m/>
    <s v="Blue"/>
    <n v="50"/>
    <n v="50"/>
    <n v="0"/>
    <n v="40"/>
    <s v="Dragon"/>
    <m/>
    <n v="45"/>
    <n v="147"/>
    <n v="1250000"/>
    <x v="0"/>
    <m/>
    <m/>
    <n v="72"/>
    <n v="85"/>
    <n v="70"/>
    <n v="65"/>
    <n v="70"/>
    <n v="58"/>
    <n v="420"/>
    <n v="0"/>
    <n v="2"/>
    <n v="0"/>
    <n v="0"/>
    <n v="0"/>
    <n v="0"/>
  </r>
  <r>
    <s v="Hydreigon"/>
    <x v="765"/>
    <n v="635"/>
    <s v="635_0"/>
    <x v="7"/>
    <n v="1.8"/>
    <n v="160"/>
    <x v="5"/>
    <s v="Dragon"/>
    <s v="Levitate"/>
    <m/>
    <m/>
    <s v="Blue"/>
    <n v="50"/>
    <n v="50"/>
    <n v="0"/>
    <n v="40"/>
    <s v="Dragon"/>
    <m/>
    <n v="45"/>
    <n v="300"/>
    <n v="1250000"/>
    <x v="0"/>
    <m/>
    <m/>
    <n v="92"/>
    <n v="105"/>
    <n v="90"/>
    <n v="125"/>
    <n v="90"/>
    <n v="98"/>
    <n v="600"/>
    <n v="0"/>
    <n v="0"/>
    <n v="0"/>
    <n v="3"/>
    <n v="0"/>
    <n v="0"/>
  </r>
  <r>
    <s v="Larvesta"/>
    <x v="766"/>
    <n v="636"/>
    <s v="636_0"/>
    <x v="7"/>
    <n v="1.1000000000000001"/>
    <n v="28.8"/>
    <x v="3"/>
    <s v="Fire"/>
    <s v="Flame Body"/>
    <m/>
    <s v="Swarm"/>
    <s v="White"/>
    <n v="50"/>
    <n v="50"/>
    <n v="0"/>
    <n v="40"/>
    <s v="Bug"/>
    <m/>
    <n v="45"/>
    <n v="72"/>
    <n v="1250000"/>
    <x v="0"/>
    <m/>
    <m/>
    <n v="55"/>
    <n v="85"/>
    <n v="55"/>
    <n v="50"/>
    <n v="55"/>
    <n v="60"/>
    <n v="360"/>
    <n v="0"/>
    <n v="1"/>
    <n v="0"/>
    <n v="0"/>
    <n v="0"/>
    <n v="0"/>
  </r>
  <r>
    <s v="Volcarona"/>
    <x v="767"/>
    <n v="637"/>
    <s v="637_0"/>
    <x v="7"/>
    <n v="1.6"/>
    <n v="46"/>
    <x v="3"/>
    <s v="Fire"/>
    <s v="Flame Body"/>
    <m/>
    <s v="Swarm"/>
    <s v="White"/>
    <n v="50"/>
    <n v="50"/>
    <n v="0"/>
    <n v="40"/>
    <s v="Bug"/>
    <m/>
    <n v="15"/>
    <n v="275"/>
    <n v="1250000"/>
    <x v="0"/>
    <m/>
    <m/>
    <n v="85"/>
    <n v="60"/>
    <n v="65"/>
    <n v="135"/>
    <n v="105"/>
    <n v="100"/>
    <n v="550"/>
    <n v="0"/>
    <n v="0"/>
    <n v="0"/>
    <n v="3"/>
    <n v="0"/>
    <n v="0"/>
  </r>
  <r>
    <s v="Cobalion"/>
    <x v="768"/>
    <n v="638"/>
    <s v="638_0"/>
    <x v="7"/>
    <n v="2.1"/>
    <n v="250"/>
    <x v="11"/>
    <s v="Fighting"/>
    <s v="Justified"/>
    <m/>
    <m/>
    <s v="Blue"/>
    <n v="0"/>
    <n v="0"/>
    <n v="100"/>
    <n v="80"/>
    <s v="Undiscovered"/>
    <m/>
    <n v="3"/>
    <n v="290"/>
    <n v="1250000"/>
    <x v="1"/>
    <m/>
    <m/>
    <n v="91"/>
    <n v="90"/>
    <n v="129"/>
    <n v="90"/>
    <n v="72"/>
    <n v="108"/>
    <n v="580"/>
    <n v="0"/>
    <n v="0"/>
    <n v="3"/>
    <n v="0"/>
    <n v="0"/>
    <n v="0"/>
  </r>
  <r>
    <s v="Terrakion"/>
    <x v="769"/>
    <n v="639"/>
    <s v="639_0"/>
    <x v="7"/>
    <n v="1.9"/>
    <n v="260"/>
    <x v="14"/>
    <s v="Fighting"/>
    <s v="Justified"/>
    <m/>
    <m/>
    <s v="Gray"/>
    <n v="0"/>
    <n v="0"/>
    <n v="100"/>
    <n v="80"/>
    <s v="Undiscovered"/>
    <m/>
    <n v="3"/>
    <n v="290"/>
    <n v="1250000"/>
    <x v="1"/>
    <m/>
    <m/>
    <n v="91"/>
    <n v="129"/>
    <n v="90"/>
    <n v="72"/>
    <n v="90"/>
    <n v="108"/>
    <n v="580"/>
    <n v="0"/>
    <n v="3"/>
    <n v="0"/>
    <n v="0"/>
    <n v="0"/>
    <n v="0"/>
  </r>
  <r>
    <s v="Virizion"/>
    <x v="770"/>
    <n v="640"/>
    <s v="640_0"/>
    <x v="7"/>
    <n v="2"/>
    <n v="200"/>
    <x v="0"/>
    <s v="Fighting"/>
    <s v="Justified"/>
    <m/>
    <m/>
    <s v="Green"/>
    <n v="0"/>
    <n v="0"/>
    <n v="100"/>
    <n v="80"/>
    <s v="Undiscovered"/>
    <m/>
    <n v="3"/>
    <n v="290"/>
    <n v="1250000"/>
    <x v="1"/>
    <m/>
    <m/>
    <n v="91"/>
    <n v="90"/>
    <n v="72"/>
    <n v="90"/>
    <n v="129"/>
    <n v="108"/>
    <n v="580"/>
    <n v="0"/>
    <n v="0"/>
    <n v="0"/>
    <n v="0"/>
    <n v="3"/>
    <n v="0"/>
  </r>
  <r>
    <s v="Tornadus"/>
    <x v="771"/>
    <n v="641"/>
    <s v="641_0"/>
    <x v="7"/>
    <n v="1.5"/>
    <n v="63"/>
    <x v="17"/>
    <m/>
    <s v="Prankster"/>
    <m/>
    <s v="Defiant"/>
    <s v="Green"/>
    <n v="100"/>
    <n v="0"/>
    <n v="0"/>
    <n v="120"/>
    <s v="Undiscovered"/>
    <m/>
    <n v="3"/>
    <n v="290"/>
    <n v="1250000"/>
    <x v="1"/>
    <m/>
    <m/>
    <n v="79"/>
    <n v="115"/>
    <n v="70"/>
    <n v="125"/>
    <n v="80"/>
    <n v="111"/>
    <n v="580"/>
    <n v="0"/>
    <n v="3"/>
    <n v="0"/>
    <n v="0"/>
    <n v="0"/>
    <n v="0"/>
  </r>
  <r>
    <s v="Tornadus"/>
    <x v="772"/>
    <n v="641"/>
    <s v="641_1"/>
    <x v="7"/>
    <n v="1.4"/>
    <n v="63"/>
    <x v="17"/>
    <m/>
    <s v="Regenerator"/>
    <m/>
    <m/>
    <s v="Green"/>
    <n v="100"/>
    <n v="0"/>
    <n v="0"/>
    <n v="120"/>
    <s v="Undiscovered"/>
    <m/>
    <n v="3"/>
    <n v="290"/>
    <n v="1250000"/>
    <x v="1"/>
    <m/>
    <m/>
    <n v="79"/>
    <n v="100"/>
    <n v="80"/>
    <n v="110"/>
    <n v="90"/>
    <n v="121"/>
    <n v="580"/>
    <n v="0"/>
    <n v="0"/>
    <n v="0"/>
    <n v="0"/>
    <n v="0"/>
    <n v="3"/>
  </r>
  <r>
    <s v="Thundurus"/>
    <x v="773"/>
    <n v="642"/>
    <s v="642_0"/>
    <x v="7"/>
    <n v="1.5"/>
    <n v="61"/>
    <x v="7"/>
    <s v="Flying"/>
    <s v="Prankster"/>
    <m/>
    <s v="Defiant"/>
    <s v="Blue"/>
    <n v="100"/>
    <n v="0"/>
    <n v="0"/>
    <n v="120"/>
    <s v="Undiscovered"/>
    <m/>
    <n v="3"/>
    <n v="290"/>
    <n v="1250000"/>
    <x v="1"/>
    <m/>
    <m/>
    <n v="79"/>
    <n v="115"/>
    <n v="70"/>
    <n v="125"/>
    <n v="80"/>
    <n v="111"/>
    <n v="580"/>
    <n v="0"/>
    <n v="3"/>
    <n v="0"/>
    <n v="0"/>
    <n v="0"/>
    <n v="0"/>
  </r>
  <r>
    <s v="Thundurus"/>
    <x v="774"/>
    <n v="642"/>
    <s v="642_1"/>
    <x v="7"/>
    <n v="3"/>
    <n v="61"/>
    <x v="7"/>
    <s v="Flying"/>
    <s v="Volt Absorb"/>
    <m/>
    <m/>
    <s v="Blue"/>
    <n v="100"/>
    <n v="0"/>
    <n v="0"/>
    <n v="120"/>
    <s v="Undiscovered"/>
    <m/>
    <n v="3"/>
    <n v="290"/>
    <n v="1250000"/>
    <x v="1"/>
    <m/>
    <m/>
    <n v="79"/>
    <n v="105"/>
    <n v="70"/>
    <n v="145"/>
    <n v="80"/>
    <n v="101"/>
    <n v="580"/>
    <n v="0"/>
    <n v="0"/>
    <n v="0"/>
    <n v="3"/>
    <n v="0"/>
    <n v="0"/>
  </r>
  <r>
    <s v="Reshiram"/>
    <x v="775"/>
    <n v="643"/>
    <s v="643_0"/>
    <x v="7"/>
    <n v="3.2"/>
    <n v="330"/>
    <x v="16"/>
    <s v="Fire"/>
    <s v="Turboblaze"/>
    <m/>
    <m/>
    <s v="White"/>
    <n v="0"/>
    <n v="0"/>
    <n v="100"/>
    <n v="120"/>
    <s v="Undiscovered"/>
    <m/>
    <n v="3"/>
    <n v="340"/>
    <n v="1250000"/>
    <x v="2"/>
    <m/>
    <m/>
    <n v="100"/>
    <n v="120"/>
    <n v="100"/>
    <n v="150"/>
    <n v="120"/>
    <n v="90"/>
    <n v="680"/>
    <n v="0"/>
    <n v="0"/>
    <n v="0"/>
    <n v="3"/>
    <n v="0"/>
    <n v="0"/>
  </r>
  <r>
    <s v="Zekrom"/>
    <x v="776"/>
    <n v="644"/>
    <s v="644_0"/>
    <x v="7"/>
    <n v="2.9"/>
    <n v="345"/>
    <x v="16"/>
    <s v="Electric"/>
    <s v="Teravolt"/>
    <m/>
    <m/>
    <s v="Black"/>
    <n v="0"/>
    <n v="0"/>
    <n v="100"/>
    <n v="120"/>
    <s v="Undiscovered"/>
    <m/>
    <n v="3"/>
    <n v="340"/>
    <n v="1250000"/>
    <x v="2"/>
    <m/>
    <m/>
    <n v="100"/>
    <n v="150"/>
    <n v="120"/>
    <n v="120"/>
    <n v="100"/>
    <n v="90"/>
    <n v="680"/>
    <n v="0"/>
    <n v="3"/>
    <n v="0"/>
    <n v="0"/>
    <n v="0"/>
    <n v="0"/>
  </r>
  <r>
    <s v="Landorus"/>
    <x v="777"/>
    <n v="645"/>
    <s v="645_0"/>
    <x v="7"/>
    <n v="1.5"/>
    <n v="68"/>
    <x v="8"/>
    <s v="Flying"/>
    <s v="Sand Force"/>
    <m/>
    <s v="Sheer Force"/>
    <s v="Brown"/>
    <n v="100"/>
    <n v="0"/>
    <n v="0"/>
    <n v="120"/>
    <s v="Undiscovered"/>
    <m/>
    <n v="3"/>
    <n v="300"/>
    <n v="1250000"/>
    <x v="1"/>
    <m/>
    <m/>
    <n v="89"/>
    <n v="125"/>
    <n v="90"/>
    <n v="115"/>
    <n v="80"/>
    <n v="101"/>
    <n v="600"/>
    <n v="0"/>
    <n v="0"/>
    <n v="0"/>
    <n v="3"/>
    <n v="0"/>
    <n v="0"/>
  </r>
  <r>
    <s v="Landorus"/>
    <x v="778"/>
    <n v="645"/>
    <s v="645_1"/>
    <x v="7"/>
    <n v="1.3"/>
    <n v="68"/>
    <x v="8"/>
    <s v="Flying"/>
    <s v="Intimidate"/>
    <m/>
    <m/>
    <s v="Brown"/>
    <n v="100"/>
    <n v="0"/>
    <n v="0"/>
    <n v="120"/>
    <s v="Undiscovered"/>
    <m/>
    <n v="3"/>
    <n v="300"/>
    <n v="1250000"/>
    <x v="1"/>
    <m/>
    <m/>
    <n v="89"/>
    <n v="145"/>
    <n v="90"/>
    <n v="105"/>
    <n v="80"/>
    <n v="91"/>
    <n v="600"/>
    <n v="0"/>
    <n v="3"/>
    <n v="0"/>
    <n v="0"/>
    <n v="0"/>
    <n v="0"/>
  </r>
  <r>
    <s v="Kyurem"/>
    <x v="779"/>
    <n v="646"/>
    <s v="646_0"/>
    <x v="7"/>
    <n v="3"/>
    <n v="325"/>
    <x v="16"/>
    <s v="Ice"/>
    <s v="Pressure"/>
    <m/>
    <m/>
    <s v="Gray"/>
    <n v="0"/>
    <n v="0"/>
    <n v="100"/>
    <n v="120"/>
    <s v="Undiscovered"/>
    <m/>
    <n v="3"/>
    <n v="330"/>
    <n v="1250000"/>
    <x v="2"/>
    <m/>
    <m/>
    <n v="125"/>
    <n v="130"/>
    <n v="90"/>
    <n v="130"/>
    <n v="90"/>
    <n v="95"/>
    <n v="660"/>
    <n v="1"/>
    <n v="1"/>
    <n v="0"/>
    <n v="1"/>
    <n v="0"/>
    <n v="0"/>
  </r>
  <r>
    <s v="Kyurem"/>
    <x v="780"/>
    <n v="646"/>
    <s v="646_1"/>
    <x v="7"/>
    <n v="3.6"/>
    <n v="325"/>
    <x v="16"/>
    <s v="Ice"/>
    <s v="Turboblaze"/>
    <m/>
    <m/>
    <s v="Gray"/>
    <n v="0"/>
    <n v="0"/>
    <n v="100"/>
    <n v="120"/>
    <s v="Undiscovered"/>
    <m/>
    <n v="3"/>
    <n v="350"/>
    <n v="1250000"/>
    <x v="2"/>
    <m/>
    <m/>
    <n v="125"/>
    <n v="120"/>
    <n v="90"/>
    <n v="170"/>
    <n v="100"/>
    <n v="95"/>
    <n v="700"/>
    <n v="0"/>
    <n v="0"/>
    <n v="0"/>
    <n v="3"/>
    <n v="0"/>
    <n v="0"/>
  </r>
  <r>
    <s v="Kyurem"/>
    <x v="781"/>
    <n v="646"/>
    <s v="646_2"/>
    <x v="7"/>
    <n v="3.3"/>
    <n v="325"/>
    <x v="16"/>
    <s v="Ice"/>
    <s v="Teravolt"/>
    <m/>
    <m/>
    <s v="Gray"/>
    <n v="0"/>
    <n v="0"/>
    <n v="100"/>
    <n v="120"/>
    <s v="Undiscovered"/>
    <m/>
    <n v="3"/>
    <n v="350"/>
    <n v="1250000"/>
    <x v="2"/>
    <m/>
    <m/>
    <n v="125"/>
    <n v="170"/>
    <n v="100"/>
    <n v="120"/>
    <n v="90"/>
    <n v="95"/>
    <n v="700"/>
    <n v="0"/>
    <n v="3"/>
    <n v="0"/>
    <n v="0"/>
    <n v="0"/>
    <n v="0"/>
  </r>
  <r>
    <s v="Keldeo"/>
    <x v="782"/>
    <n v="647"/>
    <s v="647_0"/>
    <x v="7"/>
    <n v="1.4"/>
    <n v="48.5"/>
    <x v="2"/>
    <s v="Fighting"/>
    <s v="Justified"/>
    <m/>
    <m/>
    <s v="Yellow"/>
    <n v="0"/>
    <n v="0"/>
    <n v="100"/>
    <n v="80"/>
    <s v="Undiscovered"/>
    <m/>
    <n v="3"/>
    <n v="290"/>
    <n v="1250000"/>
    <x v="3"/>
    <m/>
    <m/>
    <n v="91"/>
    <n v="72"/>
    <n v="90"/>
    <n v="129"/>
    <n v="90"/>
    <n v="108"/>
    <n v="580"/>
    <n v="0"/>
    <n v="0"/>
    <n v="0"/>
    <n v="3"/>
    <n v="0"/>
    <n v="0"/>
  </r>
  <r>
    <s v="Keldeo"/>
    <x v="783"/>
    <n v="647"/>
    <s v="647_1"/>
    <x v="7"/>
    <n v="1.4"/>
    <n v="48.5"/>
    <x v="2"/>
    <s v="Fighting"/>
    <s v="Justified"/>
    <m/>
    <m/>
    <s v="Yellow"/>
    <n v="0"/>
    <n v="0"/>
    <n v="100"/>
    <n v="80"/>
    <s v="Undiscovered"/>
    <m/>
    <n v="3"/>
    <n v="290"/>
    <n v="1250000"/>
    <x v="3"/>
    <m/>
    <m/>
    <n v="91"/>
    <n v="72"/>
    <n v="90"/>
    <n v="129"/>
    <n v="90"/>
    <n v="108"/>
    <n v="580"/>
    <n v="0"/>
    <n v="0"/>
    <n v="0"/>
    <n v="3"/>
    <n v="0"/>
    <n v="0"/>
  </r>
  <r>
    <s v="Meloetta"/>
    <x v="784"/>
    <n v="648"/>
    <s v="648_0"/>
    <x v="7"/>
    <n v="0.6"/>
    <n v="6.5"/>
    <x v="4"/>
    <s v="Psychic"/>
    <s v="Serene Grace"/>
    <m/>
    <m/>
    <s v="White"/>
    <n v="0"/>
    <n v="0"/>
    <n v="100"/>
    <n v="120"/>
    <s v="Undiscovered"/>
    <m/>
    <n v="3"/>
    <n v="300"/>
    <n v="1250000"/>
    <x v="3"/>
    <m/>
    <m/>
    <n v="100"/>
    <n v="77"/>
    <n v="77"/>
    <n v="128"/>
    <n v="128"/>
    <n v="90"/>
    <n v="600"/>
    <n v="0"/>
    <n v="0"/>
    <n v="0"/>
    <n v="1"/>
    <n v="1"/>
    <n v="1"/>
  </r>
  <r>
    <s v="Meloetta"/>
    <x v="785"/>
    <n v="648"/>
    <s v="648_1"/>
    <x v="7"/>
    <n v="0.6"/>
    <n v="6.5"/>
    <x v="4"/>
    <s v="Fighting"/>
    <s v="Serene Grace"/>
    <m/>
    <m/>
    <s v="White"/>
    <n v="0"/>
    <n v="0"/>
    <n v="100"/>
    <n v="120"/>
    <s v="Undiscovered"/>
    <m/>
    <n v="3"/>
    <n v="300"/>
    <n v="1250000"/>
    <x v="3"/>
    <m/>
    <m/>
    <n v="100"/>
    <n v="128"/>
    <n v="90"/>
    <n v="77"/>
    <n v="77"/>
    <n v="128"/>
    <n v="600"/>
    <n v="0"/>
    <n v="1"/>
    <n v="1"/>
    <n v="0"/>
    <n v="0"/>
    <n v="1"/>
  </r>
  <r>
    <s v="Genesect"/>
    <x v="786"/>
    <n v="649"/>
    <s v="649_0"/>
    <x v="7"/>
    <n v="1.5"/>
    <n v="82.5"/>
    <x v="3"/>
    <s v="Steel"/>
    <s v="Download"/>
    <m/>
    <m/>
    <s v="Purple"/>
    <n v="0"/>
    <n v="0"/>
    <n v="100"/>
    <n v="120"/>
    <s v="Undiscovered"/>
    <m/>
    <n v="3"/>
    <n v="300"/>
    <n v="1250000"/>
    <x v="3"/>
    <m/>
    <m/>
    <n v="71"/>
    <n v="120"/>
    <n v="95"/>
    <n v="120"/>
    <n v="95"/>
    <n v="99"/>
    <n v="600"/>
    <n v="0"/>
    <n v="1"/>
    <n v="0"/>
    <n v="1"/>
    <n v="0"/>
    <n v="1"/>
  </r>
  <r>
    <s v="Chespin"/>
    <x v="787"/>
    <n v="650"/>
    <s v="650_0"/>
    <x v="8"/>
    <n v="0.4"/>
    <n v="9"/>
    <x v="0"/>
    <m/>
    <s v="Overgrow"/>
    <m/>
    <s v="Bulletproof"/>
    <s v="Green"/>
    <n v="87.5"/>
    <n v="12.5"/>
    <n v="0"/>
    <n v="20"/>
    <s v="Ground"/>
    <m/>
    <n v="45"/>
    <n v="63"/>
    <n v="1059860"/>
    <x v="0"/>
    <m/>
    <m/>
    <n v="56"/>
    <n v="61"/>
    <n v="65"/>
    <n v="48"/>
    <n v="45"/>
    <n v="38"/>
    <n v="313"/>
    <n v="0"/>
    <n v="0"/>
    <n v="1"/>
    <n v="0"/>
    <n v="0"/>
    <n v="0"/>
  </r>
  <r>
    <s v="Quilladin"/>
    <x v="788"/>
    <n v="651"/>
    <s v="651_0"/>
    <x v="8"/>
    <n v="0.7"/>
    <n v="29"/>
    <x v="0"/>
    <m/>
    <s v="Overgrow"/>
    <m/>
    <s v="Bulletproof"/>
    <s v="Green"/>
    <n v="87.5"/>
    <n v="12.5"/>
    <n v="0"/>
    <n v="20"/>
    <s v="Ground"/>
    <m/>
    <n v="45"/>
    <n v="142"/>
    <n v="1059860"/>
    <x v="0"/>
    <m/>
    <m/>
    <n v="61"/>
    <n v="78"/>
    <n v="95"/>
    <n v="56"/>
    <n v="58"/>
    <n v="57"/>
    <n v="405"/>
    <n v="0"/>
    <n v="0"/>
    <n v="2"/>
    <n v="0"/>
    <n v="0"/>
    <n v="0"/>
  </r>
  <r>
    <s v="Chesnaught"/>
    <x v="789"/>
    <n v="652"/>
    <s v="652_0"/>
    <x v="8"/>
    <n v="1.6"/>
    <n v="90"/>
    <x v="0"/>
    <s v="Fighting"/>
    <s v="Overgrow"/>
    <m/>
    <s v="Bulletproof"/>
    <s v="Green"/>
    <n v="87.5"/>
    <n v="12.5"/>
    <n v="0"/>
    <n v="20"/>
    <s v="Ground"/>
    <m/>
    <n v="45"/>
    <n v="265"/>
    <n v="1059860"/>
    <x v="0"/>
    <m/>
    <m/>
    <n v="88"/>
    <n v="107"/>
    <n v="122"/>
    <n v="74"/>
    <n v="75"/>
    <n v="64"/>
    <n v="530"/>
    <n v="0"/>
    <n v="0"/>
    <n v="3"/>
    <n v="0"/>
    <n v="0"/>
    <n v="0"/>
  </r>
  <r>
    <s v="Fennekin"/>
    <x v="790"/>
    <n v="653"/>
    <s v="653_0"/>
    <x v="8"/>
    <n v="0.4"/>
    <n v="9.4"/>
    <x v="1"/>
    <m/>
    <s v="Blaze"/>
    <m/>
    <s v="Magician"/>
    <s v="Red"/>
    <n v="87.5"/>
    <n v="12.5"/>
    <n v="0"/>
    <n v="20"/>
    <s v="Ground"/>
    <m/>
    <n v="45"/>
    <n v="61"/>
    <n v="1059860"/>
    <x v="0"/>
    <m/>
    <m/>
    <n v="40"/>
    <n v="45"/>
    <n v="40"/>
    <n v="62"/>
    <n v="60"/>
    <n v="60"/>
    <n v="307"/>
    <n v="0"/>
    <n v="0"/>
    <n v="0"/>
    <n v="1"/>
    <n v="0"/>
    <n v="0"/>
  </r>
  <r>
    <s v="Braixen"/>
    <x v="791"/>
    <n v="654"/>
    <s v="654_0"/>
    <x v="8"/>
    <n v="1"/>
    <n v="14.5"/>
    <x v="1"/>
    <m/>
    <s v="Blaze"/>
    <m/>
    <s v="Magician"/>
    <s v="Red"/>
    <n v="87.5"/>
    <n v="12.5"/>
    <n v="0"/>
    <n v="20"/>
    <s v="Ground"/>
    <m/>
    <n v="45"/>
    <n v="143"/>
    <n v="1059860"/>
    <x v="0"/>
    <m/>
    <m/>
    <n v="59"/>
    <n v="59"/>
    <n v="58"/>
    <n v="90"/>
    <n v="70"/>
    <n v="73"/>
    <n v="409"/>
    <n v="0"/>
    <n v="0"/>
    <n v="0"/>
    <n v="2"/>
    <n v="0"/>
    <n v="0"/>
  </r>
  <r>
    <s v="Delphox"/>
    <x v="792"/>
    <n v="655"/>
    <s v="655_0"/>
    <x v="8"/>
    <n v="1.5"/>
    <n v="39"/>
    <x v="1"/>
    <s v="Psychic"/>
    <s v="Blaze"/>
    <m/>
    <s v="Magician"/>
    <s v="Red"/>
    <n v="87.5"/>
    <n v="12.5"/>
    <n v="0"/>
    <n v="20"/>
    <s v="Ground"/>
    <m/>
    <n v="45"/>
    <n v="267"/>
    <n v="1059860"/>
    <x v="0"/>
    <m/>
    <m/>
    <n v="75"/>
    <n v="69"/>
    <n v="72"/>
    <n v="114"/>
    <n v="100"/>
    <n v="104"/>
    <n v="534"/>
    <n v="0"/>
    <n v="0"/>
    <n v="0"/>
    <n v="3"/>
    <n v="0"/>
    <n v="0"/>
  </r>
  <r>
    <s v="Froakie"/>
    <x v="793"/>
    <n v="656"/>
    <s v="656_0"/>
    <x v="8"/>
    <n v="0.3"/>
    <n v="7"/>
    <x v="2"/>
    <m/>
    <s v="Torrent"/>
    <m/>
    <s v="Protean"/>
    <s v="Blue"/>
    <n v="87.5"/>
    <n v="12.5"/>
    <n v="0"/>
    <n v="20"/>
    <s v="Water1"/>
    <m/>
    <n v="45"/>
    <n v="63"/>
    <n v="1059860"/>
    <x v="0"/>
    <m/>
    <m/>
    <n v="41"/>
    <n v="56"/>
    <n v="40"/>
    <n v="62"/>
    <n v="44"/>
    <n v="71"/>
    <n v="314"/>
    <n v="0"/>
    <n v="0"/>
    <n v="0"/>
    <n v="0"/>
    <n v="0"/>
    <n v="1"/>
  </r>
  <r>
    <s v="Frogadier"/>
    <x v="794"/>
    <n v="657"/>
    <s v="657_0"/>
    <x v="8"/>
    <n v="0.6"/>
    <n v="10.9"/>
    <x v="2"/>
    <m/>
    <s v="Torrent"/>
    <m/>
    <s v="Protean"/>
    <s v="Blue"/>
    <n v="87.5"/>
    <n v="12.5"/>
    <n v="0"/>
    <n v="20"/>
    <s v="Water1"/>
    <m/>
    <n v="45"/>
    <n v="142"/>
    <n v="1059860"/>
    <x v="0"/>
    <m/>
    <m/>
    <n v="54"/>
    <n v="63"/>
    <n v="52"/>
    <n v="83"/>
    <n v="56"/>
    <n v="97"/>
    <n v="405"/>
    <n v="0"/>
    <n v="0"/>
    <n v="0"/>
    <n v="0"/>
    <n v="0"/>
    <n v="2"/>
  </r>
  <r>
    <s v="Greninja"/>
    <x v="795"/>
    <n v="658"/>
    <s v="658_0"/>
    <x v="8"/>
    <n v="1.5"/>
    <n v="40"/>
    <x v="2"/>
    <s v="Dark"/>
    <s v="Torrent"/>
    <m/>
    <s v="Protean"/>
    <s v="Blue"/>
    <n v="100"/>
    <n v="0"/>
    <n v="0"/>
    <n v="20"/>
    <s v="Water1"/>
    <m/>
    <n v="45"/>
    <n v="265"/>
    <n v="1059860"/>
    <x v="0"/>
    <m/>
    <m/>
    <n v="72"/>
    <n v="95"/>
    <n v="67"/>
    <n v="103"/>
    <n v="71"/>
    <n v="122"/>
    <n v="530"/>
    <n v="0"/>
    <n v="0"/>
    <n v="0"/>
    <n v="0"/>
    <n v="0"/>
    <n v="3"/>
  </r>
  <r>
    <s v="Greninja"/>
    <x v="796"/>
    <n v="658"/>
    <s v="658_1"/>
    <x v="8"/>
    <n v="1.5"/>
    <n v="40"/>
    <x v="2"/>
    <s v="Dark"/>
    <s v="Battle Bond"/>
    <m/>
    <m/>
    <s v="Blue"/>
    <n v="100"/>
    <n v="0"/>
    <n v="0"/>
    <n v="20"/>
    <s v="Undiscovered"/>
    <m/>
    <n v="45"/>
    <n v="288"/>
    <n v="1059860"/>
    <x v="0"/>
    <m/>
    <m/>
    <n v="72"/>
    <n v="145"/>
    <n v="67"/>
    <n v="153"/>
    <n v="71"/>
    <n v="132"/>
    <n v="640"/>
    <n v="0"/>
    <n v="0"/>
    <n v="0"/>
    <n v="0"/>
    <n v="0"/>
    <n v="3"/>
  </r>
  <r>
    <s v="Bunnelby"/>
    <x v="797"/>
    <n v="659"/>
    <s v="659_0"/>
    <x v="8"/>
    <n v="0.4"/>
    <n v="5"/>
    <x v="4"/>
    <m/>
    <s v="Pickup"/>
    <s v="Cheek Pouch"/>
    <s v="Huge Power"/>
    <s v="Brown"/>
    <n v="50"/>
    <n v="50"/>
    <n v="0"/>
    <n v="15"/>
    <s v="Ground"/>
    <m/>
    <n v="255"/>
    <n v="47"/>
    <n v="1000000"/>
    <x v="0"/>
    <m/>
    <m/>
    <n v="38"/>
    <n v="36"/>
    <n v="38"/>
    <n v="32"/>
    <n v="36"/>
    <n v="57"/>
    <n v="237"/>
    <n v="0"/>
    <n v="0"/>
    <n v="0"/>
    <n v="0"/>
    <n v="0"/>
    <n v="1"/>
  </r>
  <r>
    <s v="Diggersby"/>
    <x v="798"/>
    <n v="660"/>
    <s v="660_0"/>
    <x v="8"/>
    <n v="1"/>
    <n v="42.4"/>
    <x v="4"/>
    <s v="Ground"/>
    <s v="Pickup"/>
    <s v="Cheek Pouch"/>
    <s v="Huge Power"/>
    <s v="Brown"/>
    <n v="50"/>
    <n v="50"/>
    <n v="0"/>
    <n v="15"/>
    <s v="Ground"/>
    <m/>
    <n v="127"/>
    <n v="148"/>
    <n v="1000000"/>
    <x v="0"/>
    <m/>
    <m/>
    <n v="85"/>
    <n v="56"/>
    <n v="77"/>
    <n v="50"/>
    <n v="77"/>
    <n v="78"/>
    <n v="423"/>
    <n v="2"/>
    <n v="0"/>
    <n v="0"/>
    <n v="0"/>
    <n v="0"/>
    <n v="0"/>
  </r>
  <r>
    <s v="Fletchling"/>
    <x v="799"/>
    <n v="661"/>
    <s v="661_0"/>
    <x v="8"/>
    <n v="0.3"/>
    <n v="1.7"/>
    <x v="4"/>
    <s v="Flying"/>
    <s v="Big Pecks"/>
    <m/>
    <s v="Gale Wings"/>
    <s v="Red"/>
    <n v="50"/>
    <n v="50"/>
    <n v="0"/>
    <n v="15"/>
    <s v="Flying"/>
    <m/>
    <n v="255"/>
    <n v="56"/>
    <n v="1059860"/>
    <x v="0"/>
    <m/>
    <m/>
    <n v="45"/>
    <n v="50"/>
    <n v="43"/>
    <n v="40"/>
    <n v="38"/>
    <n v="62"/>
    <n v="278"/>
    <n v="0"/>
    <n v="0"/>
    <n v="0"/>
    <n v="0"/>
    <n v="0"/>
    <n v="1"/>
  </r>
  <r>
    <s v="Fletchinder"/>
    <x v="800"/>
    <n v="662"/>
    <s v="662_0"/>
    <x v="8"/>
    <n v="0.7"/>
    <n v="16"/>
    <x v="1"/>
    <s v="Flying"/>
    <s v="Flame Body"/>
    <m/>
    <s v="Gale Wings"/>
    <s v="Red"/>
    <n v="50"/>
    <n v="50"/>
    <n v="0"/>
    <n v="15"/>
    <s v="Flying"/>
    <m/>
    <n v="120"/>
    <n v="134"/>
    <n v="1059860"/>
    <x v="0"/>
    <m/>
    <m/>
    <n v="62"/>
    <n v="73"/>
    <n v="55"/>
    <n v="56"/>
    <n v="52"/>
    <n v="84"/>
    <n v="382"/>
    <n v="0"/>
    <n v="0"/>
    <n v="0"/>
    <n v="0"/>
    <n v="0"/>
    <n v="2"/>
  </r>
  <r>
    <s v="Talonflame"/>
    <x v="801"/>
    <n v="663"/>
    <s v="663_0"/>
    <x v="8"/>
    <n v="1.2"/>
    <n v="24.5"/>
    <x v="1"/>
    <s v="Flying"/>
    <s v="Flame Body"/>
    <m/>
    <s v="Gale Wings"/>
    <s v="Red"/>
    <n v="50"/>
    <n v="50"/>
    <n v="0"/>
    <n v="15"/>
    <s v="Flying"/>
    <m/>
    <n v="45"/>
    <n v="175"/>
    <n v="1059860"/>
    <x v="0"/>
    <m/>
    <m/>
    <n v="78"/>
    <n v="81"/>
    <n v="71"/>
    <n v="74"/>
    <n v="69"/>
    <n v="126"/>
    <n v="499"/>
    <n v="0"/>
    <n v="0"/>
    <n v="0"/>
    <n v="0"/>
    <n v="0"/>
    <n v="3"/>
  </r>
  <r>
    <s v="Scatterbug"/>
    <x v="802"/>
    <n v="664"/>
    <s v="664_0"/>
    <x v="8"/>
    <n v="0.3"/>
    <n v="2.5"/>
    <x v="3"/>
    <m/>
    <s v="Shield Dust"/>
    <s v="Compound Eyes"/>
    <s v="Friend Guard"/>
    <s v="Black"/>
    <n v="50"/>
    <n v="50"/>
    <n v="0"/>
    <n v="15"/>
    <s v="Bug"/>
    <m/>
    <n v="255"/>
    <n v="40"/>
    <n v="1000000"/>
    <x v="0"/>
    <m/>
    <m/>
    <n v="38"/>
    <n v="35"/>
    <n v="40"/>
    <n v="27"/>
    <n v="25"/>
    <n v="35"/>
    <n v="200"/>
    <n v="0"/>
    <n v="0"/>
    <n v="1"/>
    <n v="0"/>
    <n v="0"/>
    <n v="0"/>
  </r>
  <r>
    <s v="Spewpa"/>
    <x v="803"/>
    <n v="665"/>
    <s v="665_0"/>
    <x v="8"/>
    <n v="0.3"/>
    <n v="8.4"/>
    <x v="3"/>
    <m/>
    <s v="Shed Skin"/>
    <m/>
    <s v="Friend Guard"/>
    <s v="Black"/>
    <n v="50"/>
    <n v="50"/>
    <n v="0"/>
    <n v="15"/>
    <s v="Bug"/>
    <m/>
    <n v="120"/>
    <n v="75"/>
    <n v="1000000"/>
    <x v="0"/>
    <m/>
    <m/>
    <n v="45"/>
    <n v="22"/>
    <n v="60"/>
    <n v="27"/>
    <n v="30"/>
    <n v="29"/>
    <n v="213"/>
    <n v="0"/>
    <n v="0"/>
    <n v="2"/>
    <n v="0"/>
    <n v="0"/>
    <n v="0"/>
  </r>
  <r>
    <s v="Vivillon"/>
    <x v="804"/>
    <n v="666"/>
    <s v="666_0"/>
    <x v="8"/>
    <n v="1.2"/>
    <n v="17"/>
    <x v="3"/>
    <s v="Flying"/>
    <s v="Shield Dust"/>
    <s v="Compound Eyes"/>
    <s v="Friend Guard"/>
    <s v="White"/>
    <n v="50"/>
    <n v="50"/>
    <n v="0"/>
    <n v="15"/>
    <s v="Bug"/>
    <m/>
    <n v="45"/>
    <n v="206"/>
    <n v="1000000"/>
    <x v="0"/>
    <m/>
    <m/>
    <n v="80"/>
    <n v="52"/>
    <n v="50"/>
    <n v="90"/>
    <n v="50"/>
    <n v="89"/>
    <n v="411"/>
    <n v="1"/>
    <n v="0"/>
    <n v="0"/>
    <n v="1"/>
    <n v="0"/>
    <n v="1"/>
  </r>
  <r>
    <s v="Litleo"/>
    <x v="805"/>
    <n v="667"/>
    <s v="667_0"/>
    <x v="8"/>
    <n v="0.6"/>
    <n v="13.5"/>
    <x v="1"/>
    <s v="Normal"/>
    <s v="Rivalry"/>
    <s v="Unnerve"/>
    <s v="Moxie"/>
    <s v="Brown"/>
    <n v="12.5"/>
    <n v="87.5"/>
    <n v="0"/>
    <n v="20"/>
    <s v="Ground"/>
    <m/>
    <n v="220"/>
    <n v="74"/>
    <n v="1059860"/>
    <x v="0"/>
    <m/>
    <m/>
    <n v="62"/>
    <n v="50"/>
    <n v="58"/>
    <n v="73"/>
    <n v="54"/>
    <n v="72"/>
    <n v="369"/>
    <n v="0"/>
    <n v="0"/>
    <n v="0"/>
    <n v="1"/>
    <n v="0"/>
    <n v="0"/>
  </r>
  <r>
    <s v="Pyroar"/>
    <x v="806"/>
    <n v="668"/>
    <s v="668_0"/>
    <x v="8"/>
    <n v="1.5"/>
    <n v="81.5"/>
    <x v="1"/>
    <s v="Normal"/>
    <s v="Rivalry"/>
    <s v="Unnerve"/>
    <s v="Moxie"/>
    <s v="Brown"/>
    <n v="12.5"/>
    <n v="87.5"/>
    <n v="0"/>
    <n v="20"/>
    <s v="Ground"/>
    <m/>
    <n v="65"/>
    <n v="177"/>
    <n v="1059860"/>
    <x v="0"/>
    <m/>
    <m/>
    <n v="86"/>
    <n v="68"/>
    <n v="72"/>
    <n v="109"/>
    <n v="66"/>
    <n v="106"/>
    <n v="507"/>
    <n v="0"/>
    <n v="0"/>
    <n v="0"/>
    <n v="2"/>
    <n v="0"/>
    <n v="0"/>
  </r>
  <r>
    <s v="Flabebe"/>
    <x v="807"/>
    <n v="669"/>
    <s v="669_0"/>
    <x v="8"/>
    <n v="0.1"/>
    <n v="0.1"/>
    <x v="10"/>
    <m/>
    <s v="Flower Veil"/>
    <m/>
    <s v="Symbiosis"/>
    <s v="White"/>
    <n v="0"/>
    <n v="100"/>
    <n v="0"/>
    <n v="20"/>
    <s v="Fairy"/>
    <m/>
    <n v="225"/>
    <n v="61"/>
    <n v="1000000"/>
    <x v="0"/>
    <m/>
    <m/>
    <n v="44"/>
    <n v="38"/>
    <n v="39"/>
    <n v="61"/>
    <n v="79"/>
    <n v="42"/>
    <n v="303"/>
    <n v="0"/>
    <n v="0"/>
    <n v="0"/>
    <n v="0"/>
    <n v="1"/>
    <n v="0"/>
  </r>
  <r>
    <s v="Floette"/>
    <x v="808"/>
    <n v="670"/>
    <s v="670_0"/>
    <x v="8"/>
    <n v="0.2"/>
    <n v="0.9"/>
    <x v="10"/>
    <m/>
    <s v="Flower Veil"/>
    <m/>
    <s v="Symbiosis"/>
    <s v="White"/>
    <n v="0"/>
    <n v="100"/>
    <n v="0"/>
    <n v="20"/>
    <s v="Fairy"/>
    <m/>
    <n v="120"/>
    <n v="130"/>
    <n v="1000000"/>
    <x v="0"/>
    <m/>
    <m/>
    <n v="54"/>
    <n v="45"/>
    <n v="47"/>
    <n v="75"/>
    <n v="98"/>
    <n v="52"/>
    <n v="371"/>
    <n v="0"/>
    <n v="0"/>
    <n v="0"/>
    <n v="0"/>
    <n v="2"/>
    <n v="0"/>
  </r>
  <r>
    <s v="Florges"/>
    <x v="809"/>
    <n v="671"/>
    <s v="671_0"/>
    <x v="8"/>
    <n v="1.1000000000000001"/>
    <n v="10"/>
    <x v="10"/>
    <m/>
    <s v="Flower Veil"/>
    <m/>
    <s v="Symbiosis"/>
    <s v="White"/>
    <n v="0"/>
    <n v="100"/>
    <n v="0"/>
    <n v="20"/>
    <s v="Fairy"/>
    <m/>
    <n v="45"/>
    <n v="276"/>
    <n v="1000000"/>
    <x v="0"/>
    <m/>
    <m/>
    <n v="78"/>
    <n v="65"/>
    <n v="68"/>
    <n v="112"/>
    <n v="154"/>
    <n v="75"/>
    <n v="552"/>
    <n v="0"/>
    <n v="0"/>
    <n v="0"/>
    <n v="0"/>
    <n v="3"/>
    <n v="0"/>
  </r>
  <r>
    <s v="Skiddo"/>
    <x v="810"/>
    <n v="672"/>
    <s v="672_0"/>
    <x v="8"/>
    <n v="0.9"/>
    <n v="31"/>
    <x v="0"/>
    <m/>
    <s v="Sap Sipper"/>
    <m/>
    <s v="Grass Pelt"/>
    <s v="Brown"/>
    <n v="50"/>
    <n v="50"/>
    <n v="0"/>
    <n v="20"/>
    <s v="Ground"/>
    <m/>
    <n v="200"/>
    <n v="70"/>
    <n v="1000000"/>
    <x v="0"/>
    <m/>
    <m/>
    <n v="66"/>
    <n v="65"/>
    <n v="48"/>
    <n v="62"/>
    <n v="57"/>
    <n v="52"/>
    <n v="350"/>
    <n v="1"/>
    <n v="0"/>
    <n v="0"/>
    <n v="0"/>
    <n v="0"/>
    <n v="0"/>
  </r>
  <r>
    <s v="Gogoat"/>
    <x v="811"/>
    <n v="673"/>
    <s v="673_0"/>
    <x v="8"/>
    <n v="1.7"/>
    <n v="91"/>
    <x v="0"/>
    <m/>
    <s v="Sap Sipper"/>
    <m/>
    <s v="Grass Pelt"/>
    <s v="Brown"/>
    <n v="50"/>
    <n v="50"/>
    <n v="0"/>
    <n v="20"/>
    <s v="Ground"/>
    <m/>
    <n v="45"/>
    <n v="186"/>
    <n v="1000000"/>
    <x v="0"/>
    <m/>
    <m/>
    <n v="123"/>
    <n v="100"/>
    <n v="62"/>
    <n v="97"/>
    <n v="81"/>
    <n v="68"/>
    <n v="531"/>
    <n v="2"/>
    <n v="0"/>
    <n v="0"/>
    <n v="0"/>
    <n v="0"/>
    <n v="0"/>
  </r>
  <r>
    <s v="Pancham"/>
    <x v="812"/>
    <n v="674"/>
    <s v="674_0"/>
    <x v="8"/>
    <n v="0.6"/>
    <n v="8"/>
    <x v="12"/>
    <m/>
    <s v="Iron Fist"/>
    <s v="Mold Breaker"/>
    <s v="Scrappy"/>
    <s v="White"/>
    <n v="50"/>
    <n v="50"/>
    <n v="0"/>
    <n v="25"/>
    <s v="Ground"/>
    <s v="Human-Like"/>
    <n v="220"/>
    <n v="70"/>
    <n v="1000000"/>
    <x v="0"/>
    <m/>
    <m/>
    <n v="67"/>
    <n v="82"/>
    <n v="62"/>
    <n v="46"/>
    <n v="48"/>
    <n v="43"/>
    <n v="348"/>
    <n v="0"/>
    <n v="1"/>
    <n v="0"/>
    <n v="0"/>
    <n v="0"/>
    <n v="0"/>
  </r>
  <r>
    <s v="Pangoro"/>
    <x v="813"/>
    <n v="675"/>
    <s v="675_0"/>
    <x v="8"/>
    <n v="2.1"/>
    <n v="136"/>
    <x v="12"/>
    <s v="Dark"/>
    <s v="Iron Fist"/>
    <s v="Mold Breaker"/>
    <s v="Scrappy"/>
    <s v="White"/>
    <n v="50"/>
    <n v="50"/>
    <n v="0"/>
    <n v="25"/>
    <s v="Ground"/>
    <s v="Human-Like"/>
    <n v="65"/>
    <n v="173"/>
    <n v="1000000"/>
    <x v="0"/>
    <m/>
    <m/>
    <n v="95"/>
    <n v="124"/>
    <n v="78"/>
    <n v="69"/>
    <n v="71"/>
    <n v="58"/>
    <n v="495"/>
    <n v="0"/>
    <n v="2"/>
    <n v="0"/>
    <n v="0"/>
    <n v="0"/>
    <n v="0"/>
  </r>
  <r>
    <s v="Furfrou"/>
    <x v="814"/>
    <n v="676"/>
    <s v="676_0"/>
    <x v="8"/>
    <n v="1.2"/>
    <n v="28"/>
    <x v="4"/>
    <m/>
    <s v="Fur Coat"/>
    <m/>
    <m/>
    <s v="White"/>
    <n v="50"/>
    <n v="50"/>
    <n v="0"/>
    <n v="20"/>
    <s v="Ground"/>
    <m/>
    <n v="160"/>
    <n v="165"/>
    <n v="1000000"/>
    <x v="0"/>
    <m/>
    <m/>
    <n v="75"/>
    <n v="80"/>
    <n v="60"/>
    <n v="65"/>
    <n v="90"/>
    <n v="102"/>
    <n v="472"/>
    <n v="0"/>
    <n v="0"/>
    <n v="0"/>
    <n v="0"/>
    <n v="0"/>
    <n v="1"/>
  </r>
  <r>
    <s v="Espurr"/>
    <x v="815"/>
    <n v="677"/>
    <s v="677_0"/>
    <x v="8"/>
    <n v="0.3"/>
    <n v="3.5"/>
    <x v="13"/>
    <m/>
    <s v="Keen Eye"/>
    <s v="Infiltrator"/>
    <s v="Own Tempo"/>
    <s v="Gray"/>
    <n v="50"/>
    <n v="50"/>
    <n v="0"/>
    <n v="20"/>
    <s v="Ground"/>
    <m/>
    <n v="190"/>
    <n v="71"/>
    <n v="1000000"/>
    <x v="0"/>
    <m/>
    <m/>
    <n v="62"/>
    <n v="48"/>
    <n v="54"/>
    <n v="63"/>
    <n v="60"/>
    <n v="68"/>
    <n v="355"/>
    <n v="0"/>
    <n v="0"/>
    <n v="0"/>
    <n v="0"/>
    <n v="0"/>
    <n v="1"/>
  </r>
  <r>
    <s v="Meowstic"/>
    <x v="816"/>
    <n v="678"/>
    <s v="678_0"/>
    <x v="8"/>
    <n v="0.6"/>
    <n v="8.5"/>
    <x v="13"/>
    <m/>
    <s v="Keen Eye"/>
    <s v="Infiltrator"/>
    <s v="Prankster"/>
    <s v="Blue"/>
    <n v="100"/>
    <n v="0"/>
    <n v="0"/>
    <n v="20"/>
    <s v="Ground"/>
    <m/>
    <n v="75"/>
    <n v="163"/>
    <n v="1000000"/>
    <x v="0"/>
    <m/>
    <m/>
    <n v="74"/>
    <n v="48"/>
    <n v="76"/>
    <n v="83"/>
    <n v="81"/>
    <n v="104"/>
    <n v="466"/>
    <n v="0"/>
    <n v="0"/>
    <n v="0"/>
    <n v="0"/>
    <n v="0"/>
    <n v="2"/>
  </r>
  <r>
    <s v="Meowstic"/>
    <x v="817"/>
    <n v="678"/>
    <s v="678_1"/>
    <x v="8"/>
    <n v="0.6"/>
    <n v="8.5"/>
    <x v="13"/>
    <m/>
    <s v="Keen Eye"/>
    <s v="Infiltrator"/>
    <s v="Competitive"/>
    <s v="White"/>
    <n v="0"/>
    <n v="100"/>
    <n v="0"/>
    <n v="20"/>
    <s v="Ground"/>
    <m/>
    <n v="75"/>
    <n v="163"/>
    <n v="1000000"/>
    <x v="0"/>
    <m/>
    <m/>
    <n v="74"/>
    <n v="48"/>
    <n v="76"/>
    <n v="83"/>
    <n v="81"/>
    <n v="104"/>
    <n v="466"/>
    <n v="0"/>
    <n v="0"/>
    <n v="0"/>
    <n v="0"/>
    <n v="0"/>
    <n v="2"/>
  </r>
  <r>
    <s v="Honedge"/>
    <x v="818"/>
    <n v="679"/>
    <s v="679_0"/>
    <x v="8"/>
    <n v="0.8"/>
    <n v="2"/>
    <x v="11"/>
    <s v="Ghost"/>
    <s v="No Guard"/>
    <m/>
    <m/>
    <s v="Brown"/>
    <n v="50"/>
    <n v="50"/>
    <n v="0"/>
    <n v="20"/>
    <s v="Mineral"/>
    <m/>
    <n v="180"/>
    <n v="65"/>
    <n v="1000000"/>
    <x v="0"/>
    <m/>
    <m/>
    <n v="45"/>
    <n v="80"/>
    <n v="100"/>
    <n v="35"/>
    <n v="37"/>
    <n v="28"/>
    <n v="325"/>
    <n v="0"/>
    <n v="0"/>
    <n v="1"/>
    <n v="0"/>
    <n v="0"/>
    <n v="0"/>
  </r>
  <r>
    <s v="Doublade"/>
    <x v="819"/>
    <n v="680"/>
    <s v="680_0"/>
    <x v="8"/>
    <n v="0.8"/>
    <n v="4.5"/>
    <x v="11"/>
    <s v="Ghost"/>
    <s v="No Guard"/>
    <m/>
    <m/>
    <s v="Brown"/>
    <n v="50"/>
    <n v="50"/>
    <n v="0"/>
    <n v="20"/>
    <s v="Mineral"/>
    <m/>
    <n v="90"/>
    <n v="157"/>
    <n v="1000000"/>
    <x v="0"/>
    <m/>
    <m/>
    <n v="59"/>
    <n v="110"/>
    <n v="150"/>
    <n v="45"/>
    <n v="49"/>
    <n v="35"/>
    <n v="448"/>
    <n v="0"/>
    <n v="0"/>
    <n v="2"/>
    <n v="0"/>
    <n v="0"/>
    <n v="0"/>
  </r>
  <r>
    <s v="Aegislash"/>
    <x v="820"/>
    <n v="681"/>
    <s v="681_0"/>
    <x v="8"/>
    <n v="1.7"/>
    <n v="53"/>
    <x v="11"/>
    <s v="Ghost"/>
    <s v="Stance Change"/>
    <m/>
    <m/>
    <s v="Brown"/>
    <n v="50"/>
    <n v="50"/>
    <n v="0"/>
    <n v="20"/>
    <s v="Mineral"/>
    <m/>
    <n v="45"/>
    <n v="250"/>
    <n v="1000000"/>
    <x v="0"/>
    <m/>
    <m/>
    <n v="60"/>
    <n v="50"/>
    <n v="140"/>
    <n v="50"/>
    <n v="140"/>
    <n v="60"/>
    <n v="500"/>
    <n v="0"/>
    <n v="0"/>
    <n v="2"/>
    <n v="0"/>
    <n v="1"/>
    <n v="0"/>
  </r>
  <r>
    <s v="Aegislash"/>
    <x v="821"/>
    <n v="681"/>
    <s v="681_1"/>
    <x v="8"/>
    <n v="1.7"/>
    <n v="53"/>
    <x v="11"/>
    <s v="Ghost"/>
    <s v="Stance Change"/>
    <m/>
    <m/>
    <s v="Brown"/>
    <n v="50"/>
    <n v="50"/>
    <n v="0"/>
    <n v="20"/>
    <s v="Mineral"/>
    <m/>
    <n v="45"/>
    <n v="250"/>
    <n v="1000000"/>
    <x v="0"/>
    <m/>
    <m/>
    <n v="60"/>
    <n v="140"/>
    <n v="50"/>
    <n v="140"/>
    <n v="50"/>
    <n v="60"/>
    <n v="500"/>
    <n v="0"/>
    <n v="2"/>
    <n v="0"/>
    <n v="1"/>
    <n v="0"/>
    <n v="0"/>
  </r>
  <r>
    <s v="Spritzee"/>
    <x v="822"/>
    <n v="682"/>
    <s v="682_0"/>
    <x v="8"/>
    <n v="0.2"/>
    <n v="0.5"/>
    <x v="10"/>
    <m/>
    <s v="Healer"/>
    <m/>
    <s v="Aroma Veil"/>
    <s v="Pink"/>
    <n v="50"/>
    <n v="50"/>
    <n v="0"/>
    <n v="20"/>
    <s v="Fairy"/>
    <m/>
    <n v="200"/>
    <n v="68"/>
    <n v="1000000"/>
    <x v="0"/>
    <m/>
    <m/>
    <n v="78"/>
    <n v="52"/>
    <n v="60"/>
    <n v="63"/>
    <n v="65"/>
    <n v="23"/>
    <n v="341"/>
    <n v="1"/>
    <n v="0"/>
    <n v="0"/>
    <n v="0"/>
    <n v="0"/>
    <n v="0"/>
  </r>
  <r>
    <s v="Aromatisse"/>
    <x v="823"/>
    <n v="683"/>
    <s v="683_0"/>
    <x v="8"/>
    <n v="0.8"/>
    <n v="15.5"/>
    <x v="10"/>
    <m/>
    <s v="Healer"/>
    <m/>
    <s v="Aroma Veil"/>
    <s v="Pink"/>
    <n v="50"/>
    <n v="50"/>
    <n v="0"/>
    <n v="20"/>
    <s v="Fairy"/>
    <m/>
    <n v="140"/>
    <n v="162"/>
    <n v="1000000"/>
    <x v="0"/>
    <m/>
    <m/>
    <n v="101"/>
    <n v="72"/>
    <n v="72"/>
    <n v="99"/>
    <n v="89"/>
    <n v="29"/>
    <n v="462"/>
    <n v="2"/>
    <n v="0"/>
    <n v="0"/>
    <n v="0"/>
    <n v="0"/>
    <n v="0"/>
  </r>
  <r>
    <s v="Swirlix"/>
    <x v="824"/>
    <n v="684"/>
    <s v="684_0"/>
    <x v="8"/>
    <n v="0.4"/>
    <n v="3.5"/>
    <x v="10"/>
    <m/>
    <s v="Sweet Veil"/>
    <m/>
    <s v="Unburden"/>
    <s v="White"/>
    <n v="50"/>
    <n v="50"/>
    <n v="0"/>
    <n v="20"/>
    <s v="Fairy"/>
    <m/>
    <n v="200"/>
    <n v="68"/>
    <n v="1000000"/>
    <x v="0"/>
    <m/>
    <m/>
    <n v="62"/>
    <n v="48"/>
    <n v="66"/>
    <n v="59"/>
    <n v="57"/>
    <n v="49"/>
    <n v="341"/>
    <n v="0"/>
    <n v="0"/>
    <n v="1"/>
    <n v="0"/>
    <n v="0"/>
    <n v="0"/>
  </r>
  <r>
    <s v="Slurpuff"/>
    <x v="825"/>
    <n v="685"/>
    <s v="685_0"/>
    <x v="8"/>
    <n v="0.8"/>
    <n v="5"/>
    <x v="10"/>
    <m/>
    <s v="Sweet Veil"/>
    <m/>
    <s v="Unburden"/>
    <s v="White"/>
    <n v="50"/>
    <n v="50"/>
    <n v="0"/>
    <n v="20"/>
    <s v="Fairy"/>
    <m/>
    <n v="140"/>
    <n v="168"/>
    <n v="1000000"/>
    <x v="0"/>
    <m/>
    <m/>
    <n v="82"/>
    <n v="80"/>
    <n v="86"/>
    <n v="85"/>
    <n v="75"/>
    <n v="72"/>
    <n v="480"/>
    <n v="0"/>
    <n v="0"/>
    <n v="2"/>
    <n v="0"/>
    <n v="0"/>
    <n v="0"/>
  </r>
  <r>
    <s v="Inkay"/>
    <x v="826"/>
    <n v="686"/>
    <s v="686_0"/>
    <x v="8"/>
    <n v="0.4"/>
    <n v="3.5"/>
    <x v="5"/>
    <s v="Psychic"/>
    <s v="Contrary"/>
    <s v="Suction Cups"/>
    <s v="Infiltrator"/>
    <s v="Blue"/>
    <n v="50"/>
    <n v="50"/>
    <n v="0"/>
    <n v="20"/>
    <s v="Water1"/>
    <s v="Water2"/>
    <n v="190"/>
    <n v="58"/>
    <n v="1000000"/>
    <x v="0"/>
    <m/>
    <m/>
    <n v="53"/>
    <n v="54"/>
    <n v="53"/>
    <n v="37"/>
    <n v="46"/>
    <n v="45"/>
    <n v="288"/>
    <n v="0"/>
    <n v="1"/>
    <n v="0"/>
    <n v="0"/>
    <n v="0"/>
    <n v="0"/>
  </r>
  <r>
    <s v="Malamar"/>
    <x v="827"/>
    <n v="687"/>
    <s v="687_0"/>
    <x v="8"/>
    <n v="1.5"/>
    <n v="47"/>
    <x v="5"/>
    <s v="Psychic"/>
    <s v="Contrary"/>
    <s v="Suction Cups"/>
    <s v="Infiltrator"/>
    <s v="Blue"/>
    <n v="50"/>
    <n v="50"/>
    <n v="0"/>
    <n v="20"/>
    <s v="Water1"/>
    <s v="Water2"/>
    <n v="80"/>
    <n v="169"/>
    <n v="1000000"/>
    <x v="0"/>
    <m/>
    <m/>
    <n v="86"/>
    <n v="92"/>
    <n v="88"/>
    <n v="68"/>
    <n v="75"/>
    <n v="73"/>
    <n v="482"/>
    <n v="0"/>
    <n v="2"/>
    <n v="0"/>
    <n v="0"/>
    <n v="0"/>
    <n v="0"/>
  </r>
  <r>
    <s v="Binacle"/>
    <x v="828"/>
    <n v="688"/>
    <s v="688_0"/>
    <x v="8"/>
    <n v="0.5"/>
    <n v="31"/>
    <x v="14"/>
    <s v="Water"/>
    <s v="Tough Claws"/>
    <s v="Sniper"/>
    <s v="Pickpocket"/>
    <s v="Brown"/>
    <n v="50"/>
    <n v="50"/>
    <n v="0"/>
    <n v="20"/>
    <s v="Water3"/>
    <m/>
    <n v="120"/>
    <n v="61"/>
    <n v="1000000"/>
    <x v="0"/>
    <m/>
    <m/>
    <n v="42"/>
    <n v="52"/>
    <n v="67"/>
    <n v="39"/>
    <n v="56"/>
    <n v="50"/>
    <n v="306"/>
    <n v="0"/>
    <n v="1"/>
    <n v="0"/>
    <n v="0"/>
    <n v="0"/>
    <n v="0"/>
  </r>
  <r>
    <s v="Barbaracle"/>
    <x v="829"/>
    <n v="689"/>
    <s v="689_0"/>
    <x v="8"/>
    <n v="1.3"/>
    <n v="96"/>
    <x v="14"/>
    <s v="Water"/>
    <s v="Tough Claws"/>
    <s v="Sniper"/>
    <s v="Pickpocket"/>
    <s v="Brown"/>
    <n v="50"/>
    <n v="50"/>
    <n v="0"/>
    <n v="20"/>
    <s v="Water3"/>
    <m/>
    <n v="45"/>
    <n v="175"/>
    <n v="1000000"/>
    <x v="0"/>
    <m/>
    <m/>
    <n v="72"/>
    <n v="105"/>
    <n v="115"/>
    <n v="54"/>
    <n v="86"/>
    <n v="68"/>
    <n v="500"/>
    <n v="0"/>
    <n v="2"/>
    <n v="0"/>
    <n v="0"/>
    <n v="0"/>
    <n v="0"/>
  </r>
  <r>
    <s v="Skrelp"/>
    <x v="830"/>
    <n v="690"/>
    <s v="690_0"/>
    <x v="8"/>
    <n v="0.5"/>
    <n v="7.3"/>
    <x v="6"/>
    <s v="Water"/>
    <s v="Poison Point"/>
    <s v="Poison Touch"/>
    <s v="Adaptability"/>
    <s v="Brown"/>
    <n v="50"/>
    <n v="50"/>
    <n v="0"/>
    <n v="20"/>
    <s v="Water1"/>
    <s v="Dragon"/>
    <n v="225"/>
    <n v="64"/>
    <n v="1000000"/>
    <x v="0"/>
    <m/>
    <m/>
    <n v="50"/>
    <n v="60"/>
    <n v="60"/>
    <n v="60"/>
    <n v="60"/>
    <n v="30"/>
    <n v="320"/>
    <n v="0"/>
    <n v="0"/>
    <n v="0"/>
    <n v="0"/>
    <n v="1"/>
    <n v="0"/>
  </r>
  <r>
    <s v="Dragalge"/>
    <x v="831"/>
    <n v="691"/>
    <s v="691_0"/>
    <x v="8"/>
    <n v="1.8"/>
    <n v="81.5"/>
    <x v="6"/>
    <s v="Dragon"/>
    <s v="Poison Point"/>
    <s v="Poison Touch"/>
    <s v="Adaptability"/>
    <s v="Brown"/>
    <n v="50"/>
    <n v="50"/>
    <n v="0"/>
    <n v="20"/>
    <s v="Water1"/>
    <s v="Dragon"/>
    <n v="55"/>
    <n v="173"/>
    <n v="1000000"/>
    <x v="0"/>
    <m/>
    <m/>
    <n v="65"/>
    <n v="75"/>
    <n v="90"/>
    <n v="97"/>
    <n v="123"/>
    <n v="44"/>
    <n v="494"/>
    <n v="0"/>
    <n v="0"/>
    <n v="0"/>
    <n v="0"/>
    <n v="2"/>
    <n v="0"/>
  </r>
  <r>
    <s v="Clauncher"/>
    <x v="832"/>
    <n v="692"/>
    <s v="692_0"/>
    <x v="8"/>
    <n v="0.5"/>
    <n v="8.3000000000000007"/>
    <x v="2"/>
    <m/>
    <s v="Mega Launcher"/>
    <m/>
    <m/>
    <s v="Blue"/>
    <n v="50"/>
    <n v="50"/>
    <n v="0"/>
    <n v="15"/>
    <s v="Water1"/>
    <s v="Water3"/>
    <n v="225"/>
    <n v="66"/>
    <n v="1250000"/>
    <x v="0"/>
    <m/>
    <m/>
    <n v="50"/>
    <n v="53"/>
    <n v="62"/>
    <n v="58"/>
    <n v="63"/>
    <n v="44"/>
    <n v="330"/>
    <n v="0"/>
    <n v="0"/>
    <n v="0"/>
    <n v="1"/>
    <n v="0"/>
    <n v="0"/>
  </r>
  <r>
    <s v="Clawitzer"/>
    <x v="833"/>
    <n v="693"/>
    <s v="693_0"/>
    <x v="8"/>
    <n v="1.3"/>
    <n v="35.299999999999997"/>
    <x v="2"/>
    <m/>
    <s v="Mega Launcher"/>
    <m/>
    <m/>
    <s v="Blue"/>
    <n v="50"/>
    <n v="50"/>
    <n v="0"/>
    <n v="15"/>
    <s v="Water1"/>
    <s v="Water3"/>
    <n v="55"/>
    <n v="100"/>
    <n v="1250000"/>
    <x v="0"/>
    <m/>
    <m/>
    <n v="71"/>
    <n v="73"/>
    <n v="88"/>
    <n v="120"/>
    <n v="89"/>
    <n v="59"/>
    <n v="500"/>
    <n v="0"/>
    <n v="0"/>
    <n v="0"/>
    <n v="2"/>
    <n v="0"/>
    <n v="0"/>
  </r>
  <r>
    <s v="Helioptile"/>
    <x v="834"/>
    <n v="694"/>
    <s v="694_0"/>
    <x v="8"/>
    <n v="0.5"/>
    <n v="6"/>
    <x v="7"/>
    <s v="Normal"/>
    <s v="Dry Skin"/>
    <s v="Sand Veil"/>
    <s v="Solar Power"/>
    <s v="Yellow"/>
    <n v="50"/>
    <n v="50"/>
    <n v="0"/>
    <n v="20"/>
    <s v="Monster"/>
    <s v="Dragon"/>
    <n v="190"/>
    <n v="58"/>
    <n v="1000000"/>
    <x v="0"/>
    <m/>
    <m/>
    <n v="44"/>
    <n v="38"/>
    <n v="33"/>
    <n v="61"/>
    <n v="43"/>
    <n v="70"/>
    <n v="289"/>
    <n v="0"/>
    <n v="0"/>
    <n v="0"/>
    <n v="0"/>
    <n v="0"/>
    <n v="1"/>
  </r>
  <r>
    <s v="Heliolisk"/>
    <x v="835"/>
    <n v="695"/>
    <s v="695_0"/>
    <x v="8"/>
    <n v="1"/>
    <n v="21"/>
    <x v="7"/>
    <s v="Normal"/>
    <s v="Dry Skin"/>
    <s v="Sand Veil"/>
    <s v="Solar Power"/>
    <s v="Yellow"/>
    <n v="50"/>
    <n v="50"/>
    <n v="0"/>
    <n v="20"/>
    <s v="Monster"/>
    <s v="Dragon"/>
    <n v="75"/>
    <n v="168"/>
    <n v="1000000"/>
    <x v="0"/>
    <m/>
    <m/>
    <n v="62"/>
    <n v="55"/>
    <n v="52"/>
    <n v="109"/>
    <n v="94"/>
    <n v="109"/>
    <n v="481"/>
    <n v="0"/>
    <n v="0"/>
    <n v="0"/>
    <n v="1"/>
    <n v="0"/>
    <n v="1"/>
  </r>
  <r>
    <s v="Tyrunt"/>
    <x v="836"/>
    <n v="696"/>
    <s v="696_0"/>
    <x v="8"/>
    <n v="0.8"/>
    <n v="26"/>
    <x v="14"/>
    <s v="Dragon"/>
    <s v="Strong Jaw"/>
    <m/>
    <s v="Sturdy"/>
    <s v="Brown"/>
    <n v="87.5"/>
    <n v="12.5"/>
    <n v="0"/>
    <n v="30"/>
    <s v="Monster"/>
    <s v="Dragon"/>
    <n v="45"/>
    <n v="72"/>
    <n v="1000000"/>
    <x v="0"/>
    <m/>
    <m/>
    <n v="58"/>
    <n v="89"/>
    <n v="77"/>
    <n v="45"/>
    <n v="45"/>
    <n v="48"/>
    <n v="362"/>
    <n v="0"/>
    <n v="1"/>
    <n v="0"/>
    <n v="0"/>
    <n v="0"/>
    <n v="0"/>
  </r>
  <r>
    <s v="Tyrantrum"/>
    <x v="837"/>
    <n v="697"/>
    <s v="697_0"/>
    <x v="8"/>
    <n v="2.5"/>
    <n v="270"/>
    <x v="14"/>
    <s v="Dragon"/>
    <s v="Strong Jaw"/>
    <m/>
    <s v="Rock Head"/>
    <s v="Red"/>
    <n v="87.5"/>
    <n v="12.5"/>
    <n v="0"/>
    <n v="30"/>
    <s v="Monster"/>
    <s v="Dragon"/>
    <n v="45"/>
    <n v="182"/>
    <n v="1000000"/>
    <x v="0"/>
    <m/>
    <m/>
    <n v="82"/>
    <n v="121"/>
    <n v="119"/>
    <n v="69"/>
    <n v="59"/>
    <n v="71"/>
    <n v="521"/>
    <n v="0"/>
    <n v="2"/>
    <n v="0"/>
    <n v="0"/>
    <n v="0"/>
    <n v="0"/>
  </r>
  <r>
    <s v="Amaura"/>
    <x v="838"/>
    <n v="698"/>
    <s v="698_0"/>
    <x v="8"/>
    <n v="1.3"/>
    <n v="25.2"/>
    <x v="14"/>
    <s v="Ice"/>
    <s v="Refrigerate"/>
    <m/>
    <s v="Snow Warning"/>
    <s v="Blue"/>
    <n v="87.5"/>
    <n v="12.5"/>
    <n v="0"/>
    <n v="30"/>
    <s v="Monster"/>
    <m/>
    <n v="45"/>
    <n v="72"/>
    <n v="1000000"/>
    <x v="0"/>
    <m/>
    <m/>
    <n v="77"/>
    <n v="59"/>
    <n v="50"/>
    <n v="67"/>
    <n v="63"/>
    <n v="46"/>
    <n v="362"/>
    <n v="1"/>
    <n v="0"/>
    <n v="0"/>
    <n v="0"/>
    <n v="0"/>
    <n v="0"/>
  </r>
  <r>
    <s v="Aurorus"/>
    <x v="839"/>
    <n v="699"/>
    <s v="699_0"/>
    <x v="8"/>
    <n v="2.7"/>
    <n v="225"/>
    <x v="14"/>
    <s v="Ice"/>
    <s v="Refrigerate"/>
    <m/>
    <s v="Snow Warning"/>
    <s v="Blue"/>
    <n v="87.5"/>
    <n v="12.5"/>
    <n v="0"/>
    <n v="30"/>
    <s v="Monster"/>
    <m/>
    <n v="45"/>
    <n v="104"/>
    <n v="1000000"/>
    <x v="0"/>
    <m/>
    <m/>
    <n v="123"/>
    <n v="77"/>
    <n v="72"/>
    <n v="99"/>
    <n v="92"/>
    <n v="58"/>
    <n v="521"/>
    <n v="2"/>
    <n v="0"/>
    <n v="0"/>
    <n v="0"/>
    <n v="0"/>
    <n v="0"/>
  </r>
  <r>
    <s v="Sylveon"/>
    <x v="840"/>
    <n v="700"/>
    <s v="700_0"/>
    <x v="8"/>
    <n v="1"/>
    <n v="23.5"/>
    <x v="10"/>
    <m/>
    <s v="Cute Charm"/>
    <m/>
    <s v="Pixilate"/>
    <s v="Pink"/>
    <n v="87.5"/>
    <n v="12.5"/>
    <n v="0"/>
    <n v="35"/>
    <s v="Ground"/>
    <m/>
    <n v="45"/>
    <n v="184"/>
    <n v="1000000"/>
    <x v="0"/>
    <m/>
    <m/>
    <n v="95"/>
    <n v="65"/>
    <n v="65"/>
    <n v="110"/>
    <n v="130"/>
    <n v="60"/>
    <n v="525"/>
    <n v="0"/>
    <n v="0"/>
    <n v="0"/>
    <n v="0"/>
    <n v="2"/>
    <n v="0"/>
  </r>
  <r>
    <s v="Hawlucha"/>
    <x v="841"/>
    <n v="701"/>
    <s v="701_0"/>
    <x v="8"/>
    <n v="0.8"/>
    <n v="21.5"/>
    <x v="12"/>
    <s v="Flying"/>
    <s v="Limber"/>
    <s v="Unburden"/>
    <s v="Mold Breaker"/>
    <s v="Green"/>
    <n v="50"/>
    <n v="50"/>
    <n v="0"/>
    <n v="20"/>
    <s v="Flying"/>
    <s v="Human-Like"/>
    <n v="100"/>
    <n v="175"/>
    <n v="1000000"/>
    <x v="0"/>
    <m/>
    <m/>
    <n v="78"/>
    <n v="92"/>
    <n v="75"/>
    <n v="74"/>
    <n v="63"/>
    <n v="118"/>
    <n v="500"/>
    <n v="0"/>
    <n v="2"/>
    <n v="0"/>
    <n v="0"/>
    <n v="0"/>
    <n v="0"/>
  </r>
  <r>
    <s v="Dedenne"/>
    <x v="842"/>
    <n v="702"/>
    <s v="702_0"/>
    <x v="8"/>
    <n v="0.2"/>
    <n v="2.2000000000000002"/>
    <x v="7"/>
    <s v="Fairy"/>
    <s v="Cheek Pouch"/>
    <s v="Pickup"/>
    <s v="Plus"/>
    <s v="Yellow"/>
    <n v="50"/>
    <n v="50"/>
    <n v="0"/>
    <n v="20"/>
    <s v="Ground"/>
    <s v="Fairy"/>
    <n v="180"/>
    <n v="151"/>
    <n v="1000000"/>
    <x v="0"/>
    <m/>
    <m/>
    <n v="67"/>
    <n v="58"/>
    <n v="57"/>
    <n v="81"/>
    <n v="67"/>
    <n v="101"/>
    <n v="431"/>
    <n v="0"/>
    <n v="0"/>
    <n v="0"/>
    <n v="0"/>
    <n v="0"/>
    <n v="2"/>
  </r>
  <r>
    <s v="Carbink"/>
    <x v="843"/>
    <n v="703"/>
    <s v="703_0"/>
    <x v="8"/>
    <n v="0.3"/>
    <n v="5.7"/>
    <x v="14"/>
    <s v="Fairy"/>
    <s v="Clear Body"/>
    <m/>
    <s v="Sturdy"/>
    <s v="Gray"/>
    <n v="0"/>
    <n v="0"/>
    <n v="100"/>
    <n v="25"/>
    <s v="Fairy"/>
    <s v="Mineral"/>
    <n v="60"/>
    <n v="100"/>
    <n v="1250000"/>
    <x v="0"/>
    <m/>
    <m/>
    <n v="50"/>
    <n v="50"/>
    <n v="150"/>
    <n v="50"/>
    <n v="150"/>
    <n v="50"/>
    <n v="500"/>
    <n v="0"/>
    <n v="0"/>
    <n v="1"/>
    <n v="0"/>
    <n v="1"/>
    <n v="0"/>
  </r>
  <r>
    <s v="Goomy"/>
    <x v="844"/>
    <n v="704"/>
    <s v="704_0"/>
    <x v="8"/>
    <n v="0.3"/>
    <n v="2.8"/>
    <x v="16"/>
    <m/>
    <s v="Sap Sipper"/>
    <s v="Hydration"/>
    <s v="Gooey"/>
    <s v="Purple"/>
    <n v="50"/>
    <n v="50"/>
    <n v="0"/>
    <n v="40"/>
    <s v="Dragon"/>
    <m/>
    <n v="45"/>
    <n v="60"/>
    <n v="1250000"/>
    <x v="0"/>
    <m/>
    <m/>
    <n v="45"/>
    <n v="50"/>
    <n v="35"/>
    <n v="55"/>
    <n v="75"/>
    <n v="40"/>
    <n v="300"/>
    <n v="0"/>
    <n v="0"/>
    <n v="0"/>
    <n v="0"/>
    <n v="1"/>
    <n v="0"/>
  </r>
  <r>
    <s v="Sliggoo"/>
    <x v="845"/>
    <n v="705"/>
    <s v="705_0"/>
    <x v="8"/>
    <n v="0.8"/>
    <n v="17.5"/>
    <x v="16"/>
    <m/>
    <s v="Sap Sipper"/>
    <s v="Hydration"/>
    <s v="Gooey"/>
    <s v="Purple"/>
    <n v="50"/>
    <n v="50"/>
    <n v="0"/>
    <n v="40"/>
    <s v="Dragon"/>
    <m/>
    <n v="45"/>
    <n v="158"/>
    <n v="1250000"/>
    <x v="0"/>
    <m/>
    <m/>
    <n v="68"/>
    <n v="75"/>
    <n v="53"/>
    <n v="83"/>
    <n v="113"/>
    <n v="60"/>
    <n v="452"/>
    <n v="0"/>
    <n v="0"/>
    <n v="0"/>
    <n v="0"/>
    <n v="2"/>
    <n v="0"/>
  </r>
  <r>
    <s v="Sliggoo"/>
    <x v="846"/>
    <n v="705"/>
    <s v="705_1"/>
    <x v="2"/>
    <n v="0.7"/>
    <n v="68.5"/>
    <x v="11"/>
    <s v="Dragon"/>
    <s v="Sap Sipper"/>
    <s v="Shell Armor"/>
    <s v="Gooey"/>
    <s v="Purple"/>
    <n v="50"/>
    <n v="50"/>
    <n v="0"/>
    <n v="40"/>
    <s v="Dragon"/>
    <m/>
    <n v="45"/>
    <n v="158"/>
    <n v="1250000"/>
    <x v="0"/>
    <m/>
    <s v="Hisuian"/>
    <n v="58"/>
    <n v="75"/>
    <n v="83"/>
    <n v="83"/>
    <n v="113"/>
    <n v="40"/>
    <n v="452"/>
    <n v="0"/>
    <n v="0"/>
    <n v="0"/>
    <n v="0"/>
    <n v="2"/>
    <n v="0"/>
  </r>
  <r>
    <s v="Goodra"/>
    <x v="847"/>
    <n v="706"/>
    <s v="706_0"/>
    <x v="8"/>
    <n v="2"/>
    <n v="150.5"/>
    <x v="16"/>
    <m/>
    <s v="Sap Sipper"/>
    <s v="Hydration"/>
    <s v="Gooey"/>
    <s v="Purple"/>
    <n v="50"/>
    <n v="50"/>
    <n v="0"/>
    <n v="40"/>
    <s v="Dragon"/>
    <m/>
    <n v="45"/>
    <n v="300"/>
    <n v="1250000"/>
    <x v="0"/>
    <m/>
    <m/>
    <n v="90"/>
    <n v="100"/>
    <n v="70"/>
    <n v="110"/>
    <n v="150"/>
    <n v="80"/>
    <n v="600"/>
    <n v="0"/>
    <n v="0"/>
    <n v="0"/>
    <n v="0"/>
    <n v="3"/>
    <n v="0"/>
  </r>
  <r>
    <s v="Goodra"/>
    <x v="848"/>
    <n v="706"/>
    <s v="706_1"/>
    <x v="2"/>
    <n v="1.7"/>
    <n v="334.1"/>
    <x v="11"/>
    <s v="Dragon"/>
    <s v="Sap Sipper"/>
    <s v="Shell Armor"/>
    <s v="Gooey"/>
    <s v="Purple"/>
    <n v="50"/>
    <n v="50"/>
    <n v="0"/>
    <n v="40"/>
    <s v="Dragon"/>
    <m/>
    <n v="45"/>
    <n v="300"/>
    <n v="1250000"/>
    <x v="0"/>
    <m/>
    <s v="Hisuian"/>
    <n v="80"/>
    <n v="100"/>
    <n v="100"/>
    <n v="110"/>
    <n v="150"/>
    <n v="60"/>
    <n v="600"/>
    <n v="0"/>
    <n v="0"/>
    <n v="0"/>
    <n v="0"/>
    <n v="3"/>
    <n v="0"/>
  </r>
  <r>
    <s v="Klefki"/>
    <x v="849"/>
    <n v="707"/>
    <s v="707_0"/>
    <x v="8"/>
    <n v="0.2"/>
    <n v="3"/>
    <x v="11"/>
    <s v="Fairy"/>
    <s v="Prankster"/>
    <m/>
    <s v="Magician"/>
    <s v="Gray"/>
    <n v="50"/>
    <n v="50"/>
    <n v="0"/>
    <n v="20"/>
    <s v="Mineral"/>
    <m/>
    <n v="75"/>
    <n v="165"/>
    <n v="800000"/>
    <x v="0"/>
    <m/>
    <m/>
    <n v="57"/>
    <n v="80"/>
    <n v="91"/>
    <n v="80"/>
    <n v="87"/>
    <n v="75"/>
    <n v="470"/>
    <n v="0"/>
    <n v="0"/>
    <n v="1"/>
    <n v="0"/>
    <n v="0"/>
    <n v="0"/>
  </r>
  <r>
    <s v="Phantump"/>
    <x v="850"/>
    <n v="708"/>
    <s v="708_0"/>
    <x v="8"/>
    <n v="0.4"/>
    <n v="7"/>
    <x v="15"/>
    <s v="Grass"/>
    <s v="Natural Cure"/>
    <s v="Frisk"/>
    <s v="Harvest"/>
    <s v="Brown"/>
    <n v="50"/>
    <n v="50"/>
    <n v="0"/>
    <n v="20"/>
    <s v="Grass"/>
    <s v="Amorphous"/>
    <n v="120"/>
    <n v="62"/>
    <n v="1000000"/>
    <x v="0"/>
    <m/>
    <m/>
    <n v="43"/>
    <n v="70"/>
    <n v="48"/>
    <n v="50"/>
    <n v="60"/>
    <n v="38"/>
    <n v="309"/>
    <n v="0"/>
    <n v="1"/>
    <n v="0"/>
    <n v="0"/>
    <n v="0"/>
    <n v="0"/>
  </r>
  <r>
    <s v="Trevenant"/>
    <x v="851"/>
    <n v="709"/>
    <s v="709_0"/>
    <x v="8"/>
    <n v="1.5"/>
    <n v="71"/>
    <x v="15"/>
    <s v="Grass"/>
    <s v="Natural Cure"/>
    <s v="Frisk"/>
    <s v="Harvest"/>
    <s v="Brown"/>
    <n v="50"/>
    <n v="50"/>
    <n v="0"/>
    <n v="20"/>
    <s v="Grass"/>
    <s v="Amorphous"/>
    <n v="60"/>
    <n v="166"/>
    <n v="1000000"/>
    <x v="0"/>
    <m/>
    <m/>
    <n v="85"/>
    <n v="110"/>
    <n v="76"/>
    <n v="65"/>
    <n v="82"/>
    <n v="56"/>
    <n v="474"/>
    <n v="0"/>
    <n v="2"/>
    <n v="0"/>
    <n v="0"/>
    <n v="0"/>
    <n v="0"/>
  </r>
  <r>
    <s v="Pumpkaboo"/>
    <x v="852"/>
    <n v="710"/>
    <s v="710_0"/>
    <x v="8"/>
    <n v="0.4"/>
    <n v="5"/>
    <x v="15"/>
    <s v="Grass"/>
    <s v="Pickup"/>
    <s v="Frisk"/>
    <s v="Insomnia"/>
    <s v="Brown"/>
    <n v="50"/>
    <n v="50"/>
    <n v="0"/>
    <n v="20"/>
    <s v="Amorphous"/>
    <m/>
    <n v="120"/>
    <n v="67"/>
    <n v="1000000"/>
    <x v="0"/>
    <m/>
    <m/>
    <n v="49"/>
    <n v="66"/>
    <n v="70"/>
    <n v="44"/>
    <n v="55"/>
    <n v="51"/>
    <n v="335"/>
    <n v="0"/>
    <n v="0"/>
    <n v="1"/>
    <n v="0"/>
    <n v="0"/>
    <n v="0"/>
  </r>
  <r>
    <s v="Pumpkaboo"/>
    <x v="853"/>
    <n v="710"/>
    <s v="710_1"/>
    <x v="8"/>
    <n v="0.3"/>
    <n v="3.5"/>
    <x v="15"/>
    <s v="Grass"/>
    <s v="Pickup"/>
    <s v="Frisk"/>
    <s v="Insomnia"/>
    <s v="Brown"/>
    <n v="50"/>
    <n v="50"/>
    <n v="0"/>
    <n v="20"/>
    <s v="Amorphous"/>
    <m/>
    <n v="120"/>
    <n v="67"/>
    <n v="1000000"/>
    <x v="0"/>
    <m/>
    <m/>
    <n v="44"/>
    <n v="66"/>
    <n v="70"/>
    <n v="44"/>
    <n v="55"/>
    <n v="56"/>
    <n v="335"/>
    <n v="0"/>
    <n v="0"/>
    <n v="1"/>
    <n v="0"/>
    <n v="0"/>
    <n v="0"/>
  </r>
  <r>
    <s v="Pumpkaboo"/>
    <x v="854"/>
    <n v="710"/>
    <s v="710_2"/>
    <x v="8"/>
    <n v="0.5"/>
    <n v="7.5"/>
    <x v="15"/>
    <s v="Grass"/>
    <s v="Pickup"/>
    <s v="Frisk"/>
    <s v="Insomnia"/>
    <s v="Brown"/>
    <n v="50"/>
    <n v="50"/>
    <n v="0"/>
    <n v="20"/>
    <s v="Amorphous"/>
    <m/>
    <n v="120"/>
    <n v="67"/>
    <n v="1000000"/>
    <x v="0"/>
    <m/>
    <m/>
    <n v="54"/>
    <n v="66"/>
    <n v="70"/>
    <n v="44"/>
    <n v="55"/>
    <n v="46"/>
    <n v="335"/>
    <n v="0"/>
    <n v="0"/>
    <n v="1"/>
    <n v="0"/>
    <n v="0"/>
    <n v="0"/>
  </r>
  <r>
    <s v="Pumpkaboo"/>
    <x v="855"/>
    <n v="710"/>
    <s v="710_3"/>
    <x v="8"/>
    <n v="0.8"/>
    <n v="15"/>
    <x v="15"/>
    <s v="Grass"/>
    <s v="Pickup"/>
    <s v="Frisk"/>
    <s v="Insomnia"/>
    <s v="Brown"/>
    <n v="50"/>
    <n v="50"/>
    <n v="0"/>
    <n v="20"/>
    <s v="Amorphous"/>
    <m/>
    <n v="120"/>
    <n v="67"/>
    <n v="1000000"/>
    <x v="0"/>
    <m/>
    <m/>
    <n v="59"/>
    <n v="66"/>
    <n v="70"/>
    <n v="44"/>
    <n v="55"/>
    <n v="41"/>
    <n v="335"/>
    <n v="0"/>
    <n v="0"/>
    <n v="1"/>
    <n v="0"/>
    <n v="0"/>
    <n v="0"/>
  </r>
  <r>
    <s v="Gourgeist"/>
    <x v="856"/>
    <n v="711"/>
    <s v="711_0"/>
    <x v="8"/>
    <n v="0.9"/>
    <n v="12.5"/>
    <x v="15"/>
    <s v="Grass"/>
    <s v="Pickup"/>
    <s v="Frisk"/>
    <s v="Insomnia"/>
    <s v="Brown"/>
    <n v="50"/>
    <n v="50"/>
    <n v="0"/>
    <n v="20"/>
    <s v="Amorphous"/>
    <m/>
    <n v="60"/>
    <n v="173"/>
    <n v="1000000"/>
    <x v="0"/>
    <m/>
    <m/>
    <n v="65"/>
    <n v="90"/>
    <n v="122"/>
    <n v="58"/>
    <n v="75"/>
    <n v="84"/>
    <n v="494"/>
    <n v="0"/>
    <n v="0"/>
    <n v="2"/>
    <n v="0"/>
    <n v="0"/>
    <n v="0"/>
  </r>
  <r>
    <s v="Gourgeist"/>
    <x v="857"/>
    <n v="711"/>
    <s v="711_1"/>
    <x v="8"/>
    <n v="0.7"/>
    <n v="9.5"/>
    <x v="15"/>
    <s v="Grass"/>
    <s v="Pickup"/>
    <s v="Frisk"/>
    <s v="Insomnia"/>
    <s v="Brown"/>
    <n v="50"/>
    <n v="50"/>
    <n v="0"/>
    <n v="20"/>
    <s v="Amorphous"/>
    <m/>
    <n v="60"/>
    <n v="173"/>
    <n v="1000000"/>
    <x v="0"/>
    <m/>
    <m/>
    <n v="55"/>
    <n v="85"/>
    <n v="122"/>
    <n v="58"/>
    <n v="75"/>
    <n v="99"/>
    <n v="494"/>
    <n v="0"/>
    <n v="0"/>
    <n v="2"/>
    <n v="0"/>
    <n v="0"/>
    <n v="0"/>
  </r>
  <r>
    <s v="Gourgeist"/>
    <x v="858"/>
    <n v="711"/>
    <s v="711_2"/>
    <x v="8"/>
    <n v="1.1000000000000001"/>
    <n v="14"/>
    <x v="15"/>
    <s v="Grass"/>
    <s v="Pickup"/>
    <s v="Frisk"/>
    <s v="Insomnia"/>
    <s v="Brown"/>
    <n v="50"/>
    <n v="50"/>
    <n v="0"/>
    <n v="20"/>
    <s v="Amorphous"/>
    <m/>
    <n v="60"/>
    <n v="173"/>
    <n v="1000000"/>
    <x v="0"/>
    <m/>
    <m/>
    <n v="75"/>
    <n v="95"/>
    <n v="122"/>
    <n v="58"/>
    <n v="75"/>
    <n v="69"/>
    <n v="494"/>
    <n v="0"/>
    <n v="0"/>
    <n v="2"/>
    <n v="0"/>
    <n v="0"/>
    <n v="0"/>
  </r>
  <r>
    <s v="Gourgeist"/>
    <x v="859"/>
    <n v="711"/>
    <s v="711_3"/>
    <x v="8"/>
    <n v="1.7"/>
    <n v="39"/>
    <x v="15"/>
    <s v="Grass"/>
    <s v="Pickup"/>
    <s v="Frisk"/>
    <s v="Insomnia"/>
    <s v="Brown"/>
    <n v="50"/>
    <n v="50"/>
    <n v="0"/>
    <n v="20"/>
    <s v="Amorphous"/>
    <m/>
    <n v="60"/>
    <n v="173"/>
    <n v="1000000"/>
    <x v="0"/>
    <m/>
    <m/>
    <n v="85"/>
    <n v="100"/>
    <n v="122"/>
    <n v="58"/>
    <n v="75"/>
    <n v="54"/>
    <n v="494"/>
    <n v="0"/>
    <n v="0"/>
    <n v="2"/>
    <n v="0"/>
    <n v="0"/>
    <n v="0"/>
  </r>
  <r>
    <s v="Bergmite"/>
    <x v="860"/>
    <n v="712"/>
    <s v="712_0"/>
    <x v="8"/>
    <n v="1"/>
    <n v="99.5"/>
    <x v="9"/>
    <m/>
    <s v="Own Tempo"/>
    <s v="Ice Body"/>
    <s v="Sturdy"/>
    <s v="Blue"/>
    <n v="50"/>
    <n v="50"/>
    <n v="0"/>
    <n v="20"/>
    <s v="Monster"/>
    <s v="Mineral"/>
    <n v="190"/>
    <n v="61"/>
    <n v="1000000"/>
    <x v="0"/>
    <m/>
    <m/>
    <n v="55"/>
    <n v="69"/>
    <n v="85"/>
    <n v="32"/>
    <n v="35"/>
    <n v="28"/>
    <n v="304"/>
    <n v="0"/>
    <n v="0"/>
    <n v="1"/>
    <n v="0"/>
    <n v="0"/>
    <n v="0"/>
  </r>
  <r>
    <s v="Avalugg"/>
    <x v="861"/>
    <n v="713"/>
    <s v="713_0"/>
    <x v="8"/>
    <n v="2"/>
    <n v="505"/>
    <x v="9"/>
    <m/>
    <s v="Own Tempo"/>
    <s v="Ice Body"/>
    <s v="Sturdy"/>
    <s v="Blue"/>
    <n v="50"/>
    <n v="50"/>
    <n v="0"/>
    <n v="20"/>
    <s v="Monster"/>
    <s v="Mineral"/>
    <n v="55"/>
    <n v="180"/>
    <n v="1000000"/>
    <x v="0"/>
    <m/>
    <m/>
    <n v="95"/>
    <n v="117"/>
    <n v="184"/>
    <n v="44"/>
    <n v="46"/>
    <n v="28"/>
    <n v="514"/>
    <n v="0"/>
    <n v="0"/>
    <n v="2"/>
    <n v="0"/>
    <n v="0"/>
    <n v="0"/>
  </r>
  <r>
    <s v="Avalugg"/>
    <x v="862"/>
    <n v="713"/>
    <s v="713_1"/>
    <x v="2"/>
    <n v="1.4"/>
    <n v="262.39999999999998"/>
    <x v="9"/>
    <s v="Rock"/>
    <s v="Strong Jaw"/>
    <s v="Ice Body"/>
    <s v="Sturdy"/>
    <s v="Blue"/>
    <n v="50"/>
    <n v="50"/>
    <n v="0"/>
    <n v="20"/>
    <s v="Monster"/>
    <s v="Mineral"/>
    <n v="55"/>
    <n v="180"/>
    <n v="1000000"/>
    <x v="0"/>
    <m/>
    <s v="Hisuian"/>
    <n v="95"/>
    <n v="127"/>
    <n v="184"/>
    <n v="34"/>
    <n v="36"/>
    <n v="38"/>
    <n v="514"/>
    <n v="0"/>
    <n v="0"/>
    <n v="2"/>
    <n v="0"/>
    <n v="0"/>
    <n v="0"/>
  </r>
  <r>
    <s v="Noibat"/>
    <x v="863"/>
    <n v="714"/>
    <s v="714_0"/>
    <x v="8"/>
    <n v="0.5"/>
    <n v="8"/>
    <x v="17"/>
    <s v="Dragon"/>
    <s v="Frisk"/>
    <s v="Infiltrator"/>
    <s v="Telepathy"/>
    <s v="Purple"/>
    <n v="50"/>
    <n v="50"/>
    <n v="0"/>
    <n v="20"/>
    <s v="Flying"/>
    <s v="Dragon"/>
    <n v="190"/>
    <n v="49"/>
    <n v="1000000"/>
    <x v="0"/>
    <m/>
    <m/>
    <n v="40"/>
    <n v="30"/>
    <n v="35"/>
    <n v="45"/>
    <n v="40"/>
    <n v="55"/>
    <n v="245"/>
    <n v="0"/>
    <n v="0"/>
    <n v="0"/>
    <n v="0"/>
    <n v="0"/>
    <n v="1"/>
  </r>
  <r>
    <s v="Noivern"/>
    <x v="864"/>
    <n v="715"/>
    <s v="715_0"/>
    <x v="8"/>
    <n v="1.5"/>
    <n v="85"/>
    <x v="17"/>
    <s v="Dragon"/>
    <s v="Frisk"/>
    <s v="Infiltrator"/>
    <s v="Telepathy"/>
    <s v="Purple"/>
    <n v="50"/>
    <n v="50"/>
    <n v="0"/>
    <n v="20"/>
    <s v="Flying"/>
    <s v="Dragon"/>
    <n v="45"/>
    <n v="187"/>
    <n v="1000000"/>
    <x v="0"/>
    <m/>
    <m/>
    <n v="85"/>
    <n v="70"/>
    <n v="80"/>
    <n v="97"/>
    <n v="80"/>
    <n v="123"/>
    <n v="535"/>
    <n v="0"/>
    <n v="0"/>
    <n v="0"/>
    <n v="0"/>
    <n v="0"/>
    <n v="2"/>
  </r>
  <r>
    <s v="Xerneas"/>
    <x v="865"/>
    <n v="716"/>
    <s v="716_0"/>
    <x v="8"/>
    <n v="3"/>
    <n v="215"/>
    <x v="10"/>
    <m/>
    <s v="Fairy Aura"/>
    <m/>
    <m/>
    <s v="Blue"/>
    <n v="0"/>
    <n v="0"/>
    <n v="100"/>
    <n v="120"/>
    <s v="Undiscovered"/>
    <m/>
    <n v="45"/>
    <n v="340"/>
    <n v="1250000"/>
    <x v="2"/>
    <m/>
    <m/>
    <n v="126"/>
    <n v="131"/>
    <n v="95"/>
    <n v="131"/>
    <n v="98"/>
    <n v="99"/>
    <n v="680"/>
    <n v="3"/>
    <n v="0"/>
    <n v="0"/>
    <n v="0"/>
    <n v="0"/>
    <n v="0"/>
  </r>
  <r>
    <s v="Yveltal"/>
    <x v="866"/>
    <n v="717"/>
    <s v="717_0"/>
    <x v="8"/>
    <n v="5.8"/>
    <n v="203"/>
    <x v="5"/>
    <s v="Flying"/>
    <s v="Dark Aura"/>
    <m/>
    <m/>
    <s v="Red"/>
    <n v="0"/>
    <n v="0"/>
    <n v="100"/>
    <n v="120"/>
    <s v="Undiscovered"/>
    <m/>
    <n v="45"/>
    <n v="340"/>
    <n v="1250000"/>
    <x v="2"/>
    <m/>
    <m/>
    <n v="126"/>
    <n v="131"/>
    <n v="95"/>
    <n v="131"/>
    <n v="98"/>
    <n v="99"/>
    <n v="680"/>
    <n v="3"/>
    <n v="0"/>
    <n v="0"/>
    <n v="0"/>
    <n v="0"/>
    <n v="0"/>
  </r>
  <r>
    <s v="Zygarde"/>
    <x v="867"/>
    <n v="718"/>
    <s v="718_0"/>
    <x v="8"/>
    <n v="5"/>
    <n v="305"/>
    <x v="16"/>
    <s v="Ground"/>
    <s v="Aura Break"/>
    <m/>
    <m/>
    <s v="Green"/>
    <n v="0"/>
    <n v="0"/>
    <n v="100"/>
    <n v="120"/>
    <s v="Undiscovered"/>
    <m/>
    <n v="3"/>
    <n v="300"/>
    <n v="1250000"/>
    <x v="2"/>
    <m/>
    <m/>
    <n v="108"/>
    <n v="100"/>
    <n v="121"/>
    <n v="81"/>
    <n v="95"/>
    <n v="95"/>
    <n v="600"/>
    <n v="3"/>
    <n v="0"/>
    <n v="0"/>
    <n v="0"/>
    <n v="0"/>
    <n v="0"/>
  </r>
  <r>
    <s v="Zygarde"/>
    <x v="868"/>
    <n v="718"/>
    <s v="718_1"/>
    <x v="8"/>
    <n v="1.2"/>
    <n v="33.5"/>
    <x v="16"/>
    <s v="Ground"/>
    <s v="Aura Break"/>
    <m/>
    <m/>
    <s v="Black"/>
    <n v="0"/>
    <n v="0"/>
    <n v="100"/>
    <n v="120"/>
    <s v="Undiscovered"/>
    <m/>
    <n v="3"/>
    <n v="243"/>
    <n v="1250000"/>
    <x v="2"/>
    <m/>
    <m/>
    <n v="54"/>
    <n v="100"/>
    <n v="71"/>
    <n v="61"/>
    <n v="85"/>
    <n v="115"/>
    <n v="486"/>
    <n v="3"/>
    <n v="0"/>
    <n v="0"/>
    <n v="0"/>
    <n v="0"/>
    <n v="0"/>
  </r>
  <r>
    <s v="Zygarde"/>
    <x v="869"/>
    <n v="718"/>
    <s v="718_2"/>
    <x v="8"/>
    <n v="4.5"/>
    <n v="610"/>
    <x v="16"/>
    <s v="Ground"/>
    <s v="Power Construct"/>
    <m/>
    <m/>
    <s v="Black"/>
    <n v="0"/>
    <n v="0"/>
    <n v="100"/>
    <n v="120"/>
    <s v="Undiscovered"/>
    <m/>
    <n v="3"/>
    <n v="354"/>
    <n v="1250000"/>
    <x v="2"/>
    <m/>
    <m/>
    <n v="216"/>
    <n v="100"/>
    <n v="121"/>
    <n v="91"/>
    <n v="95"/>
    <n v="85"/>
    <n v="708"/>
    <n v="3"/>
    <n v="0"/>
    <n v="0"/>
    <n v="0"/>
    <n v="0"/>
    <n v="0"/>
  </r>
  <r>
    <s v="Diancie"/>
    <x v="870"/>
    <n v="719"/>
    <s v="719_0"/>
    <x v="8"/>
    <n v="0.7"/>
    <n v="8.8000000000000007"/>
    <x v="14"/>
    <s v="Fairy"/>
    <s v="Clear Body"/>
    <m/>
    <m/>
    <s v="Pink"/>
    <n v="0"/>
    <n v="0"/>
    <n v="100"/>
    <n v="25"/>
    <s v="Undiscovered"/>
    <m/>
    <n v="3"/>
    <n v="300"/>
    <n v="1250000"/>
    <x v="3"/>
    <m/>
    <m/>
    <n v="50"/>
    <n v="100"/>
    <n v="150"/>
    <n v="100"/>
    <n v="150"/>
    <n v="50"/>
    <n v="600"/>
    <n v="0"/>
    <n v="0"/>
    <n v="1"/>
    <n v="0"/>
    <n v="2"/>
    <n v="0"/>
  </r>
  <r>
    <s v="Diancie"/>
    <x v="871"/>
    <n v="719"/>
    <s v="719_1"/>
    <x v="8"/>
    <n v="1.1000000000000001"/>
    <n v="27.8"/>
    <x v="14"/>
    <s v="Fairy"/>
    <s v="Magic Bounce"/>
    <m/>
    <m/>
    <s v="Pink"/>
    <n v="0"/>
    <n v="0"/>
    <n v="100"/>
    <n v="25"/>
    <s v="Undiscovered"/>
    <m/>
    <n v="3"/>
    <n v="315"/>
    <n v="1250000"/>
    <x v="3"/>
    <s v="Mega"/>
    <m/>
    <n v="50"/>
    <n v="160"/>
    <n v="110"/>
    <n v="160"/>
    <n v="110"/>
    <n v="110"/>
    <n v="700"/>
    <n v="0"/>
    <n v="0"/>
    <n v="1"/>
    <n v="0"/>
    <n v="2"/>
    <n v="0"/>
  </r>
  <r>
    <s v="Hoopa"/>
    <x v="872"/>
    <n v="720"/>
    <s v="720_0"/>
    <x v="8"/>
    <n v="0.5"/>
    <n v="9"/>
    <x v="13"/>
    <s v="Ghost"/>
    <s v="Magician"/>
    <m/>
    <m/>
    <s v="Purple"/>
    <n v="0"/>
    <n v="0"/>
    <n v="100"/>
    <n v="120"/>
    <s v="Undiscovered"/>
    <m/>
    <n v="3"/>
    <n v="300"/>
    <n v="1250000"/>
    <x v="3"/>
    <m/>
    <m/>
    <n v="80"/>
    <n v="110"/>
    <n v="60"/>
    <n v="150"/>
    <n v="130"/>
    <n v="70"/>
    <n v="600"/>
    <n v="0"/>
    <n v="0"/>
    <n v="0"/>
    <n v="3"/>
    <n v="0"/>
    <n v="0"/>
  </r>
  <r>
    <s v="Hoopa"/>
    <x v="873"/>
    <n v="720"/>
    <s v="720_1"/>
    <x v="8"/>
    <n v="6.5"/>
    <n v="490"/>
    <x v="13"/>
    <s v="Dark"/>
    <s v="Magician"/>
    <m/>
    <m/>
    <s v="Purple"/>
    <n v="0"/>
    <n v="0"/>
    <n v="100"/>
    <n v="120"/>
    <s v="Undiscovered"/>
    <m/>
    <n v="3"/>
    <n v="340"/>
    <n v="1250000"/>
    <x v="3"/>
    <m/>
    <m/>
    <n v="80"/>
    <n v="160"/>
    <n v="60"/>
    <n v="170"/>
    <n v="130"/>
    <n v="80"/>
    <n v="680"/>
    <n v="0"/>
    <n v="0"/>
    <n v="0"/>
    <n v="3"/>
    <n v="0"/>
    <n v="0"/>
  </r>
  <r>
    <s v="Volcanion"/>
    <x v="874"/>
    <n v="721"/>
    <s v="721_0"/>
    <x v="8"/>
    <n v="1.7"/>
    <n v="195"/>
    <x v="1"/>
    <s v="Water"/>
    <s v="Water Absorb"/>
    <m/>
    <m/>
    <s v="Brown"/>
    <n v="0"/>
    <n v="0"/>
    <n v="100"/>
    <n v="120"/>
    <s v="Undiscovered"/>
    <m/>
    <n v="3"/>
    <n v="300"/>
    <n v="1250000"/>
    <x v="3"/>
    <m/>
    <m/>
    <n v="80"/>
    <n v="110"/>
    <n v="120"/>
    <n v="130"/>
    <n v="90"/>
    <n v="70"/>
    <n v="600"/>
    <n v="0"/>
    <n v="0"/>
    <n v="0"/>
    <n v="3"/>
    <n v="0"/>
    <n v="0"/>
  </r>
  <r>
    <s v="Rowlet"/>
    <x v="875"/>
    <n v="722"/>
    <s v="722_0"/>
    <x v="1"/>
    <n v="0.3"/>
    <n v="1.5"/>
    <x v="0"/>
    <s v="Flying"/>
    <s v="Overgrow"/>
    <m/>
    <s v="Long Reach"/>
    <s v="Brown"/>
    <n v="87.5"/>
    <n v="12.5"/>
    <n v="0"/>
    <n v="15"/>
    <s v="Flying"/>
    <m/>
    <n v="45"/>
    <n v="64"/>
    <n v="1059860"/>
    <x v="0"/>
    <m/>
    <m/>
    <n v="68"/>
    <n v="55"/>
    <n v="55"/>
    <n v="50"/>
    <n v="50"/>
    <n v="42"/>
    <n v="320"/>
    <n v="1"/>
    <n v="0"/>
    <n v="0"/>
    <n v="0"/>
    <n v="0"/>
    <n v="0"/>
  </r>
  <r>
    <s v="Dartrix"/>
    <x v="876"/>
    <n v="723"/>
    <s v="723_0"/>
    <x v="1"/>
    <n v="0.7"/>
    <n v="16"/>
    <x v="0"/>
    <s v="Flying"/>
    <s v="Overgrow"/>
    <m/>
    <s v="Long Reach"/>
    <s v="Brown"/>
    <n v="87.5"/>
    <n v="12.5"/>
    <n v="0"/>
    <n v="15"/>
    <s v="Flying"/>
    <m/>
    <n v="45"/>
    <n v="147"/>
    <n v="1059860"/>
    <x v="0"/>
    <m/>
    <m/>
    <n v="78"/>
    <n v="75"/>
    <n v="75"/>
    <n v="70"/>
    <n v="70"/>
    <n v="52"/>
    <n v="420"/>
    <n v="2"/>
    <n v="0"/>
    <n v="0"/>
    <n v="0"/>
    <n v="0"/>
    <n v="0"/>
  </r>
  <r>
    <s v="Decidueye"/>
    <x v="877"/>
    <n v="724"/>
    <s v="724_0"/>
    <x v="1"/>
    <n v="1.6"/>
    <n v="36.6"/>
    <x v="0"/>
    <s v="Ghost"/>
    <s v="Overgrow"/>
    <m/>
    <s v="Long Reach"/>
    <s v="Brown"/>
    <n v="87.5"/>
    <n v="12.5"/>
    <n v="0"/>
    <n v="15"/>
    <s v="Flying"/>
    <m/>
    <n v="45"/>
    <n v="265"/>
    <n v="1059860"/>
    <x v="0"/>
    <m/>
    <m/>
    <n v="78"/>
    <n v="107"/>
    <n v="75"/>
    <n v="100"/>
    <n v="100"/>
    <n v="70"/>
    <n v="530"/>
    <n v="0"/>
    <n v="3"/>
    <n v="0"/>
    <n v="0"/>
    <n v="0"/>
    <n v="0"/>
  </r>
  <r>
    <s v="Decidueye"/>
    <x v="878"/>
    <n v="724"/>
    <s v="724_1"/>
    <x v="2"/>
    <n v="1.6"/>
    <n v="37"/>
    <x v="0"/>
    <s v="Fighting"/>
    <s v="Overgrow"/>
    <m/>
    <s v="Scrappy"/>
    <s v="Brown"/>
    <n v="87.5"/>
    <n v="12.5"/>
    <n v="0"/>
    <n v="15"/>
    <s v="Flying"/>
    <m/>
    <n v="45"/>
    <n v="265"/>
    <n v="1059860"/>
    <x v="0"/>
    <m/>
    <s v="Hisuian"/>
    <n v="88"/>
    <n v="112"/>
    <n v="80"/>
    <n v="95"/>
    <n v="95"/>
    <n v="60"/>
    <n v="530"/>
    <n v="0"/>
    <n v="3"/>
    <n v="0"/>
    <n v="0"/>
    <n v="0"/>
    <n v="0"/>
  </r>
  <r>
    <s v="Litten"/>
    <x v="879"/>
    <n v="725"/>
    <s v="725_0"/>
    <x v="1"/>
    <n v="0.4"/>
    <n v="4.3"/>
    <x v="1"/>
    <m/>
    <s v="Blaze"/>
    <m/>
    <s v="Intimidate"/>
    <s v="Red"/>
    <n v="87.5"/>
    <n v="12.5"/>
    <n v="0"/>
    <n v="15"/>
    <s v="Ground"/>
    <m/>
    <n v="45"/>
    <n v="64"/>
    <n v="1059860"/>
    <x v="0"/>
    <m/>
    <m/>
    <n v="45"/>
    <n v="65"/>
    <n v="40"/>
    <n v="60"/>
    <n v="40"/>
    <n v="70"/>
    <n v="320"/>
    <n v="0"/>
    <n v="0"/>
    <n v="0"/>
    <n v="0"/>
    <n v="0"/>
    <n v="1"/>
  </r>
  <r>
    <s v="Torracat"/>
    <x v="880"/>
    <n v="726"/>
    <s v="726_0"/>
    <x v="1"/>
    <n v="0.7"/>
    <n v="25"/>
    <x v="1"/>
    <m/>
    <s v="Blaze"/>
    <m/>
    <s v="Intimidate"/>
    <s v="Red"/>
    <n v="87.5"/>
    <n v="12.5"/>
    <n v="0"/>
    <n v="15"/>
    <s v="Ground"/>
    <m/>
    <n v="45"/>
    <n v="147"/>
    <n v="1059860"/>
    <x v="0"/>
    <m/>
    <m/>
    <n v="65"/>
    <n v="85"/>
    <n v="50"/>
    <n v="80"/>
    <n v="50"/>
    <n v="90"/>
    <n v="420"/>
    <n v="0"/>
    <n v="0"/>
    <n v="0"/>
    <n v="0"/>
    <n v="0"/>
    <n v="2"/>
  </r>
  <r>
    <s v="Incineroar"/>
    <x v="881"/>
    <n v="727"/>
    <s v="727_0"/>
    <x v="1"/>
    <n v="1.8"/>
    <n v="83"/>
    <x v="1"/>
    <s v="Dark"/>
    <s v="Blaze"/>
    <m/>
    <s v="Intimidate"/>
    <s v="Red"/>
    <n v="87.5"/>
    <n v="12.5"/>
    <n v="0"/>
    <n v="15"/>
    <s v="Ground"/>
    <m/>
    <n v="45"/>
    <n v="265"/>
    <n v="1059860"/>
    <x v="0"/>
    <m/>
    <m/>
    <n v="95"/>
    <n v="115"/>
    <n v="90"/>
    <n v="80"/>
    <n v="90"/>
    <n v="60"/>
    <n v="530"/>
    <n v="0"/>
    <n v="3"/>
    <n v="0"/>
    <n v="0"/>
    <n v="0"/>
    <n v="0"/>
  </r>
  <r>
    <s v="Popplio"/>
    <x v="882"/>
    <n v="728"/>
    <s v="728_0"/>
    <x v="1"/>
    <n v="0.4"/>
    <n v="7.5"/>
    <x v="2"/>
    <m/>
    <s v="Torrent"/>
    <m/>
    <s v="Liquid Voice"/>
    <s v="Blue"/>
    <n v="87.5"/>
    <n v="12.5"/>
    <n v="0"/>
    <n v="15"/>
    <s v="Water1"/>
    <s v="Ground"/>
    <n v="45"/>
    <n v="64"/>
    <n v="1059860"/>
    <x v="0"/>
    <m/>
    <m/>
    <n v="50"/>
    <n v="54"/>
    <n v="54"/>
    <n v="66"/>
    <n v="56"/>
    <n v="40"/>
    <n v="320"/>
    <n v="0"/>
    <n v="0"/>
    <n v="0"/>
    <n v="1"/>
    <n v="0"/>
    <n v="0"/>
  </r>
  <r>
    <s v="Brionne"/>
    <x v="883"/>
    <n v="729"/>
    <s v="729_0"/>
    <x v="1"/>
    <n v="0.6"/>
    <n v="17.5"/>
    <x v="2"/>
    <m/>
    <s v="Torrent"/>
    <m/>
    <s v="Liquid Voice"/>
    <s v="Blue"/>
    <n v="87.5"/>
    <n v="12.5"/>
    <n v="0"/>
    <n v="15"/>
    <s v="Water1"/>
    <s v="Ground"/>
    <n v="45"/>
    <n v="147"/>
    <n v="1059860"/>
    <x v="0"/>
    <m/>
    <m/>
    <n v="60"/>
    <n v="69"/>
    <n v="69"/>
    <n v="91"/>
    <n v="81"/>
    <n v="50"/>
    <n v="420"/>
    <n v="0"/>
    <n v="0"/>
    <n v="0"/>
    <n v="2"/>
    <n v="0"/>
    <n v="0"/>
  </r>
  <r>
    <s v="Primarina"/>
    <x v="884"/>
    <n v="730"/>
    <s v="730_0"/>
    <x v="1"/>
    <n v="1.8"/>
    <n v="44"/>
    <x v="2"/>
    <s v="Fairy"/>
    <s v="Torrent"/>
    <m/>
    <s v="Liquid Voice"/>
    <s v="Blue"/>
    <n v="87.5"/>
    <n v="12.5"/>
    <n v="0"/>
    <n v="15"/>
    <s v="Water1"/>
    <s v="Ground"/>
    <n v="45"/>
    <n v="265"/>
    <n v="1059860"/>
    <x v="0"/>
    <m/>
    <m/>
    <n v="80"/>
    <n v="74"/>
    <n v="74"/>
    <n v="126"/>
    <n v="116"/>
    <n v="60"/>
    <n v="530"/>
    <n v="0"/>
    <n v="0"/>
    <n v="0"/>
    <n v="3"/>
    <n v="0"/>
    <n v="0"/>
  </r>
  <r>
    <s v="Pikipek"/>
    <x v="885"/>
    <n v="731"/>
    <s v="731_0"/>
    <x v="1"/>
    <n v="0.3"/>
    <n v="1.2"/>
    <x v="4"/>
    <s v="Flying"/>
    <s v="Keen Eye"/>
    <s v="Skill Link"/>
    <s v="Pickup"/>
    <s v="Black"/>
    <n v="50"/>
    <n v="50"/>
    <n v="0"/>
    <n v="15"/>
    <s v="Flying"/>
    <m/>
    <n v="255"/>
    <n v="53"/>
    <n v="1000000"/>
    <x v="0"/>
    <m/>
    <m/>
    <n v="35"/>
    <n v="75"/>
    <n v="30"/>
    <n v="30"/>
    <n v="30"/>
    <n v="65"/>
    <n v="265"/>
    <n v="0"/>
    <n v="1"/>
    <n v="0"/>
    <n v="0"/>
    <n v="0"/>
    <n v="0"/>
  </r>
  <r>
    <s v="Trumbeak"/>
    <x v="886"/>
    <n v="732"/>
    <s v="732_0"/>
    <x v="1"/>
    <n v="0.6"/>
    <n v="14.8"/>
    <x v="4"/>
    <s v="Flying"/>
    <s v="Keen Eye"/>
    <s v="Skill Link"/>
    <s v="Pickup"/>
    <s v="Black"/>
    <n v="50"/>
    <n v="50"/>
    <n v="0"/>
    <n v="15"/>
    <s v="Flying"/>
    <m/>
    <n v="120"/>
    <n v="124"/>
    <n v="1000000"/>
    <x v="0"/>
    <m/>
    <m/>
    <n v="55"/>
    <n v="85"/>
    <n v="50"/>
    <n v="40"/>
    <n v="50"/>
    <n v="75"/>
    <n v="355"/>
    <n v="0"/>
    <n v="2"/>
    <n v="0"/>
    <n v="0"/>
    <n v="0"/>
    <n v="0"/>
  </r>
  <r>
    <s v="Toucannon"/>
    <x v="887"/>
    <n v="733"/>
    <s v="733_0"/>
    <x v="1"/>
    <n v="1.1000000000000001"/>
    <n v="26"/>
    <x v="4"/>
    <s v="Flying"/>
    <s v="Keen Eye"/>
    <s v="Skill Link"/>
    <s v="Sheer Force"/>
    <s v="Black"/>
    <n v="50"/>
    <n v="50"/>
    <n v="0"/>
    <n v="15"/>
    <s v="Flying"/>
    <m/>
    <n v="45"/>
    <n v="218"/>
    <n v="1000000"/>
    <x v="0"/>
    <m/>
    <m/>
    <n v="80"/>
    <n v="120"/>
    <n v="75"/>
    <n v="75"/>
    <n v="75"/>
    <n v="60"/>
    <n v="485"/>
    <n v="0"/>
    <n v="3"/>
    <n v="0"/>
    <n v="0"/>
    <n v="0"/>
    <n v="0"/>
  </r>
  <r>
    <s v="Yungoos"/>
    <x v="888"/>
    <n v="734"/>
    <s v="734_0"/>
    <x v="1"/>
    <n v="0.4"/>
    <n v="6"/>
    <x v="4"/>
    <m/>
    <s v="Stakeout"/>
    <s v="Strong Jaw"/>
    <s v="Adaptability"/>
    <s v="Brown"/>
    <n v="50"/>
    <n v="50"/>
    <n v="0"/>
    <n v="15"/>
    <s v="Ground"/>
    <m/>
    <n v="255"/>
    <n v="51"/>
    <n v="1000000"/>
    <x v="0"/>
    <m/>
    <m/>
    <n v="48"/>
    <n v="70"/>
    <n v="30"/>
    <n v="30"/>
    <n v="30"/>
    <n v="45"/>
    <n v="253"/>
    <n v="0"/>
    <n v="1"/>
    <n v="0"/>
    <n v="0"/>
    <n v="0"/>
    <n v="0"/>
  </r>
  <r>
    <s v="Gumshoos"/>
    <x v="889"/>
    <n v="735"/>
    <s v="735_0"/>
    <x v="1"/>
    <n v="0.7"/>
    <n v="14.2"/>
    <x v="4"/>
    <m/>
    <s v="Stakeout"/>
    <s v="Strong Jaw"/>
    <s v="Adaptability"/>
    <s v="Brown"/>
    <n v="50"/>
    <n v="50"/>
    <n v="0"/>
    <n v="15"/>
    <s v="Ground"/>
    <m/>
    <n v="127"/>
    <n v="146"/>
    <n v="1000000"/>
    <x v="0"/>
    <m/>
    <m/>
    <n v="88"/>
    <n v="110"/>
    <n v="60"/>
    <n v="55"/>
    <n v="60"/>
    <n v="45"/>
    <n v="418"/>
    <n v="0"/>
    <n v="2"/>
    <n v="0"/>
    <n v="0"/>
    <n v="0"/>
    <n v="0"/>
  </r>
  <r>
    <s v="Grubbin"/>
    <x v="890"/>
    <n v="736"/>
    <s v="736_0"/>
    <x v="1"/>
    <n v="0.4"/>
    <n v="4.4000000000000004"/>
    <x v="3"/>
    <m/>
    <s v="Swarm"/>
    <m/>
    <m/>
    <s v="Gray"/>
    <n v="50"/>
    <n v="50"/>
    <n v="0"/>
    <n v="15"/>
    <s v="Bug"/>
    <m/>
    <n v="255"/>
    <n v="60"/>
    <n v="1000000"/>
    <x v="0"/>
    <m/>
    <m/>
    <n v="47"/>
    <n v="62"/>
    <n v="45"/>
    <n v="55"/>
    <n v="45"/>
    <n v="46"/>
    <n v="300"/>
    <n v="0"/>
    <n v="1"/>
    <n v="0"/>
    <n v="0"/>
    <n v="0"/>
    <n v="0"/>
  </r>
  <r>
    <s v="Charjabug"/>
    <x v="891"/>
    <n v="737"/>
    <s v="737_0"/>
    <x v="1"/>
    <n v="0.5"/>
    <n v="10.5"/>
    <x v="3"/>
    <s v="Electric"/>
    <s v="Battery"/>
    <m/>
    <m/>
    <s v="Green"/>
    <n v="50"/>
    <n v="50"/>
    <n v="0"/>
    <n v="15"/>
    <s v="Bug"/>
    <m/>
    <n v="120"/>
    <n v="140"/>
    <n v="1000000"/>
    <x v="0"/>
    <m/>
    <m/>
    <n v="57"/>
    <n v="82"/>
    <n v="95"/>
    <n v="55"/>
    <n v="75"/>
    <n v="36"/>
    <n v="400"/>
    <n v="0"/>
    <n v="0"/>
    <n v="2"/>
    <n v="0"/>
    <n v="0"/>
    <n v="0"/>
  </r>
  <r>
    <s v="Vikavolt"/>
    <x v="892"/>
    <n v="738"/>
    <s v="738_0"/>
    <x v="1"/>
    <n v="1.5"/>
    <n v="45"/>
    <x v="3"/>
    <s v="Electric"/>
    <s v="Levitate"/>
    <m/>
    <m/>
    <s v="Blue"/>
    <n v="50"/>
    <n v="50"/>
    <n v="0"/>
    <n v="15"/>
    <s v="Bug"/>
    <m/>
    <n v="45"/>
    <n v="250"/>
    <n v="1000000"/>
    <x v="0"/>
    <m/>
    <m/>
    <n v="77"/>
    <n v="70"/>
    <n v="90"/>
    <n v="145"/>
    <n v="75"/>
    <n v="43"/>
    <n v="500"/>
    <n v="0"/>
    <n v="0"/>
    <n v="0"/>
    <n v="3"/>
    <n v="0"/>
    <n v="0"/>
  </r>
  <r>
    <s v="Crabrawler"/>
    <x v="893"/>
    <n v="739"/>
    <s v="739_0"/>
    <x v="1"/>
    <n v="0.6"/>
    <n v="7"/>
    <x v="12"/>
    <m/>
    <s v="Hyper Cutter"/>
    <s v="Iron Fist"/>
    <s v="Anger Point"/>
    <s v="Purple"/>
    <n v="50"/>
    <n v="50"/>
    <n v="0"/>
    <n v="20"/>
    <s v="Water3"/>
    <m/>
    <n v="225"/>
    <n v="68"/>
    <n v="1000000"/>
    <x v="0"/>
    <m/>
    <m/>
    <n v="47"/>
    <n v="82"/>
    <n v="57"/>
    <n v="42"/>
    <n v="47"/>
    <n v="63"/>
    <n v="338"/>
    <n v="0"/>
    <n v="1"/>
    <n v="0"/>
    <n v="0"/>
    <n v="0"/>
    <n v="0"/>
  </r>
  <r>
    <s v="Crabominable"/>
    <x v="894"/>
    <n v="740"/>
    <s v="740_0"/>
    <x v="1"/>
    <n v="1.7"/>
    <n v="180"/>
    <x v="12"/>
    <s v="Ice"/>
    <s v="Hyper Cutter"/>
    <s v="Iron Fist"/>
    <s v="Anger Point"/>
    <s v="White"/>
    <n v="50"/>
    <n v="50"/>
    <n v="0"/>
    <n v="20"/>
    <s v="Water3"/>
    <m/>
    <n v="60"/>
    <n v="167"/>
    <n v="1000000"/>
    <x v="0"/>
    <m/>
    <m/>
    <n v="97"/>
    <n v="132"/>
    <n v="77"/>
    <n v="62"/>
    <n v="67"/>
    <n v="43"/>
    <n v="478"/>
    <n v="0"/>
    <n v="2"/>
    <n v="0"/>
    <n v="0"/>
    <n v="0"/>
    <n v="0"/>
  </r>
  <r>
    <s v="Oricorio"/>
    <x v="895"/>
    <n v="741"/>
    <s v="741_0"/>
    <x v="1"/>
    <n v="0.6"/>
    <n v="3.4"/>
    <x v="1"/>
    <s v="Flying"/>
    <s v="Dancer"/>
    <m/>
    <m/>
    <s v="Red"/>
    <n v="25"/>
    <n v="75"/>
    <n v="0"/>
    <n v="20"/>
    <s v="Flying"/>
    <m/>
    <n v="45"/>
    <n v="167"/>
    <n v="1000000"/>
    <x v="0"/>
    <m/>
    <m/>
    <n v="75"/>
    <n v="70"/>
    <n v="70"/>
    <n v="98"/>
    <n v="70"/>
    <n v="93"/>
    <n v="476"/>
    <n v="0"/>
    <n v="0"/>
    <n v="0"/>
    <n v="2"/>
    <n v="0"/>
    <n v="0"/>
  </r>
  <r>
    <s v="Oricorio"/>
    <x v="896"/>
    <n v="741"/>
    <s v="741_1"/>
    <x v="1"/>
    <n v="0.6"/>
    <n v="3.4"/>
    <x v="7"/>
    <s v="Flying"/>
    <s v="Dancer"/>
    <m/>
    <m/>
    <s v="Yellow"/>
    <n v="25"/>
    <n v="75"/>
    <n v="0"/>
    <n v="20"/>
    <s v="Flying"/>
    <m/>
    <n v="45"/>
    <n v="167"/>
    <n v="1000000"/>
    <x v="0"/>
    <m/>
    <m/>
    <n v="75"/>
    <n v="70"/>
    <n v="70"/>
    <n v="98"/>
    <n v="70"/>
    <n v="93"/>
    <n v="476"/>
    <n v="0"/>
    <n v="0"/>
    <n v="0"/>
    <n v="2"/>
    <n v="0"/>
    <n v="0"/>
  </r>
  <r>
    <s v="Oricorio"/>
    <x v="897"/>
    <n v="741"/>
    <s v="741_2"/>
    <x v="1"/>
    <n v="0.6"/>
    <n v="3.4"/>
    <x v="13"/>
    <s v="Flying"/>
    <s v="Dancer"/>
    <m/>
    <m/>
    <s v="Pink"/>
    <n v="25"/>
    <n v="75"/>
    <n v="0"/>
    <n v="20"/>
    <s v="Flying"/>
    <m/>
    <n v="45"/>
    <n v="167"/>
    <n v="1000000"/>
    <x v="0"/>
    <m/>
    <m/>
    <n v="75"/>
    <n v="70"/>
    <n v="70"/>
    <n v="98"/>
    <n v="70"/>
    <n v="93"/>
    <n v="476"/>
    <n v="0"/>
    <n v="0"/>
    <n v="0"/>
    <n v="2"/>
    <n v="0"/>
    <n v="0"/>
  </r>
  <r>
    <s v="Oricorio"/>
    <x v="898"/>
    <n v="741"/>
    <s v="741_3"/>
    <x v="1"/>
    <n v="0.6"/>
    <n v="3.4"/>
    <x v="15"/>
    <s v="Flying"/>
    <s v="Dancer"/>
    <m/>
    <m/>
    <s v="Purple"/>
    <n v="25"/>
    <n v="75"/>
    <n v="0"/>
    <n v="20"/>
    <s v="Flying"/>
    <m/>
    <n v="45"/>
    <n v="167"/>
    <n v="1000000"/>
    <x v="0"/>
    <m/>
    <m/>
    <n v="75"/>
    <n v="70"/>
    <n v="70"/>
    <n v="98"/>
    <n v="70"/>
    <n v="93"/>
    <n v="476"/>
    <n v="0"/>
    <n v="0"/>
    <n v="0"/>
    <n v="2"/>
    <n v="0"/>
    <n v="0"/>
  </r>
  <r>
    <s v="Cutiefly"/>
    <x v="899"/>
    <n v="742"/>
    <s v="742_0"/>
    <x v="1"/>
    <n v="0.1"/>
    <n v="0.2"/>
    <x v="3"/>
    <s v="Fairy"/>
    <s v="Honey Gather"/>
    <s v="Shield Dust"/>
    <s v="Sweet Veil"/>
    <s v="Yellow"/>
    <n v="50"/>
    <n v="50"/>
    <n v="0"/>
    <n v="20"/>
    <s v="Bug"/>
    <s v="Fairy"/>
    <n v="190"/>
    <n v="61"/>
    <n v="1000000"/>
    <x v="0"/>
    <m/>
    <m/>
    <n v="40"/>
    <n v="45"/>
    <n v="40"/>
    <n v="55"/>
    <n v="40"/>
    <n v="84"/>
    <n v="304"/>
    <n v="0"/>
    <n v="0"/>
    <n v="0"/>
    <n v="0"/>
    <n v="0"/>
    <n v="1"/>
  </r>
  <r>
    <s v="Ribombee"/>
    <x v="900"/>
    <n v="743"/>
    <s v="743_0"/>
    <x v="1"/>
    <n v="0.2"/>
    <n v="0.5"/>
    <x v="3"/>
    <s v="Fairy"/>
    <s v="Honey Gather"/>
    <s v="Shield Dust"/>
    <s v="Sweet Veil"/>
    <s v="Yellow"/>
    <n v="50"/>
    <n v="50"/>
    <n v="0"/>
    <n v="20"/>
    <s v="Bug"/>
    <s v="Fairy"/>
    <n v="75"/>
    <n v="162"/>
    <n v="1000000"/>
    <x v="0"/>
    <m/>
    <m/>
    <n v="60"/>
    <n v="55"/>
    <n v="60"/>
    <n v="95"/>
    <n v="70"/>
    <n v="124"/>
    <n v="464"/>
    <n v="0"/>
    <n v="0"/>
    <n v="0"/>
    <n v="0"/>
    <n v="0"/>
    <n v="2"/>
  </r>
  <r>
    <s v="Rockruff"/>
    <x v="901"/>
    <n v="744"/>
    <s v="744_0"/>
    <x v="1"/>
    <n v="0.5"/>
    <n v="9.1999999999999993"/>
    <x v="14"/>
    <m/>
    <s v="Keen Eye"/>
    <s v="Vital Spirit"/>
    <s v="Steadfast"/>
    <s v="Brown"/>
    <n v="50"/>
    <n v="50"/>
    <n v="0"/>
    <n v="15"/>
    <s v="Ground"/>
    <m/>
    <n v="190"/>
    <n v="56"/>
    <n v="1000000"/>
    <x v="0"/>
    <m/>
    <m/>
    <n v="45"/>
    <n v="65"/>
    <n v="40"/>
    <n v="30"/>
    <n v="40"/>
    <n v="60"/>
    <n v="280"/>
    <n v="0"/>
    <n v="1"/>
    <n v="0"/>
    <n v="0"/>
    <n v="0"/>
    <n v="0"/>
  </r>
  <r>
    <s v="Lycanroc"/>
    <x v="902"/>
    <n v="745"/>
    <s v="745_0"/>
    <x v="1"/>
    <n v="0.8"/>
    <n v="25"/>
    <x v="14"/>
    <m/>
    <s v="Keen Eye"/>
    <s v="Sand Rush"/>
    <s v="Steadfast"/>
    <s v="Brown"/>
    <n v="50"/>
    <n v="50"/>
    <n v="0"/>
    <n v="15"/>
    <s v="Ground"/>
    <m/>
    <n v="90"/>
    <n v="170"/>
    <n v="1000000"/>
    <x v="0"/>
    <m/>
    <m/>
    <n v="75"/>
    <n v="115"/>
    <n v="65"/>
    <n v="55"/>
    <n v="65"/>
    <n v="112"/>
    <n v="487"/>
    <n v="0"/>
    <n v="2"/>
    <n v="0"/>
    <n v="0"/>
    <n v="0"/>
    <n v="0"/>
  </r>
  <r>
    <s v="Lycanroc"/>
    <x v="903"/>
    <n v="745"/>
    <s v="745_1"/>
    <x v="1"/>
    <n v="1.1000000000000001"/>
    <n v="25"/>
    <x v="14"/>
    <m/>
    <s v="Keen Eye"/>
    <s v="Vital Spirit"/>
    <s v="No Guard"/>
    <s v="Red"/>
    <n v="50"/>
    <n v="50"/>
    <n v="0"/>
    <n v="15"/>
    <s v="Ground"/>
    <m/>
    <n v="90"/>
    <n v="170"/>
    <n v="1000000"/>
    <x v="0"/>
    <m/>
    <m/>
    <n v="85"/>
    <n v="115"/>
    <n v="75"/>
    <n v="55"/>
    <n v="75"/>
    <n v="82"/>
    <n v="487"/>
    <n v="0"/>
    <n v="2"/>
    <n v="0"/>
    <n v="0"/>
    <n v="0"/>
    <n v="0"/>
  </r>
  <r>
    <s v="Lycanroc"/>
    <x v="904"/>
    <n v="745"/>
    <s v="745_2"/>
    <x v="1"/>
    <n v="0.8"/>
    <n v="25"/>
    <x v="14"/>
    <m/>
    <s v="Tough Claws"/>
    <m/>
    <m/>
    <s v="Brown"/>
    <n v="50"/>
    <n v="50"/>
    <n v="0"/>
    <n v="15"/>
    <s v="Ground"/>
    <m/>
    <n v="90"/>
    <n v="170"/>
    <n v="1000000"/>
    <x v="0"/>
    <m/>
    <m/>
    <n v="75"/>
    <n v="117"/>
    <n v="65"/>
    <n v="55"/>
    <n v="65"/>
    <n v="110"/>
    <n v="487"/>
    <n v="0"/>
    <n v="2"/>
    <n v="0"/>
    <n v="0"/>
    <n v="0"/>
    <n v="0"/>
  </r>
  <r>
    <s v="Wishiwashi"/>
    <x v="905"/>
    <n v="746"/>
    <s v="746_0"/>
    <x v="1"/>
    <n v="0.2"/>
    <n v="0.3"/>
    <x v="2"/>
    <m/>
    <s v="Schooling"/>
    <m/>
    <m/>
    <s v="Blue"/>
    <n v="50"/>
    <n v="50"/>
    <n v="0"/>
    <n v="15"/>
    <s v="Water2"/>
    <m/>
    <n v="60"/>
    <n v="61"/>
    <n v="800000"/>
    <x v="0"/>
    <m/>
    <m/>
    <n v="45"/>
    <n v="20"/>
    <n v="20"/>
    <n v="25"/>
    <n v="25"/>
    <n v="40"/>
    <n v="175"/>
    <n v="1"/>
    <n v="0"/>
    <n v="0"/>
    <n v="0"/>
    <n v="0"/>
    <n v="0"/>
  </r>
  <r>
    <s v="Wishiwashi"/>
    <x v="906"/>
    <n v="746"/>
    <s v="746_1"/>
    <x v="1"/>
    <n v="8.1999999999999993"/>
    <n v="78.599999999999994"/>
    <x v="2"/>
    <m/>
    <s v="Schooling"/>
    <m/>
    <m/>
    <s v="Blue"/>
    <n v="50"/>
    <n v="50"/>
    <n v="0"/>
    <n v="15"/>
    <s v="Water2"/>
    <m/>
    <n v="60"/>
    <n v="217"/>
    <n v="800000"/>
    <x v="0"/>
    <m/>
    <m/>
    <n v="45"/>
    <n v="140"/>
    <n v="130"/>
    <n v="140"/>
    <n v="135"/>
    <n v="30"/>
    <n v="620"/>
    <n v="1"/>
    <n v="0"/>
    <n v="0"/>
    <n v="0"/>
    <n v="0"/>
    <n v="0"/>
  </r>
  <r>
    <s v="Mareanie"/>
    <x v="907"/>
    <n v="747"/>
    <s v="747_0"/>
    <x v="1"/>
    <n v="0.4"/>
    <n v="8"/>
    <x v="6"/>
    <s v="Water"/>
    <s v="Merciless"/>
    <s v="Limber"/>
    <s v="Regenerator"/>
    <s v="Blue"/>
    <n v="50"/>
    <n v="50"/>
    <n v="0"/>
    <n v="20"/>
    <s v="Water1"/>
    <m/>
    <n v="190"/>
    <n v="61"/>
    <n v="1000000"/>
    <x v="0"/>
    <m/>
    <m/>
    <n v="50"/>
    <n v="53"/>
    <n v="62"/>
    <n v="43"/>
    <n v="52"/>
    <n v="45"/>
    <n v="305"/>
    <n v="0"/>
    <n v="0"/>
    <n v="1"/>
    <n v="0"/>
    <n v="0"/>
    <n v="0"/>
  </r>
  <r>
    <s v="Toxapex"/>
    <x v="908"/>
    <n v="748"/>
    <s v="748_0"/>
    <x v="1"/>
    <n v="0.7"/>
    <n v="14.5"/>
    <x v="6"/>
    <s v="Water"/>
    <s v="Merciless"/>
    <s v="Limber"/>
    <s v="Regenerator"/>
    <s v="Blue"/>
    <n v="50"/>
    <n v="50"/>
    <n v="0"/>
    <n v="20"/>
    <s v="Water1"/>
    <m/>
    <n v="75"/>
    <n v="173"/>
    <n v="1000000"/>
    <x v="0"/>
    <m/>
    <m/>
    <n v="50"/>
    <n v="63"/>
    <n v="152"/>
    <n v="53"/>
    <n v="142"/>
    <n v="35"/>
    <n v="495"/>
    <n v="0"/>
    <n v="0"/>
    <n v="2"/>
    <n v="0"/>
    <n v="0"/>
    <n v="0"/>
  </r>
  <r>
    <s v="Mudbray"/>
    <x v="909"/>
    <n v="749"/>
    <s v="749_0"/>
    <x v="1"/>
    <n v="1"/>
    <n v="110"/>
    <x v="8"/>
    <m/>
    <s v="Own Tempo"/>
    <s v="Stamina"/>
    <s v="Inner Focus"/>
    <s v="Brown"/>
    <n v="50"/>
    <n v="50"/>
    <n v="0"/>
    <n v="20"/>
    <s v="Ground"/>
    <m/>
    <n v="190"/>
    <n v="77"/>
    <n v="1000000"/>
    <x v="0"/>
    <m/>
    <m/>
    <n v="70"/>
    <n v="100"/>
    <n v="70"/>
    <n v="45"/>
    <n v="55"/>
    <n v="45"/>
    <n v="385"/>
    <n v="0"/>
    <n v="1"/>
    <n v="0"/>
    <n v="0"/>
    <n v="0"/>
    <n v="0"/>
  </r>
  <r>
    <s v="Mudsdale"/>
    <x v="910"/>
    <n v="750"/>
    <s v="750_0"/>
    <x v="1"/>
    <n v="2.5"/>
    <n v="920"/>
    <x v="8"/>
    <m/>
    <s v="Own Tempo"/>
    <s v="Stamina"/>
    <s v="Inner Focus"/>
    <s v="Brown"/>
    <n v="50"/>
    <n v="50"/>
    <n v="0"/>
    <n v="20"/>
    <s v="Ground"/>
    <m/>
    <n v="60"/>
    <n v="175"/>
    <n v="1000000"/>
    <x v="0"/>
    <m/>
    <m/>
    <n v="100"/>
    <n v="125"/>
    <n v="100"/>
    <n v="55"/>
    <n v="85"/>
    <n v="35"/>
    <n v="500"/>
    <n v="0"/>
    <n v="2"/>
    <n v="0"/>
    <n v="0"/>
    <n v="0"/>
    <n v="0"/>
  </r>
  <r>
    <s v="Dewpider"/>
    <x v="911"/>
    <n v="751"/>
    <s v="751_0"/>
    <x v="1"/>
    <n v="0.3"/>
    <n v="4"/>
    <x v="2"/>
    <s v="Bug"/>
    <s v="Water Bubble"/>
    <m/>
    <s v="Water Absorb"/>
    <s v="Green"/>
    <n v="50"/>
    <n v="50"/>
    <n v="0"/>
    <n v="15"/>
    <s v="Water1"/>
    <s v="Bug"/>
    <n v="200"/>
    <n v="54"/>
    <n v="1000000"/>
    <x v="0"/>
    <m/>
    <m/>
    <n v="38"/>
    <n v="40"/>
    <n v="52"/>
    <n v="40"/>
    <n v="72"/>
    <n v="27"/>
    <n v="269"/>
    <n v="0"/>
    <n v="0"/>
    <n v="0"/>
    <n v="0"/>
    <n v="1"/>
    <n v="0"/>
  </r>
  <r>
    <s v="Araquanid"/>
    <x v="912"/>
    <n v="752"/>
    <s v="752_0"/>
    <x v="1"/>
    <n v="1.8"/>
    <n v="82"/>
    <x v="2"/>
    <s v="Bug"/>
    <s v="Water Bubble"/>
    <m/>
    <s v="Water Absorb"/>
    <s v="Green"/>
    <n v="50"/>
    <n v="50"/>
    <n v="0"/>
    <n v="15"/>
    <s v="Water1"/>
    <s v="Bug"/>
    <n v="100"/>
    <n v="159"/>
    <n v="1000000"/>
    <x v="0"/>
    <m/>
    <m/>
    <n v="68"/>
    <n v="70"/>
    <n v="92"/>
    <n v="50"/>
    <n v="132"/>
    <n v="42"/>
    <n v="454"/>
    <n v="0"/>
    <n v="0"/>
    <n v="0"/>
    <n v="0"/>
    <n v="2"/>
    <n v="0"/>
  </r>
  <r>
    <s v="Fomantis"/>
    <x v="913"/>
    <n v="753"/>
    <s v="753_0"/>
    <x v="1"/>
    <n v="0.3"/>
    <n v="1.5"/>
    <x v="0"/>
    <m/>
    <s v="Leaf Guard"/>
    <m/>
    <s v="Contrary"/>
    <s v="Pink"/>
    <n v="50"/>
    <n v="50"/>
    <n v="0"/>
    <n v="20"/>
    <s v="Grass"/>
    <m/>
    <n v="190"/>
    <n v="50"/>
    <n v="1000000"/>
    <x v="0"/>
    <m/>
    <m/>
    <n v="40"/>
    <n v="55"/>
    <n v="35"/>
    <n v="50"/>
    <n v="35"/>
    <n v="35"/>
    <n v="250"/>
    <n v="0"/>
    <n v="1"/>
    <n v="0"/>
    <n v="0"/>
    <n v="0"/>
    <n v="0"/>
  </r>
  <r>
    <s v="Lurantis"/>
    <x v="914"/>
    <n v="754"/>
    <s v="754_0"/>
    <x v="1"/>
    <n v="0.9"/>
    <n v="18.5"/>
    <x v="0"/>
    <m/>
    <s v="Leaf Guard"/>
    <m/>
    <s v="Contrary"/>
    <s v="Pink"/>
    <n v="50"/>
    <n v="50"/>
    <n v="0"/>
    <n v="20"/>
    <s v="Grass"/>
    <m/>
    <n v="75"/>
    <n v="168"/>
    <n v="1000000"/>
    <x v="0"/>
    <m/>
    <m/>
    <n v="70"/>
    <n v="105"/>
    <n v="90"/>
    <n v="80"/>
    <n v="90"/>
    <n v="45"/>
    <n v="480"/>
    <n v="0"/>
    <n v="2"/>
    <n v="0"/>
    <n v="0"/>
    <n v="0"/>
    <n v="0"/>
  </r>
  <r>
    <s v="Morelull"/>
    <x v="915"/>
    <n v="755"/>
    <s v="755_0"/>
    <x v="1"/>
    <n v="0.2"/>
    <n v="1.5"/>
    <x v="0"/>
    <s v="Fairy"/>
    <s v="Illuminate"/>
    <s v="Effect Spore"/>
    <s v="Rain Dish"/>
    <s v="Purple"/>
    <n v="50"/>
    <n v="50"/>
    <n v="0"/>
    <n v="20"/>
    <s v="Grass"/>
    <m/>
    <n v="190"/>
    <n v="57"/>
    <n v="1000000"/>
    <x v="0"/>
    <m/>
    <m/>
    <n v="40"/>
    <n v="35"/>
    <n v="55"/>
    <n v="65"/>
    <n v="75"/>
    <n v="15"/>
    <n v="285"/>
    <n v="0"/>
    <n v="0"/>
    <n v="0"/>
    <n v="0"/>
    <n v="1"/>
    <n v="0"/>
  </r>
  <r>
    <s v="Shiinotic"/>
    <x v="916"/>
    <n v="756"/>
    <s v="756_0"/>
    <x v="1"/>
    <n v="1"/>
    <n v="11.5"/>
    <x v="0"/>
    <s v="Fairy"/>
    <s v="Illuminate"/>
    <s v="Effect Spore"/>
    <s v="Rain Dish"/>
    <s v="Purple"/>
    <n v="50"/>
    <n v="50"/>
    <n v="0"/>
    <n v="20"/>
    <s v="Grass"/>
    <m/>
    <n v="75"/>
    <n v="142"/>
    <n v="1000000"/>
    <x v="0"/>
    <m/>
    <m/>
    <n v="60"/>
    <n v="45"/>
    <n v="80"/>
    <n v="90"/>
    <n v="100"/>
    <n v="30"/>
    <n v="405"/>
    <n v="0"/>
    <n v="0"/>
    <n v="0"/>
    <n v="0"/>
    <n v="2"/>
    <n v="0"/>
  </r>
  <r>
    <s v="Salandit"/>
    <x v="917"/>
    <n v="757"/>
    <s v="757_0"/>
    <x v="1"/>
    <n v="0.6"/>
    <n v="4.8"/>
    <x v="6"/>
    <s v="Fire"/>
    <s v="Corrosion"/>
    <m/>
    <s v="Oblivious"/>
    <s v="Black"/>
    <n v="87.5"/>
    <n v="12.5"/>
    <n v="0"/>
    <n v="20"/>
    <s v="Monster"/>
    <s v="Dragon"/>
    <n v="120"/>
    <n v="64"/>
    <n v="1000000"/>
    <x v="0"/>
    <m/>
    <m/>
    <n v="48"/>
    <n v="44"/>
    <n v="40"/>
    <n v="71"/>
    <n v="40"/>
    <n v="77"/>
    <n v="320"/>
    <n v="0"/>
    <n v="0"/>
    <n v="0"/>
    <n v="0"/>
    <n v="0"/>
    <n v="1"/>
  </r>
  <r>
    <s v="Salazzle"/>
    <x v="918"/>
    <n v="758"/>
    <s v="758_0"/>
    <x v="1"/>
    <n v="1.2"/>
    <n v="22.2"/>
    <x v="6"/>
    <s v="Fire"/>
    <s v="Corrosion"/>
    <m/>
    <s v="Oblivious"/>
    <s v="Black"/>
    <n v="0"/>
    <n v="100"/>
    <n v="0"/>
    <n v="20"/>
    <s v="Monster"/>
    <s v="Dragon"/>
    <n v="45"/>
    <n v="168"/>
    <n v="1000000"/>
    <x v="0"/>
    <m/>
    <m/>
    <n v="68"/>
    <n v="64"/>
    <n v="60"/>
    <n v="111"/>
    <n v="60"/>
    <n v="117"/>
    <n v="480"/>
    <n v="0"/>
    <n v="0"/>
    <n v="0"/>
    <n v="0"/>
    <n v="0"/>
    <n v="2"/>
  </r>
  <r>
    <s v="Stufful"/>
    <x v="919"/>
    <n v="759"/>
    <s v="759_0"/>
    <x v="1"/>
    <n v="0.5"/>
    <n v="6.8"/>
    <x v="4"/>
    <s v="Fighting"/>
    <s v="Fluffy"/>
    <s v="Klutz"/>
    <s v="Cute Charm"/>
    <s v="Pink"/>
    <n v="50"/>
    <n v="50"/>
    <n v="0"/>
    <n v="15"/>
    <s v="Ground"/>
    <m/>
    <n v="140"/>
    <n v="68"/>
    <n v="1000000"/>
    <x v="0"/>
    <m/>
    <m/>
    <n v="70"/>
    <n v="75"/>
    <n v="50"/>
    <n v="45"/>
    <n v="50"/>
    <n v="50"/>
    <n v="340"/>
    <n v="0"/>
    <n v="1"/>
    <n v="0"/>
    <n v="0"/>
    <n v="0"/>
    <n v="0"/>
  </r>
  <r>
    <s v="Bewear"/>
    <x v="920"/>
    <n v="760"/>
    <s v="760_0"/>
    <x v="1"/>
    <n v="2.1"/>
    <n v="135"/>
    <x v="4"/>
    <s v="Fighting"/>
    <s v="Fluffy"/>
    <s v="Klutz"/>
    <s v="Unnerve"/>
    <s v="Pink"/>
    <n v="50"/>
    <n v="50"/>
    <n v="0"/>
    <n v="15"/>
    <s v="Ground"/>
    <m/>
    <n v="70"/>
    <n v="175"/>
    <n v="1000000"/>
    <x v="0"/>
    <m/>
    <m/>
    <n v="120"/>
    <n v="125"/>
    <n v="80"/>
    <n v="55"/>
    <n v="60"/>
    <n v="60"/>
    <n v="500"/>
    <n v="0"/>
    <n v="2"/>
    <n v="0"/>
    <n v="0"/>
    <n v="0"/>
    <n v="0"/>
  </r>
  <r>
    <s v="Bounsweet"/>
    <x v="921"/>
    <n v="761"/>
    <s v="761_0"/>
    <x v="1"/>
    <n v="0.3"/>
    <n v="3.2"/>
    <x v="0"/>
    <m/>
    <s v="Leaf Guard"/>
    <s v="Oblivious"/>
    <s v="Sweet Veil"/>
    <s v="Purple"/>
    <n v="0"/>
    <n v="100"/>
    <n v="0"/>
    <n v="20"/>
    <s v="Grass"/>
    <m/>
    <n v="235"/>
    <n v="42"/>
    <n v="1059860"/>
    <x v="0"/>
    <m/>
    <m/>
    <n v="42"/>
    <n v="30"/>
    <n v="38"/>
    <n v="30"/>
    <n v="38"/>
    <n v="32"/>
    <n v="210"/>
    <n v="1"/>
    <n v="0"/>
    <n v="0"/>
    <n v="0"/>
    <n v="0"/>
    <n v="0"/>
  </r>
  <r>
    <s v="Steenee"/>
    <x v="922"/>
    <n v="762"/>
    <s v="762_0"/>
    <x v="1"/>
    <n v="0.7"/>
    <n v="8.1999999999999993"/>
    <x v="0"/>
    <m/>
    <s v="Leaf Guard"/>
    <s v="Oblivious"/>
    <s v="Sweet Veil"/>
    <s v="Purple"/>
    <n v="0"/>
    <n v="100"/>
    <n v="0"/>
    <n v="20"/>
    <s v="Grass"/>
    <m/>
    <n v="120"/>
    <n v="102"/>
    <n v="1059860"/>
    <x v="0"/>
    <m/>
    <m/>
    <n v="52"/>
    <n v="40"/>
    <n v="48"/>
    <n v="40"/>
    <n v="48"/>
    <n v="62"/>
    <n v="290"/>
    <n v="0"/>
    <n v="0"/>
    <n v="0"/>
    <n v="0"/>
    <n v="0"/>
    <n v="2"/>
  </r>
  <r>
    <s v="Tsareena"/>
    <x v="923"/>
    <n v="763"/>
    <s v="763_0"/>
    <x v="1"/>
    <n v="1.2"/>
    <n v="21.4"/>
    <x v="0"/>
    <m/>
    <s v="Leaf Guard"/>
    <s v="Queenly Majesty"/>
    <s v="Sweet Veil"/>
    <s v="Purple"/>
    <n v="0"/>
    <n v="100"/>
    <n v="0"/>
    <n v="20"/>
    <s v="Grass"/>
    <m/>
    <n v="45"/>
    <n v="255"/>
    <n v="1059860"/>
    <x v="0"/>
    <m/>
    <m/>
    <n v="72"/>
    <n v="120"/>
    <n v="98"/>
    <n v="50"/>
    <n v="98"/>
    <n v="72"/>
    <n v="510"/>
    <n v="0"/>
    <n v="3"/>
    <n v="0"/>
    <n v="0"/>
    <n v="0"/>
    <n v="0"/>
  </r>
  <r>
    <s v="Comfey"/>
    <x v="924"/>
    <n v="764"/>
    <s v="764_0"/>
    <x v="1"/>
    <n v="0.1"/>
    <n v="0.3"/>
    <x v="10"/>
    <m/>
    <s v="Flower Veil"/>
    <s v="Triage"/>
    <s v="Natural Cure"/>
    <s v="Green"/>
    <n v="25"/>
    <n v="75"/>
    <n v="0"/>
    <n v="20"/>
    <s v="Grass"/>
    <m/>
    <n v="60"/>
    <n v="170"/>
    <n v="800000"/>
    <x v="0"/>
    <m/>
    <m/>
    <n v="51"/>
    <n v="52"/>
    <n v="90"/>
    <n v="82"/>
    <n v="110"/>
    <n v="100"/>
    <n v="485"/>
    <n v="0"/>
    <n v="0"/>
    <n v="0"/>
    <n v="0"/>
    <n v="2"/>
    <n v="0"/>
  </r>
  <r>
    <s v="Oranguru"/>
    <x v="925"/>
    <n v="765"/>
    <s v="765_0"/>
    <x v="1"/>
    <n v="1.5"/>
    <n v="76"/>
    <x v="4"/>
    <s v="Psychic"/>
    <s v="Inner Focus"/>
    <s v="Telepathy"/>
    <s v="Symbiosis"/>
    <s v="White"/>
    <n v="50"/>
    <n v="50"/>
    <n v="0"/>
    <n v="20"/>
    <s v="Ground"/>
    <m/>
    <n v="45"/>
    <n v="172"/>
    <n v="1250000"/>
    <x v="0"/>
    <m/>
    <m/>
    <n v="90"/>
    <n v="60"/>
    <n v="80"/>
    <n v="90"/>
    <n v="110"/>
    <n v="60"/>
    <n v="490"/>
    <n v="0"/>
    <n v="0"/>
    <n v="0"/>
    <n v="0"/>
    <n v="2"/>
    <n v="0"/>
  </r>
  <r>
    <s v="Passimian"/>
    <x v="926"/>
    <n v="766"/>
    <s v="766_0"/>
    <x v="1"/>
    <n v="2"/>
    <n v="82.8"/>
    <x v="12"/>
    <m/>
    <s v="Receiver"/>
    <m/>
    <s v="Defiant"/>
    <s v="White"/>
    <n v="50"/>
    <n v="50"/>
    <n v="0"/>
    <n v="20"/>
    <s v="Ground"/>
    <m/>
    <n v="45"/>
    <n v="172"/>
    <n v="1250000"/>
    <x v="0"/>
    <m/>
    <m/>
    <n v="100"/>
    <n v="120"/>
    <n v="90"/>
    <n v="40"/>
    <n v="60"/>
    <n v="80"/>
    <n v="490"/>
    <n v="0"/>
    <n v="2"/>
    <n v="0"/>
    <n v="0"/>
    <n v="0"/>
    <n v="0"/>
  </r>
  <r>
    <s v="Wimpod"/>
    <x v="927"/>
    <n v="767"/>
    <s v="767_0"/>
    <x v="1"/>
    <n v="0.5"/>
    <n v="12"/>
    <x v="3"/>
    <s v="Water"/>
    <s v="Wimp Out"/>
    <m/>
    <m/>
    <s v="Gray"/>
    <n v="50"/>
    <n v="50"/>
    <n v="0"/>
    <n v="20"/>
    <s v="Bug"/>
    <s v="Water3"/>
    <n v="90"/>
    <n v="46"/>
    <n v="1000000"/>
    <x v="0"/>
    <m/>
    <m/>
    <n v="25"/>
    <n v="35"/>
    <n v="40"/>
    <n v="20"/>
    <n v="30"/>
    <n v="80"/>
    <n v="230"/>
    <n v="0"/>
    <n v="0"/>
    <n v="0"/>
    <n v="0"/>
    <n v="0"/>
    <n v="1"/>
  </r>
  <r>
    <s v="Golisopod"/>
    <x v="928"/>
    <n v="768"/>
    <s v="768_0"/>
    <x v="1"/>
    <n v="2"/>
    <n v="108"/>
    <x v="3"/>
    <s v="Water"/>
    <s v="Emergency Exit"/>
    <m/>
    <m/>
    <s v="Gray"/>
    <n v="50"/>
    <n v="50"/>
    <n v="0"/>
    <n v="20"/>
    <s v="Bug"/>
    <s v="Water3"/>
    <n v="45"/>
    <n v="186"/>
    <n v="1000000"/>
    <x v="0"/>
    <m/>
    <m/>
    <n v="75"/>
    <n v="125"/>
    <n v="140"/>
    <n v="60"/>
    <n v="90"/>
    <n v="40"/>
    <n v="530"/>
    <n v="0"/>
    <n v="0"/>
    <n v="2"/>
    <n v="0"/>
    <n v="0"/>
    <n v="0"/>
  </r>
  <r>
    <s v="Sandygast"/>
    <x v="929"/>
    <n v="769"/>
    <s v="769_0"/>
    <x v="1"/>
    <n v="0.5"/>
    <n v="70"/>
    <x v="15"/>
    <s v="Ground"/>
    <s v="Water Compaction"/>
    <m/>
    <s v="Sand Veil"/>
    <s v="Brown"/>
    <n v="50"/>
    <n v="50"/>
    <n v="0"/>
    <n v="15"/>
    <s v="Amorphous"/>
    <m/>
    <n v="140"/>
    <n v="64"/>
    <n v="1000000"/>
    <x v="0"/>
    <m/>
    <m/>
    <n v="55"/>
    <n v="55"/>
    <n v="80"/>
    <n v="70"/>
    <n v="45"/>
    <n v="15"/>
    <n v="320"/>
    <n v="0"/>
    <n v="0"/>
    <n v="1"/>
    <n v="0"/>
    <n v="0"/>
    <n v="0"/>
  </r>
  <r>
    <s v="Palossand"/>
    <x v="930"/>
    <n v="770"/>
    <s v="770_0"/>
    <x v="1"/>
    <n v="1.3"/>
    <n v="250"/>
    <x v="15"/>
    <s v="Ground"/>
    <s v="Water Compaction"/>
    <m/>
    <s v="Sand Veil"/>
    <s v="Brown"/>
    <n v="50"/>
    <n v="50"/>
    <n v="0"/>
    <n v="15"/>
    <s v="Amorphous"/>
    <m/>
    <n v="60"/>
    <n v="168"/>
    <n v="1000000"/>
    <x v="0"/>
    <m/>
    <m/>
    <n v="85"/>
    <n v="75"/>
    <n v="110"/>
    <n v="100"/>
    <n v="75"/>
    <n v="35"/>
    <n v="480"/>
    <n v="0"/>
    <n v="0"/>
    <n v="2"/>
    <n v="0"/>
    <n v="0"/>
    <n v="0"/>
  </r>
  <r>
    <s v="Pyukumuku"/>
    <x v="931"/>
    <n v="771"/>
    <s v="771_0"/>
    <x v="1"/>
    <n v="0.3"/>
    <n v="1.2"/>
    <x v="2"/>
    <m/>
    <s v="Innards Out"/>
    <m/>
    <s v="Unaware"/>
    <s v="Black"/>
    <n v="50"/>
    <n v="50"/>
    <n v="0"/>
    <n v="15"/>
    <s v="Water1"/>
    <m/>
    <n v="60"/>
    <n v="144"/>
    <n v="800000"/>
    <x v="0"/>
    <m/>
    <m/>
    <n v="55"/>
    <n v="60"/>
    <n v="130"/>
    <n v="30"/>
    <n v="130"/>
    <n v="5"/>
    <n v="410"/>
    <n v="0"/>
    <n v="0"/>
    <n v="0"/>
    <n v="0"/>
    <n v="2"/>
    <n v="0"/>
  </r>
  <r>
    <s v="Type: Null"/>
    <x v="932"/>
    <n v="772"/>
    <s v="772_0"/>
    <x v="1"/>
    <n v="1.9"/>
    <n v="120.5"/>
    <x v="4"/>
    <m/>
    <s v="Battle Armor"/>
    <m/>
    <m/>
    <s v="Gray"/>
    <n v="0"/>
    <n v="0"/>
    <n v="100"/>
    <n v="120"/>
    <s v="Undiscovered"/>
    <m/>
    <n v="3"/>
    <n v="107"/>
    <n v="1250000"/>
    <x v="1"/>
    <m/>
    <m/>
    <n v="95"/>
    <n v="95"/>
    <n v="95"/>
    <n v="95"/>
    <n v="95"/>
    <n v="59"/>
    <n v="534"/>
    <n v="2"/>
    <n v="0"/>
    <n v="0"/>
    <n v="0"/>
    <n v="0"/>
    <n v="0"/>
  </r>
  <r>
    <s v="Silvally"/>
    <x v="933"/>
    <n v="773"/>
    <s v="773_0"/>
    <x v="1"/>
    <n v="2.2999999999999998"/>
    <n v="100.5"/>
    <x v="4"/>
    <m/>
    <s v="RKS System"/>
    <m/>
    <m/>
    <s v="Gray"/>
    <n v="0"/>
    <n v="0"/>
    <n v="100"/>
    <n v="120"/>
    <s v="Undiscovered"/>
    <m/>
    <n v="3"/>
    <n v="285"/>
    <n v="1250000"/>
    <x v="1"/>
    <m/>
    <m/>
    <n v="95"/>
    <n v="95"/>
    <n v="95"/>
    <n v="95"/>
    <n v="95"/>
    <n v="95"/>
    <n v="570"/>
    <n v="3"/>
    <n v="0"/>
    <n v="0"/>
    <n v="0"/>
    <n v="0"/>
    <n v="0"/>
  </r>
  <r>
    <s v="Minior"/>
    <x v="934"/>
    <n v="774"/>
    <s v="774_0"/>
    <x v="1"/>
    <n v="0.3"/>
    <n v="40"/>
    <x v="14"/>
    <s v="Flying"/>
    <s v="Shields Down"/>
    <m/>
    <m/>
    <s v="Brown"/>
    <n v="0"/>
    <n v="0"/>
    <n v="100"/>
    <n v="25"/>
    <s v="Mineral"/>
    <m/>
    <n v="30"/>
    <n v="154"/>
    <n v="1059860"/>
    <x v="0"/>
    <m/>
    <m/>
    <n v="60"/>
    <n v="60"/>
    <n v="100"/>
    <n v="60"/>
    <n v="100"/>
    <n v="60"/>
    <n v="440"/>
    <n v="0"/>
    <n v="0"/>
    <n v="1"/>
    <n v="0"/>
    <n v="1"/>
    <n v="0"/>
  </r>
  <r>
    <s v="Minior"/>
    <x v="935"/>
    <n v="774"/>
    <s v="774_1"/>
    <x v="1"/>
    <n v="0.3"/>
    <n v="0.3"/>
    <x v="14"/>
    <s v="Flying"/>
    <s v="Shields Down"/>
    <m/>
    <m/>
    <s v="Red"/>
    <n v="0"/>
    <n v="0"/>
    <n v="100"/>
    <n v="25"/>
    <s v="Mineral"/>
    <m/>
    <n v="255"/>
    <n v="175"/>
    <n v="1059860"/>
    <x v="0"/>
    <m/>
    <m/>
    <n v="60"/>
    <n v="100"/>
    <n v="60"/>
    <n v="100"/>
    <n v="60"/>
    <n v="120"/>
    <n v="500"/>
    <n v="0"/>
    <n v="1"/>
    <n v="0"/>
    <n v="1"/>
    <n v="0"/>
    <n v="0"/>
  </r>
  <r>
    <s v="Minior"/>
    <x v="936"/>
    <n v="774"/>
    <s v="774_2"/>
    <x v="1"/>
    <n v="0.3"/>
    <n v="0.3"/>
    <x v="14"/>
    <s v="Flying"/>
    <s v="Shields Down"/>
    <m/>
    <m/>
    <s v="Red"/>
    <n v="0"/>
    <n v="0"/>
    <n v="100"/>
    <n v="25"/>
    <s v="Mineral"/>
    <m/>
    <n v="255"/>
    <n v="175"/>
    <n v="1059860"/>
    <x v="0"/>
    <m/>
    <m/>
    <n v="60"/>
    <n v="100"/>
    <n v="60"/>
    <n v="100"/>
    <n v="60"/>
    <n v="120"/>
    <n v="500"/>
    <n v="0"/>
    <n v="1"/>
    <n v="0"/>
    <n v="1"/>
    <n v="0"/>
    <n v="0"/>
  </r>
  <r>
    <s v="Minior"/>
    <x v="937"/>
    <n v="774"/>
    <s v="774_3"/>
    <x v="1"/>
    <n v="0.3"/>
    <n v="0.3"/>
    <x v="14"/>
    <s v="Flying"/>
    <s v="Shields Down"/>
    <m/>
    <m/>
    <s v="Yellow"/>
    <n v="0"/>
    <n v="0"/>
    <n v="100"/>
    <n v="25"/>
    <s v="Mineral"/>
    <m/>
    <n v="255"/>
    <n v="175"/>
    <n v="1059860"/>
    <x v="0"/>
    <m/>
    <m/>
    <n v="60"/>
    <n v="100"/>
    <n v="60"/>
    <n v="100"/>
    <n v="60"/>
    <n v="120"/>
    <n v="500"/>
    <n v="0"/>
    <n v="1"/>
    <n v="0"/>
    <n v="1"/>
    <n v="0"/>
    <n v="0"/>
  </r>
  <r>
    <s v="Minior"/>
    <x v="938"/>
    <n v="774"/>
    <s v="774_4"/>
    <x v="1"/>
    <n v="0.3"/>
    <n v="0.3"/>
    <x v="14"/>
    <s v="Flying"/>
    <s v="Shields Down"/>
    <m/>
    <m/>
    <s v="Green"/>
    <n v="0"/>
    <n v="0"/>
    <n v="100"/>
    <n v="25"/>
    <s v="Mineral"/>
    <m/>
    <n v="255"/>
    <n v="175"/>
    <n v="1059860"/>
    <x v="0"/>
    <m/>
    <m/>
    <n v="60"/>
    <n v="100"/>
    <n v="60"/>
    <n v="100"/>
    <n v="60"/>
    <n v="120"/>
    <n v="500"/>
    <n v="0"/>
    <n v="1"/>
    <n v="0"/>
    <n v="1"/>
    <n v="0"/>
    <n v="0"/>
  </r>
  <r>
    <s v="Minior"/>
    <x v="939"/>
    <n v="774"/>
    <s v="774_5"/>
    <x v="1"/>
    <n v="0.3"/>
    <n v="0.3"/>
    <x v="14"/>
    <s v="Flying"/>
    <s v="Shields Down"/>
    <m/>
    <m/>
    <s v="Blue"/>
    <n v="0"/>
    <n v="0"/>
    <n v="100"/>
    <n v="25"/>
    <s v="Mineral"/>
    <m/>
    <n v="255"/>
    <n v="175"/>
    <n v="1059860"/>
    <x v="0"/>
    <m/>
    <m/>
    <n v="60"/>
    <n v="100"/>
    <n v="60"/>
    <n v="100"/>
    <n v="60"/>
    <n v="120"/>
    <n v="500"/>
    <n v="0"/>
    <n v="1"/>
    <n v="0"/>
    <n v="1"/>
    <n v="0"/>
    <n v="0"/>
  </r>
  <r>
    <s v="Minior"/>
    <x v="940"/>
    <n v="774"/>
    <s v="774_6"/>
    <x v="1"/>
    <n v="0.3"/>
    <n v="0.3"/>
    <x v="14"/>
    <s v="Flying"/>
    <s v="Shields Down"/>
    <m/>
    <m/>
    <s v="Blue"/>
    <n v="0"/>
    <n v="0"/>
    <n v="100"/>
    <n v="25"/>
    <s v="Mineral"/>
    <m/>
    <n v="255"/>
    <n v="175"/>
    <n v="1059860"/>
    <x v="0"/>
    <m/>
    <m/>
    <n v="60"/>
    <n v="100"/>
    <n v="60"/>
    <n v="100"/>
    <n v="60"/>
    <n v="120"/>
    <n v="500"/>
    <n v="0"/>
    <n v="1"/>
    <n v="0"/>
    <n v="1"/>
    <n v="0"/>
    <n v="0"/>
  </r>
  <r>
    <s v="Minior"/>
    <x v="941"/>
    <n v="774"/>
    <s v="774_7"/>
    <x v="1"/>
    <n v="0.3"/>
    <n v="0.3"/>
    <x v="14"/>
    <s v="Flying"/>
    <s v="Shields Down"/>
    <m/>
    <m/>
    <s v="Purple"/>
    <n v="0"/>
    <n v="0"/>
    <n v="100"/>
    <n v="25"/>
    <s v="Mineral"/>
    <m/>
    <n v="255"/>
    <n v="175"/>
    <n v="1059860"/>
    <x v="0"/>
    <m/>
    <m/>
    <n v="60"/>
    <n v="100"/>
    <n v="60"/>
    <n v="100"/>
    <n v="60"/>
    <n v="120"/>
    <n v="500"/>
    <n v="0"/>
    <n v="1"/>
    <n v="0"/>
    <n v="1"/>
    <n v="0"/>
    <n v="0"/>
  </r>
  <r>
    <s v="Komala"/>
    <x v="942"/>
    <n v="775"/>
    <s v="775_0"/>
    <x v="1"/>
    <n v="0.4"/>
    <n v="19.899999999999999"/>
    <x v="4"/>
    <m/>
    <s v="Comatose"/>
    <m/>
    <m/>
    <s v="Blue"/>
    <n v="50"/>
    <n v="50"/>
    <n v="0"/>
    <n v="20"/>
    <s v="Ground"/>
    <m/>
    <n v="45"/>
    <n v="168"/>
    <n v="1250000"/>
    <x v="0"/>
    <m/>
    <m/>
    <n v="65"/>
    <n v="115"/>
    <n v="65"/>
    <n v="75"/>
    <n v="95"/>
    <n v="65"/>
    <n v="480"/>
    <n v="0"/>
    <n v="2"/>
    <n v="0"/>
    <n v="0"/>
    <n v="0"/>
    <n v="0"/>
  </r>
  <r>
    <s v="Turtonator"/>
    <x v="943"/>
    <n v="776"/>
    <s v="776_0"/>
    <x v="1"/>
    <n v="2"/>
    <n v="212"/>
    <x v="1"/>
    <s v="Dragon"/>
    <s v="Shell Armor"/>
    <m/>
    <m/>
    <s v="Red"/>
    <n v="50"/>
    <n v="50"/>
    <n v="0"/>
    <n v="20"/>
    <s v="Monster"/>
    <s v="Dragon"/>
    <n v="70"/>
    <n v="170"/>
    <n v="1000000"/>
    <x v="0"/>
    <m/>
    <m/>
    <n v="60"/>
    <n v="78"/>
    <n v="135"/>
    <n v="91"/>
    <n v="85"/>
    <n v="36"/>
    <n v="485"/>
    <n v="0"/>
    <n v="0"/>
    <n v="2"/>
    <n v="0"/>
    <n v="0"/>
    <n v="0"/>
  </r>
  <r>
    <s v="Togedemaru"/>
    <x v="944"/>
    <n v="777"/>
    <s v="777_0"/>
    <x v="1"/>
    <n v="0.3"/>
    <n v="3.3"/>
    <x v="7"/>
    <s v="Steel"/>
    <s v="Iron Barbs"/>
    <s v="Lightning Rod"/>
    <s v="Sturdy"/>
    <s v="Gray"/>
    <n v="50"/>
    <n v="50"/>
    <n v="0"/>
    <n v="10"/>
    <s v="Ground"/>
    <s v="Fairy"/>
    <n v="180"/>
    <n v="152"/>
    <n v="1000000"/>
    <x v="0"/>
    <m/>
    <m/>
    <n v="65"/>
    <n v="98"/>
    <n v="63"/>
    <n v="40"/>
    <n v="73"/>
    <n v="96"/>
    <n v="435"/>
    <n v="0"/>
    <n v="2"/>
    <n v="0"/>
    <n v="0"/>
    <n v="0"/>
    <n v="0"/>
  </r>
  <r>
    <s v="Mimikyu"/>
    <x v="945"/>
    <n v="778"/>
    <s v="778_0"/>
    <x v="1"/>
    <n v="0.2"/>
    <n v="0.7"/>
    <x v="15"/>
    <s v="Fairy"/>
    <s v="Disguise"/>
    <m/>
    <m/>
    <s v="Yellow"/>
    <n v="50"/>
    <n v="50"/>
    <n v="0"/>
    <n v="20"/>
    <s v="Amorphous"/>
    <m/>
    <n v="45"/>
    <n v="167"/>
    <n v="1000000"/>
    <x v="0"/>
    <m/>
    <m/>
    <n v="55"/>
    <n v="90"/>
    <n v="80"/>
    <n v="50"/>
    <n v="105"/>
    <n v="96"/>
    <n v="476"/>
    <n v="0"/>
    <n v="0"/>
    <n v="0"/>
    <n v="0"/>
    <n v="2"/>
    <n v="0"/>
  </r>
  <r>
    <s v="Bruxish"/>
    <x v="946"/>
    <n v="779"/>
    <s v="779_0"/>
    <x v="1"/>
    <n v="0.9"/>
    <n v="19"/>
    <x v="2"/>
    <s v="Psychic"/>
    <s v="Dazzling"/>
    <s v="Strong Jaw"/>
    <s v="Wonder Skin"/>
    <s v="Pink"/>
    <n v="50"/>
    <n v="50"/>
    <n v="0"/>
    <n v="15"/>
    <s v="Water2"/>
    <m/>
    <n v="80"/>
    <n v="166"/>
    <n v="1000000"/>
    <x v="0"/>
    <m/>
    <m/>
    <n v="68"/>
    <n v="105"/>
    <n v="70"/>
    <n v="70"/>
    <n v="70"/>
    <n v="92"/>
    <n v="475"/>
    <n v="0"/>
    <n v="2"/>
    <n v="0"/>
    <n v="0"/>
    <n v="0"/>
    <n v="0"/>
  </r>
  <r>
    <s v="Drampa"/>
    <x v="947"/>
    <n v="780"/>
    <s v="780_0"/>
    <x v="1"/>
    <n v="3"/>
    <n v="185"/>
    <x v="4"/>
    <s v="Dragon"/>
    <s v="Berserk"/>
    <s v="Sap Sipper"/>
    <s v="Cloud Nine"/>
    <s v="White"/>
    <n v="50"/>
    <n v="50"/>
    <n v="0"/>
    <n v="20"/>
    <s v="Monster"/>
    <s v="Dragon"/>
    <n v="70"/>
    <n v="170"/>
    <n v="1000000"/>
    <x v="0"/>
    <m/>
    <m/>
    <n v="78"/>
    <n v="60"/>
    <n v="85"/>
    <n v="135"/>
    <n v="91"/>
    <n v="36"/>
    <n v="485"/>
    <n v="0"/>
    <n v="0"/>
    <n v="0"/>
    <n v="2"/>
    <n v="0"/>
    <n v="0"/>
  </r>
  <r>
    <s v="Dhelmise"/>
    <x v="948"/>
    <n v="781"/>
    <s v="781_0"/>
    <x v="1"/>
    <n v="3.9"/>
    <n v="210"/>
    <x v="15"/>
    <s v="Grass"/>
    <s v="Steelworker"/>
    <m/>
    <m/>
    <s v="Green"/>
    <n v="0"/>
    <n v="0"/>
    <n v="100"/>
    <n v="25"/>
    <s v="Mineral"/>
    <m/>
    <n v="25"/>
    <n v="181"/>
    <n v="1000000"/>
    <x v="0"/>
    <m/>
    <m/>
    <n v="70"/>
    <n v="131"/>
    <n v="100"/>
    <n v="86"/>
    <n v="90"/>
    <n v="40"/>
    <n v="517"/>
    <n v="0"/>
    <n v="2"/>
    <n v="0"/>
    <n v="0"/>
    <n v="0"/>
    <n v="0"/>
  </r>
  <r>
    <s v="Jangmo-o"/>
    <x v="949"/>
    <n v="782"/>
    <s v="782_0"/>
    <x v="1"/>
    <n v="0.6"/>
    <n v="29.7"/>
    <x v="16"/>
    <m/>
    <s v="Bulletproof"/>
    <s v="Soundproof"/>
    <s v="Overcoat"/>
    <s v="Gray"/>
    <n v="50"/>
    <n v="50"/>
    <n v="0"/>
    <n v="40"/>
    <s v="Dragon"/>
    <m/>
    <n v="45"/>
    <n v="60"/>
    <n v="1250000"/>
    <x v="0"/>
    <m/>
    <m/>
    <n v="45"/>
    <n v="55"/>
    <n v="65"/>
    <n v="45"/>
    <n v="45"/>
    <n v="45"/>
    <n v="300"/>
    <n v="0"/>
    <n v="0"/>
    <n v="1"/>
    <n v="0"/>
    <n v="0"/>
    <n v="0"/>
  </r>
  <r>
    <s v="Hakamo-o"/>
    <x v="950"/>
    <n v="783"/>
    <s v="783_0"/>
    <x v="1"/>
    <n v="1.2"/>
    <n v="47"/>
    <x v="16"/>
    <s v="Fighting"/>
    <s v="Bulletproof"/>
    <s v="Soundproof"/>
    <s v="Overcoat"/>
    <s v="Gray"/>
    <n v="50"/>
    <n v="50"/>
    <n v="0"/>
    <n v="40"/>
    <s v="Dragon"/>
    <m/>
    <n v="45"/>
    <n v="147"/>
    <n v="1250000"/>
    <x v="0"/>
    <m/>
    <m/>
    <n v="55"/>
    <n v="75"/>
    <n v="90"/>
    <n v="65"/>
    <n v="70"/>
    <n v="65"/>
    <n v="420"/>
    <n v="0"/>
    <n v="0"/>
    <n v="2"/>
    <n v="0"/>
    <n v="0"/>
    <n v="0"/>
  </r>
  <r>
    <s v="Kommo-o"/>
    <x v="951"/>
    <n v="784"/>
    <s v="784_0"/>
    <x v="1"/>
    <n v="1.6"/>
    <n v="78.2"/>
    <x v="16"/>
    <s v="Fighting"/>
    <s v="Bulletproof"/>
    <s v="Soundproof"/>
    <s v="Overcoat"/>
    <s v="Gray"/>
    <n v="50"/>
    <n v="50"/>
    <n v="0"/>
    <n v="40"/>
    <s v="Dragon"/>
    <m/>
    <n v="45"/>
    <n v="300"/>
    <n v="1250000"/>
    <x v="0"/>
    <m/>
    <m/>
    <n v="75"/>
    <n v="110"/>
    <n v="125"/>
    <n v="100"/>
    <n v="105"/>
    <n v="85"/>
    <n v="600"/>
    <n v="0"/>
    <n v="0"/>
    <n v="3"/>
    <n v="0"/>
    <n v="0"/>
    <n v="0"/>
  </r>
  <r>
    <s v="Tapu Koko"/>
    <x v="952"/>
    <n v="785"/>
    <s v="785_0"/>
    <x v="1"/>
    <n v="1.8"/>
    <n v="20.5"/>
    <x v="7"/>
    <s v="Fairy"/>
    <s v="Electric Surge"/>
    <m/>
    <s v="Telepathy"/>
    <s v="Yellow"/>
    <n v="0"/>
    <n v="0"/>
    <n v="100"/>
    <n v="15"/>
    <s v="Undiscovered"/>
    <m/>
    <n v="3"/>
    <n v="285"/>
    <n v="1250000"/>
    <x v="1"/>
    <m/>
    <m/>
    <n v="70"/>
    <n v="115"/>
    <n v="85"/>
    <n v="95"/>
    <n v="75"/>
    <n v="130"/>
    <n v="570"/>
    <n v="0"/>
    <n v="0"/>
    <n v="0"/>
    <n v="0"/>
    <n v="0"/>
    <n v="3"/>
  </r>
  <r>
    <s v="Tapu Lele"/>
    <x v="953"/>
    <n v="786"/>
    <s v="786_0"/>
    <x v="1"/>
    <n v="1.2"/>
    <n v="18.600000000000001"/>
    <x v="13"/>
    <s v="Fairy"/>
    <s v="Psychic Surge"/>
    <m/>
    <s v="Telepathy"/>
    <s v="Pink"/>
    <n v="0"/>
    <n v="0"/>
    <n v="100"/>
    <n v="15"/>
    <s v="Undiscovered"/>
    <m/>
    <n v="3"/>
    <n v="285"/>
    <n v="1250000"/>
    <x v="1"/>
    <m/>
    <m/>
    <n v="70"/>
    <n v="85"/>
    <n v="75"/>
    <n v="130"/>
    <n v="115"/>
    <n v="95"/>
    <n v="570"/>
    <n v="0"/>
    <n v="0"/>
    <n v="0"/>
    <n v="3"/>
    <n v="0"/>
    <n v="0"/>
  </r>
  <r>
    <s v="Tapu Bulu"/>
    <x v="954"/>
    <n v="787"/>
    <s v="787_0"/>
    <x v="1"/>
    <n v="1.9"/>
    <n v="45.5"/>
    <x v="0"/>
    <s v="Fairy"/>
    <s v="Grassy Surge"/>
    <m/>
    <s v="Telepathy"/>
    <s v="Red"/>
    <n v="0"/>
    <n v="0"/>
    <n v="100"/>
    <n v="15"/>
    <s v="Undiscovered"/>
    <m/>
    <n v="3"/>
    <n v="285"/>
    <n v="1250000"/>
    <x v="1"/>
    <m/>
    <m/>
    <n v="70"/>
    <n v="130"/>
    <n v="115"/>
    <n v="85"/>
    <n v="95"/>
    <n v="75"/>
    <n v="570"/>
    <n v="0"/>
    <n v="3"/>
    <n v="0"/>
    <n v="0"/>
    <n v="0"/>
    <n v="0"/>
  </r>
  <r>
    <s v="Tapu Fini"/>
    <x v="955"/>
    <n v="788"/>
    <s v="788_0"/>
    <x v="1"/>
    <n v="1.3"/>
    <n v="21.2"/>
    <x v="2"/>
    <s v="Fairy"/>
    <s v="Misty Surge"/>
    <m/>
    <s v="Telepathy"/>
    <s v="Purple"/>
    <n v="0"/>
    <n v="0"/>
    <n v="100"/>
    <n v="15"/>
    <s v="Undiscovered"/>
    <m/>
    <n v="3"/>
    <n v="285"/>
    <n v="1250000"/>
    <x v="1"/>
    <m/>
    <m/>
    <n v="70"/>
    <n v="75"/>
    <n v="115"/>
    <n v="95"/>
    <n v="130"/>
    <n v="85"/>
    <n v="570"/>
    <n v="0"/>
    <n v="0"/>
    <n v="0"/>
    <n v="0"/>
    <n v="3"/>
    <n v="0"/>
  </r>
  <r>
    <s v="Cosmog"/>
    <x v="956"/>
    <n v="789"/>
    <s v="789_0"/>
    <x v="1"/>
    <n v="0.2"/>
    <n v="0.1"/>
    <x v="13"/>
    <m/>
    <s v="Unaware"/>
    <m/>
    <m/>
    <s v="Blue"/>
    <n v="0"/>
    <n v="0"/>
    <n v="100"/>
    <n v="120"/>
    <s v="Undiscovered"/>
    <m/>
    <n v="45"/>
    <n v="40"/>
    <n v="1250000"/>
    <x v="2"/>
    <m/>
    <m/>
    <n v="43"/>
    <n v="29"/>
    <n v="31"/>
    <n v="29"/>
    <n v="31"/>
    <n v="37"/>
    <n v="200"/>
    <n v="1"/>
    <n v="0"/>
    <n v="0"/>
    <n v="0"/>
    <n v="0"/>
    <n v="0"/>
  </r>
  <r>
    <s v="Cosmoem"/>
    <x v="957"/>
    <n v="790"/>
    <s v="790_0"/>
    <x v="1"/>
    <n v="0.1"/>
    <n v="999.9"/>
    <x v="13"/>
    <m/>
    <s v="Sturdy"/>
    <m/>
    <m/>
    <s v="Blue"/>
    <n v="0"/>
    <n v="0"/>
    <n v="100"/>
    <n v="120"/>
    <s v="Undiscovered"/>
    <m/>
    <n v="45"/>
    <n v="140"/>
    <n v="1250000"/>
    <x v="2"/>
    <m/>
    <m/>
    <n v="43"/>
    <n v="29"/>
    <n v="131"/>
    <n v="29"/>
    <n v="131"/>
    <n v="37"/>
    <n v="400"/>
    <n v="0"/>
    <n v="0"/>
    <n v="1"/>
    <n v="0"/>
    <n v="1"/>
    <n v="0"/>
  </r>
  <r>
    <s v="Solgaleo"/>
    <x v="958"/>
    <n v="791"/>
    <s v="791_0"/>
    <x v="1"/>
    <n v="3.4"/>
    <n v="230"/>
    <x v="13"/>
    <s v="Steel"/>
    <s v="Full Metal Body"/>
    <m/>
    <m/>
    <s v="White"/>
    <n v="0"/>
    <n v="0"/>
    <n v="100"/>
    <n v="120"/>
    <s v="Undiscovered"/>
    <m/>
    <n v="45"/>
    <n v="340"/>
    <n v="1250000"/>
    <x v="2"/>
    <m/>
    <m/>
    <n v="137"/>
    <n v="137"/>
    <n v="107"/>
    <n v="113"/>
    <n v="89"/>
    <n v="97"/>
    <n v="680"/>
    <n v="0"/>
    <n v="3"/>
    <n v="0"/>
    <n v="0"/>
    <n v="0"/>
    <n v="0"/>
  </r>
  <r>
    <s v="Lunala"/>
    <x v="959"/>
    <n v="792"/>
    <s v="792_0"/>
    <x v="1"/>
    <n v="4"/>
    <n v="120"/>
    <x v="13"/>
    <s v="Ghost"/>
    <s v="Shadow Shield"/>
    <m/>
    <m/>
    <s v="Purple"/>
    <n v="0"/>
    <n v="0"/>
    <n v="100"/>
    <n v="120"/>
    <s v="Undiscovered"/>
    <m/>
    <n v="45"/>
    <n v="340"/>
    <n v="1250000"/>
    <x v="2"/>
    <m/>
    <m/>
    <n v="137"/>
    <n v="113"/>
    <n v="89"/>
    <n v="137"/>
    <n v="107"/>
    <n v="97"/>
    <n v="680"/>
    <n v="0"/>
    <n v="0"/>
    <n v="0"/>
    <n v="3"/>
    <n v="0"/>
    <n v="0"/>
  </r>
  <r>
    <s v="Nihilego"/>
    <x v="960"/>
    <n v="793"/>
    <s v="793_0"/>
    <x v="1"/>
    <n v="1.2"/>
    <n v="55.5"/>
    <x v="14"/>
    <s v="Poison"/>
    <s v="Beast Boost"/>
    <m/>
    <m/>
    <s v="White"/>
    <n v="0"/>
    <n v="0"/>
    <n v="100"/>
    <n v="120"/>
    <s v="Undiscovered"/>
    <m/>
    <n v="45"/>
    <n v="285"/>
    <n v="1250000"/>
    <x v="1"/>
    <m/>
    <m/>
    <n v="109"/>
    <n v="53"/>
    <n v="47"/>
    <n v="127"/>
    <n v="131"/>
    <n v="103"/>
    <n v="570"/>
    <n v="0"/>
    <n v="0"/>
    <n v="0"/>
    <n v="0"/>
    <n v="3"/>
    <n v="0"/>
  </r>
  <r>
    <s v="Buzzwole"/>
    <x v="961"/>
    <n v="794"/>
    <s v="794_0"/>
    <x v="1"/>
    <n v="2.4"/>
    <n v="333.6"/>
    <x v="3"/>
    <s v="Fighting"/>
    <s v="Beast Boost"/>
    <m/>
    <m/>
    <s v="Red"/>
    <n v="0"/>
    <n v="0"/>
    <n v="100"/>
    <n v="120"/>
    <s v="Undiscovered"/>
    <m/>
    <n v="45"/>
    <n v="285"/>
    <n v="1250000"/>
    <x v="1"/>
    <m/>
    <m/>
    <n v="107"/>
    <n v="139"/>
    <n v="139"/>
    <n v="53"/>
    <n v="53"/>
    <n v="79"/>
    <n v="570"/>
    <n v="0"/>
    <n v="1"/>
    <n v="2"/>
    <n v="0"/>
    <n v="0"/>
    <n v="0"/>
  </r>
  <r>
    <s v="Pheromosa"/>
    <x v="962"/>
    <n v="795"/>
    <s v="795_0"/>
    <x v="1"/>
    <n v="1.8"/>
    <n v="25"/>
    <x v="3"/>
    <s v="Fighting"/>
    <s v="Beast Boost"/>
    <m/>
    <m/>
    <s v="White"/>
    <n v="0"/>
    <n v="0"/>
    <n v="100"/>
    <n v="120"/>
    <s v="Undiscovered"/>
    <m/>
    <n v="45"/>
    <n v="285"/>
    <n v="1250000"/>
    <x v="1"/>
    <m/>
    <m/>
    <n v="71"/>
    <n v="137"/>
    <n v="37"/>
    <n v="137"/>
    <n v="37"/>
    <n v="151"/>
    <n v="570"/>
    <n v="0"/>
    <n v="0"/>
    <n v="0"/>
    <n v="0"/>
    <n v="0"/>
    <n v="3"/>
  </r>
  <r>
    <s v="Xurkitree"/>
    <x v="963"/>
    <n v="796"/>
    <s v="796_0"/>
    <x v="1"/>
    <n v="3.8"/>
    <n v="100"/>
    <x v="7"/>
    <m/>
    <s v="Beast Boost"/>
    <m/>
    <m/>
    <s v="Black"/>
    <n v="0"/>
    <n v="0"/>
    <n v="100"/>
    <n v="120"/>
    <s v="Undiscovered"/>
    <m/>
    <n v="45"/>
    <n v="285"/>
    <n v="1250000"/>
    <x v="1"/>
    <m/>
    <m/>
    <n v="83"/>
    <n v="89"/>
    <n v="71"/>
    <n v="173"/>
    <n v="71"/>
    <n v="83"/>
    <n v="570"/>
    <n v="0"/>
    <n v="0"/>
    <n v="0"/>
    <n v="3"/>
    <n v="0"/>
    <n v="0"/>
  </r>
  <r>
    <s v="Celesteela"/>
    <x v="964"/>
    <n v="797"/>
    <s v="797_0"/>
    <x v="1"/>
    <n v="9.1999999999999993"/>
    <n v="999.9"/>
    <x v="11"/>
    <s v="Flying"/>
    <s v="Beast Boost"/>
    <m/>
    <m/>
    <s v="Green"/>
    <n v="0"/>
    <n v="0"/>
    <n v="100"/>
    <n v="120"/>
    <s v="Undiscovered"/>
    <m/>
    <n v="45"/>
    <n v="285"/>
    <n v="1250000"/>
    <x v="1"/>
    <m/>
    <m/>
    <n v="97"/>
    <n v="101"/>
    <n v="103"/>
    <n v="107"/>
    <n v="101"/>
    <n v="61"/>
    <n v="570"/>
    <n v="0"/>
    <n v="1"/>
    <n v="1"/>
    <n v="1"/>
    <n v="0"/>
    <n v="0"/>
  </r>
  <r>
    <s v="Kartana"/>
    <x v="965"/>
    <n v="798"/>
    <s v="798_0"/>
    <x v="1"/>
    <n v="0.3"/>
    <n v="0.1"/>
    <x v="0"/>
    <s v="Steel"/>
    <s v="Beast Boost"/>
    <m/>
    <m/>
    <s v="White"/>
    <n v="0"/>
    <n v="0"/>
    <n v="100"/>
    <n v="120"/>
    <s v="Undiscovered"/>
    <m/>
    <n v="45"/>
    <n v="285"/>
    <n v="1250000"/>
    <x v="1"/>
    <m/>
    <m/>
    <n v="59"/>
    <n v="181"/>
    <n v="131"/>
    <n v="59"/>
    <n v="31"/>
    <n v="109"/>
    <n v="570"/>
    <n v="0"/>
    <n v="3"/>
    <n v="0"/>
    <n v="0"/>
    <n v="0"/>
    <n v="0"/>
  </r>
  <r>
    <s v="Guzzlord"/>
    <x v="966"/>
    <n v="799"/>
    <s v="799_0"/>
    <x v="1"/>
    <n v="5.5"/>
    <n v="888"/>
    <x v="5"/>
    <s v="Dragon"/>
    <s v="Beast Boost"/>
    <m/>
    <m/>
    <s v="Black"/>
    <n v="0"/>
    <n v="0"/>
    <n v="100"/>
    <n v="120"/>
    <s v="Undiscovered"/>
    <m/>
    <n v="45"/>
    <n v="285"/>
    <n v="1250000"/>
    <x v="1"/>
    <m/>
    <m/>
    <n v="223"/>
    <n v="101"/>
    <n v="53"/>
    <n v="97"/>
    <n v="53"/>
    <n v="43"/>
    <n v="570"/>
    <n v="3"/>
    <n v="0"/>
    <n v="0"/>
    <n v="0"/>
    <n v="0"/>
    <n v="0"/>
  </r>
  <r>
    <s v="Necrozma"/>
    <x v="967"/>
    <n v="800"/>
    <s v="800_0"/>
    <x v="1"/>
    <n v="2.4"/>
    <n v="230"/>
    <x v="13"/>
    <m/>
    <s v="Prism Armor"/>
    <m/>
    <m/>
    <s v="Black"/>
    <n v="0"/>
    <n v="0"/>
    <n v="100"/>
    <n v="120"/>
    <s v="Undiscovered"/>
    <m/>
    <n v="255"/>
    <n v="300"/>
    <n v="1250000"/>
    <x v="2"/>
    <m/>
    <m/>
    <n v="97"/>
    <n v="107"/>
    <n v="101"/>
    <n v="127"/>
    <n v="89"/>
    <n v="79"/>
    <n v="600"/>
    <n v="0"/>
    <n v="1"/>
    <n v="0"/>
    <n v="2"/>
    <n v="0"/>
    <n v="0"/>
  </r>
  <r>
    <s v="Necrozma"/>
    <x v="968"/>
    <n v="800"/>
    <s v="800_1"/>
    <x v="1"/>
    <n v="3.8"/>
    <n v="460"/>
    <x v="13"/>
    <s v="Steel"/>
    <s v="Prism Armor"/>
    <m/>
    <m/>
    <s v="Yellow"/>
    <n v="0"/>
    <n v="0"/>
    <n v="100"/>
    <n v="120"/>
    <s v="Undiscovered"/>
    <m/>
    <n v="255"/>
    <n v="340"/>
    <n v="1250000"/>
    <x v="2"/>
    <m/>
    <m/>
    <n v="97"/>
    <n v="157"/>
    <n v="127"/>
    <n v="113"/>
    <n v="109"/>
    <n v="77"/>
    <n v="680"/>
    <n v="0"/>
    <n v="3"/>
    <n v="0"/>
    <n v="0"/>
    <n v="0"/>
    <n v="0"/>
  </r>
  <r>
    <s v="Necrozma"/>
    <x v="969"/>
    <n v="800"/>
    <s v="800_2"/>
    <x v="1"/>
    <n v="4.2"/>
    <n v="350"/>
    <x v="13"/>
    <s v="Ghost"/>
    <s v="Prism Armor"/>
    <m/>
    <m/>
    <s v="Blue"/>
    <n v="0"/>
    <n v="0"/>
    <n v="100"/>
    <n v="120"/>
    <s v="Undiscovered"/>
    <m/>
    <n v="255"/>
    <n v="340"/>
    <n v="1250000"/>
    <x v="2"/>
    <m/>
    <m/>
    <n v="97"/>
    <n v="113"/>
    <n v="109"/>
    <n v="157"/>
    <n v="127"/>
    <n v="77"/>
    <n v="680"/>
    <n v="0"/>
    <n v="0"/>
    <n v="0"/>
    <n v="3"/>
    <n v="0"/>
    <n v="0"/>
  </r>
  <r>
    <s v="Necrozma"/>
    <x v="970"/>
    <n v="800"/>
    <s v="800_3"/>
    <x v="1"/>
    <n v="7.5"/>
    <n v="230"/>
    <x v="13"/>
    <s v="Dragon"/>
    <s v="Neuroforce"/>
    <m/>
    <m/>
    <s v="Yellow"/>
    <n v="0"/>
    <n v="0"/>
    <n v="100"/>
    <n v="120"/>
    <s v="Undiscovered"/>
    <m/>
    <n v="255"/>
    <n v="339"/>
    <n v="1250000"/>
    <x v="2"/>
    <m/>
    <m/>
    <n v="97"/>
    <n v="167"/>
    <n v="97"/>
    <n v="167"/>
    <n v="97"/>
    <n v="129"/>
    <n v="754"/>
    <n v="0"/>
    <n v="1"/>
    <n v="0"/>
    <n v="1"/>
    <n v="0"/>
    <n v="1"/>
  </r>
  <r>
    <s v="Magearna"/>
    <x v="971"/>
    <n v="801"/>
    <s v="801_0"/>
    <x v="1"/>
    <n v="1"/>
    <n v="80.5"/>
    <x v="11"/>
    <s v="Fairy"/>
    <s v="Soul-Heart"/>
    <m/>
    <m/>
    <s v="Gray"/>
    <n v="0"/>
    <n v="0"/>
    <n v="100"/>
    <n v="120"/>
    <s v="Undiscovered"/>
    <m/>
    <n v="3"/>
    <n v="300"/>
    <n v="1250000"/>
    <x v="3"/>
    <m/>
    <m/>
    <n v="80"/>
    <n v="95"/>
    <n v="115"/>
    <n v="130"/>
    <n v="115"/>
    <n v="65"/>
    <n v="600"/>
    <n v="0"/>
    <n v="0"/>
    <n v="0"/>
    <n v="3"/>
    <n v="0"/>
    <n v="0"/>
  </r>
  <r>
    <s v="Marshadow"/>
    <x v="972"/>
    <n v="802"/>
    <s v="802_0"/>
    <x v="1"/>
    <n v="0.7"/>
    <n v="22.2"/>
    <x v="12"/>
    <s v="Ghost"/>
    <s v="Technician"/>
    <m/>
    <m/>
    <s v="Gray"/>
    <n v="0"/>
    <n v="0"/>
    <n v="100"/>
    <n v="120"/>
    <s v="Undiscovered"/>
    <m/>
    <n v="3"/>
    <n v="300"/>
    <n v="1250000"/>
    <x v="3"/>
    <m/>
    <m/>
    <n v="90"/>
    <n v="125"/>
    <n v="80"/>
    <n v="90"/>
    <n v="90"/>
    <n v="125"/>
    <n v="600"/>
    <n v="0"/>
    <n v="2"/>
    <n v="0"/>
    <n v="0"/>
    <n v="0"/>
    <n v="1"/>
  </r>
  <r>
    <s v="Poipole"/>
    <x v="973"/>
    <n v="803"/>
    <s v="803_0"/>
    <x v="1"/>
    <n v="0.6"/>
    <n v="1.8"/>
    <x v="6"/>
    <m/>
    <s v="Beast Boost"/>
    <m/>
    <m/>
    <s v="Purple"/>
    <n v="0"/>
    <n v="0"/>
    <n v="100"/>
    <n v="120"/>
    <s v="Undiscovered"/>
    <m/>
    <n v="45"/>
    <n v="210"/>
    <n v="1250000"/>
    <x v="1"/>
    <m/>
    <m/>
    <n v="67"/>
    <n v="73"/>
    <n v="67"/>
    <n v="73"/>
    <n v="67"/>
    <n v="73"/>
    <n v="420"/>
    <n v="0"/>
    <n v="0"/>
    <n v="0"/>
    <n v="0"/>
    <n v="0"/>
    <n v="1"/>
  </r>
  <r>
    <s v="Naganadel"/>
    <x v="974"/>
    <n v="804"/>
    <s v="804_0"/>
    <x v="1"/>
    <n v="3.6"/>
    <n v="150"/>
    <x v="6"/>
    <s v="Dragon"/>
    <s v="Beast Boost"/>
    <m/>
    <m/>
    <s v="Purple"/>
    <n v="0"/>
    <n v="0"/>
    <n v="100"/>
    <n v="120"/>
    <s v="Undiscovered"/>
    <m/>
    <n v="45"/>
    <n v="270"/>
    <n v="1250000"/>
    <x v="1"/>
    <m/>
    <m/>
    <n v="73"/>
    <n v="73"/>
    <n v="73"/>
    <n v="127"/>
    <n v="73"/>
    <n v="121"/>
    <n v="540"/>
    <n v="0"/>
    <n v="0"/>
    <n v="0"/>
    <n v="3"/>
    <n v="0"/>
    <n v="0"/>
  </r>
  <r>
    <s v="Stakataka"/>
    <x v="975"/>
    <n v="805"/>
    <s v="805_0"/>
    <x v="1"/>
    <n v="5.5"/>
    <n v="820"/>
    <x v="14"/>
    <s v="Steel"/>
    <s v="Beast Boost"/>
    <m/>
    <m/>
    <s v="Gray"/>
    <n v="0"/>
    <n v="0"/>
    <n v="100"/>
    <n v="120"/>
    <s v="Undiscovered"/>
    <m/>
    <n v="30"/>
    <n v="285"/>
    <n v="1250000"/>
    <x v="1"/>
    <m/>
    <m/>
    <n v="61"/>
    <n v="131"/>
    <n v="211"/>
    <n v="53"/>
    <n v="101"/>
    <n v="13"/>
    <n v="570"/>
    <n v="0"/>
    <n v="0"/>
    <n v="3"/>
    <n v="0"/>
    <n v="0"/>
    <n v="0"/>
  </r>
  <r>
    <s v="Blacephalon"/>
    <x v="976"/>
    <n v="806"/>
    <s v="806_0"/>
    <x v="1"/>
    <n v="1.8"/>
    <n v="13"/>
    <x v="1"/>
    <s v="Ghost"/>
    <s v="Beast Boost"/>
    <m/>
    <m/>
    <s v="White"/>
    <n v="0"/>
    <n v="0"/>
    <n v="100"/>
    <n v="120"/>
    <s v="Undiscovered"/>
    <m/>
    <n v="30"/>
    <n v="285"/>
    <n v="1250000"/>
    <x v="1"/>
    <m/>
    <m/>
    <n v="53"/>
    <n v="127"/>
    <n v="53"/>
    <n v="151"/>
    <n v="79"/>
    <n v="107"/>
    <n v="570"/>
    <n v="0"/>
    <n v="0"/>
    <n v="0"/>
    <n v="3"/>
    <n v="0"/>
    <n v="0"/>
  </r>
  <r>
    <s v="Zeraora"/>
    <x v="977"/>
    <n v="807"/>
    <s v="807_0"/>
    <x v="1"/>
    <n v="1.5"/>
    <n v="44.5"/>
    <x v="7"/>
    <m/>
    <s v="Volt Absorb"/>
    <m/>
    <m/>
    <s v="Yellow"/>
    <n v="0"/>
    <n v="0"/>
    <n v="100"/>
    <n v="120"/>
    <s v="Undiscovered"/>
    <m/>
    <n v="3"/>
    <n v="300"/>
    <n v="1250000"/>
    <x v="3"/>
    <m/>
    <m/>
    <n v="88"/>
    <n v="112"/>
    <n v="75"/>
    <n v="102"/>
    <n v="80"/>
    <n v="143"/>
    <n v="600"/>
    <n v="0"/>
    <n v="0"/>
    <n v="0"/>
    <n v="0"/>
    <n v="0"/>
    <n v="3"/>
  </r>
  <r>
    <s v="Meltan"/>
    <x v="978"/>
    <n v="808"/>
    <s v="808_0"/>
    <x v="1"/>
    <n v="0.2"/>
    <n v="8"/>
    <x v="11"/>
    <m/>
    <s v="Magnet Pull"/>
    <m/>
    <m/>
    <s v="Gray"/>
    <n v="0"/>
    <n v="0"/>
    <n v="100"/>
    <n v="120"/>
    <s v="Undiscovered"/>
    <m/>
    <n v="3"/>
    <n v="150"/>
    <n v="1250000"/>
    <x v="3"/>
    <m/>
    <m/>
    <n v="46"/>
    <n v="65"/>
    <n v="65"/>
    <n v="55"/>
    <n v="35"/>
    <n v="34"/>
    <n v="300"/>
    <n v="0"/>
    <n v="1"/>
    <n v="0"/>
    <n v="0"/>
    <n v="0"/>
    <n v="0"/>
  </r>
  <r>
    <s v="Melmetal"/>
    <x v="979"/>
    <n v="809"/>
    <s v="809_0"/>
    <x v="1"/>
    <n v="2.5"/>
    <n v="800"/>
    <x v="11"/>
    <m/>
    <s v="Iron Fist"/>
    <m/>
    <m/>
    <s v="Gray"/>
    <n v="0"/>
    <n v="0"/>
    <n v="100"/>
    <n v="120"/>
    <s v="Undiscovered"/>
    <m/>
    <n v="3"/>
    <n v="300"/>
    <n v="1250000"/>
    <x v="3"/>
    <m/>
    <m/>
    <n v="135"/>
    <n v="143"/>
    <n v="143"/>
    <n v="80"/>
    <n v="65"/>
    <n v="34"/>
    <n v="600"/>
    <n v="0"/>
    <n v="3"/>
    <n v="0"/>
    <n v="0"/>
    <n v="0"/>
    <n v="0"/>
  </r>
  <r>
    <s v="Grookey"/>
    <x v="980"/>
    <n v="810"/>
    <s v="810_0"/>
    <x v="2"/>
    <n v="0.3"/>
    <n v="5"/>
    <x v="0"/>
    <m/>
    <s v="Overgrow"/>
    <m/>
    <s v="Grassy Surge"/>
    <s v="Green"/>
    <n v="87.5"/>
    <n v="12.5"/>
    <n v="0"/>
    <n v="20"/>
    <s v="Ground"/>
    <s v="Grass"/>
    <n v="45"/>
    <n v="62"/>
    <n v="1059860"/>
    <x v="0"/>
    <m/>
    <m/>
    <n v="50"/>
    <n v="65"/>
    <n v="50"/>
    <n v="40"/>
    <n v="40"/>
    <n v="65"/>
    <n v="310"/>
    <n v="0"/>
    <n v="1"/>
    <n v="0"/>
    <n v="0"/>
    <n v="0"/>
    <n v="0"/>
  </r>
  <r>
    <s v="Thwackey"/>
    <x v="981"/>
    <n v="811"/>
    <s v="811_0"/>
    <x v="2"/>
    <n v="0.7"/>
    <n v="14"/>
    <x v="0"/>
    <m/>
    <s v="Overgrow"/>
    <m/>
    <s v="Grassy Surge"/>
    <s v="Green"/>
    <n v="87.5"/>
    <n v="12.5"/>
    <n v="0"/>
    <n v="20"/>
    <s v="Ground"/>
    <s v="Grass"/>
    <n v="45"/>
    <n v="147"/>
    <n v="1059860"/>
    <x v="0"/>
    <m/>
    <m/>
    <n v="70"/>
    <n v="85"/>
    <n v="70"/>
    <n v="55"/>
    <n v="60"/>
    <n v="80"/>
    <n v="420"/>
    <n v="0"/>
    <n v="2"/>
    <n v="0"/>
    <n v="0"/>
    <n v="0"/>
    <n v="0"/>
  </r>
  <r>
    <s v="Rillaboom"/>
    <x v="982"/>
    <n v="812"/>
    <s v="812_0"/>
    <x v="2"/>
    <n v="2.1"/>
    <n v="90"/>
    <x v="0"/>
    <m/>
    <s v="Overgrow"/>
    <m/>
    <s v="Grassy Surge"/>
    <s v="Green"/>
    <n v="87.5"/>
    <n v="12.5"/>
    <n v="0"/>
    <n v="20"/>
    <s v="Ground"/>
    <s v="Grass"/>
    <n v="45"/>
    <n v="265"/>
    <n v="1059860"/>
    <x v="0"/>
    <m/>
    <m/>
    <n v="100"/>
    <n v="125"/>
    <n v="90"/>
    <n v="60"/>
    <n v="70"/>
    <n v="85"/>
    <n v="530"/>
    <n v="0"/>
    <n v="3"/>
    <n v="0"/>
    <n v="0"/>
    <n v="0"/>
    <n v="0"/>
  </r>
  <r>
    <s v="Scorbunny"/>
    <x v="983"/>
    <n v="813"/>
    <s v="813_0"/>
    <x v="2"/>
    <n v="0.3"/>
    <n v="4.5"/>
    <x v="1"/>
    <m/>
    <s v="Blaze"/>
    <m/>
    <s v="Libero"/>
    <s v="White"/>
    <n v="87.5"/>
    <n v="12.5"/>
    <n v="0"/>
    <n v="20"/>
    <s v="Ground"/>
    <s v="Human-Like"/>
    <n v="45"/>
    <n v="62"/>
    <n v="1059860"/>
    <x v="0"/>
    <m/>
    <m/>
    <n v="50"/>
    <n v="71"/>
    <n v="40"/>
    <n v="40"/>
    <n v="40"/>
    <n v="69"/>
    <n v="310"/>
    <n v="0"/>
    <n v="0"/>
    <n v="0"/>
    <n v="0"/>
    <n v="0"/>
    <n v="1"/>
  </r>
  <r>
    <s v="Raboot"/>
    <x v="984"/>
    <n v="814"/>
    <s v="814_0"/>
    <x v="2"/>
    <n v="0.6"/>
    <n v="9"/>
    <x v="1"/>
    <m/>
    <s v="Blaze"/>
    <m/>
    <s v="Libero"/>
    <s v="Gray"/>
    <n v="87.5"/>
    <n v="12.5"/>
    <n v="0"/>
    <n v="20"/>
    <s v="Ground"/>
    <s v="Human-Like"/>
    <n v="45"/>
    <n v="147"/>
    <n v="1059860"/>
    <x v="0"/>
    <m/>
    <m/>
    <n v="65"/>
    <n v="86"/>
    <n v="60"/>
    <n v="55"/>
    <n v="60"/>
    <n v="94"/>
    <n v="420"/>
    <n v="0"/>
    <n v="0"/>
    <n v="0"/>
    <n v="0"/>
    <n v="0"/>
    <n v="2"/>
  </r>
  <r>
    <s v="Cinderace"/>
    <x v="985"/>
    <n v="815"/>
    <s v="815_0"/>
    <x v="2"/>
    <n v="1.4"/>
    <n v="33"/>
    <x v="1"/>
    <m/>
    <s v="Blaze"/>
    <m/>
    <s v="Libero"/>
    <s v="White"/>
    <n v="87.5"/>
    <n v="12.5"/>
    <n v="0"/>
    <n v="20"/>
    <s v="Ground"/>
    <s v="Human-Like"/>
    <n v="45"/>
    <n v="265"/>
    <n v="1059860"/>
    <x v="0"/>
    <m/>
    <m/>
    <n v="80"/>
    <n v="116"/>
    <n v="75"/>
    <n v="65"/>
    <n v="75"/>
    <n v="119"/>
    <n v="530"/>
    <n v="0"/>
    <n v="0"/>
    <n v="0"/>
    <n v="0"/>
    <n v="0"/>
    <n v="3"/>
  </r>
  <r>
    <s v="Sobble"/>
    <x v="986"/>
    <n v="816"/>
    <s v="816_0"/>
    <x v="2"/>
    <n v="0.3"/>
    <n v="4"/>
    <x v="2"/>
    <m/>
    <s v="Torrent"/>
    <m/>
    <s v="Sniper"/>
    <s v="Blue"/>
    <n v="87.5"/>
    <n v="12.5"/>
    <n v="0"/>
    <n v="20"/>
    <s v="Water1"/>
    <s v="Ground"/>
    <n v="45"/>
    <n v="62"/>
    <n v="1059860"/>
    <x v="0"/>
    <m/>
    <m/>
    <n v="50"/>
    <n v="40"/>
    <n v="40"/>
    <n v="70"/>
    <n v="40"/>
    <n v="70"/>
    <n v="310"/>
    <n v="0"/>
    <n v="0"/>
    <n v="0"/>
    <n v="0"/>
    <n v="1"/>
    <n v="1"/>
  </r>
  <r>
    <s v="Drizzile"/>
    <x v="987"/>
    <n v="817"/>
    <s v="817_0"/>
    <x v="2"/>
    <n v="0.7"/>
    <n v="11.5"/>
    <x v="2"/>
    <m/>
    <s v="Torrent"/>
    <m/>
    <s v="Sniper"/>
    <s v="Blue"/>
    <n v="87.5"/>
    <n v="12.5"/>
    <n v="0"/>
    <n v="20"/>
    <s v="Water1"/>
    <s v="Ground"/>
    <n v="45"/>
    <n v="147"/>
    <n v="1059860"/>
    <x v="0"/>
    <m/>
    <m/>
    <n v="65"/>
    <n v="60"/>
    <n v="55"/>
    <n v="95"/>
    <n v="55"/>
    <n v="90"/>
    <n v="420"/>
    <n v="0"/>
    <n v="0"/>
    <n v="0"/>
    <n v="2"/>
    <n v="0"/>
    <n v="0"/>
  </r>
  <r>
    <s v="Inteleon"/>
    <x v="988"/>
    <n v="818"/>
    <s v="818_0"/>
    <x v="2"/>
    <n v="1.9"/>
    <n v="45.2"/>
    <x v="2"/>
    <m/>
    <s v="Torrent"/>
    <m/>
    <s v="Sniper"/>
    <s v="Blue"/>
    <n v="87.5"/>
    <n v="12.5"/>
    <n v="0"/>
    <n v="20"/>
    <s v="Water1"/>
    <s v="Ground"/>
    <n v="45"/>
    <n v="265"/>
    <n v="1059860"/>
    <x v="0"/>
    <m/>
    <m/>
    <n v="70"/>
    <n v="85"/>
    <n v="65"/>
    <n v="125"/>
    <n v="65"/>
    <n v="120"/>
    <n v="530"/>
    <n v="0"/>
    <n v="0"/>
    <n v="0"/>
    <n v="0"/>
    <n v="0"/>
    <n v="3"/>
  </r>
  <r>
    <s v="Skwovet"/>
    <x v="989"/>
    <n v="819"/>
    <s v="819_0"/>
    <x v="2"/>
    <n v="0.3"/>
    <n v="2.5"/>
    <x v="4"/>
    <m/>
    <s v="Cheek Pouch"/>
    <m/>
    <s v="Gluttony"/>
    <s v="Brown"/>
    <n v="50"/>
    <n v="50"/>
    <n v="0"/>
    <n v="20"/>
    <s v="Ground"/>
    <m/>
    <n v="255"/>
    <n v="55"/>
    <n v="1000000"/>
    <x v="0"/>
    <m/>
    <m/>
    <n v="70"/>
    <n v="55"/>
    <n v="55"/>
    <n v="35"/>
    <n v="35"/>
    <n v="25"/>
    <n v="275"/>
    <n v="1"/>
    <n v="0"/>
    <n v="0"/>
    <n v="0"/>
    <n v="0"/>
    <n v="0"/>
  </r>
  <r>
    <s v="Greedent"/>
    <x v="990"/>
    <n v="820"/>
    <s v="820_0"/>
    <x v="2"/>
    <n v="0.6"/>
    <n v="6"/>
    <x v="4"/>
    <m/>
    <s v="Cheek Pouch"/>
    <m/>
    <s v="Gluttony"/>
    <s v="Brown"/>
    <n v="50"/>
    <n v="50"/>
    <n v="0"/>
    <n v="20"/>
    <s v="Ground"/>
    <m/>
    <n v="90"/>
    <n v="161"/>
    <n v="1000000"/>
    <x v="0"/>
    <m/>
    <m/>
    <n v="120"/>
    <n v="95"/>
    <n v="95"/>
    <n v="55"/>
    <n v="75"/>
    <n v="20"/>
    <n v="460"/>
    <n v="2"/>
    <n v="0"/>
    <n v="0"/>
    <n v="0"/>
    <n v="0"/>
    <n v="0"/>
  </r>
  <r>
    <s v="Rookidee"/>
    <x v="991"/>
    <n v="821"/>
    <s v="821_0"/>
    <x v="2"/>
    <n v="0.2"/>
    <n v="1.8"/>
    <x v="17"/>
    <m/>
    <s v="Keen Eye"/>
    <s v="Unnerve"/>
    <s v="Big Pecks"/>
    <s v="Blue"/>
    <n v="50"/>
    <n v="50"/>
    <n v="0"/>
    <n v="15"/>
    <s v="Flying"/>
    <m/>
    <n v="255"/>
    <n v="49"/>
    <n v="1059860"/>
    <x v="0"/>
    <m/>
    <m/>
    <n v="38"/>
    <n v="47"/>
    <n v="35"/>
    <n v="33"/>
    <n v="35"/>
    <n v="57"/>
    <n v="245"/>
    <n v="0"/>
    <n v="0"/>
    <n v="0"/>
    <n v="0"/>
    <n v="0"/>
    <n v="1"/>
  </r>
  <r>
    <s v="Corvisquire"/>
    <x v="992"/>
    <n v="822"/>
    <s v="822_0"/>
    <x v="2"/>
    <n v="0.8"/>
    <n v="16"/>
    <x v="17"/>
    <m/>
    <s v="Keen Eye"/>
    <s v="Unnerve"/>
    <s v="Big Pecks"/>
    <s v="Blue"/>
    <n v="50"/>
    <n v="50"/>
    <n v="0"/>
    <n v="15"/>
    <s v="Flying"/>
    <m/>
    <n v="120"/>
    <n v="128"/>
    <n v="1059860"/>
    <x v="0"/>
    <m/>
    <m/>
    <n v="68"/>
    <n v="67"/>
    <n v="55"/>
    <n v="43"/>
    <n v="55"/>
    <n v="77"/>
    <n v="365"/>
    <n v="0"/>
    <n v="0"/>
    <n v="0"/>
    <n v="0"/>
    <n v="0"/>
    <n v="2"/>
  </r>
  <r>
    <s v="Corviknight"/>
    <x v="993"/>
    <n v="823"/>
    <s v="823_0"/>
    <x v="2"/>
    <n v="2.2000000000000002"/>
    <n v="75"/>
    <x v="17"/>
    <s v="Steel"/>
    <s v="Pressure"/>
    <s v="Unnerve"/>
    <s v="Mirror Armor"/>
    <s v="Purple"/>
    <n v="50"/>
    <n v="50"/>
    <n v="0"/>
    <n v="15"/>
    <s v="Flying"/>
    <m/>
    <n v="45"/>
    <n v="248"/>
    <n v="1059860"/>
    <x v="0"/>
    <m/>
    <m/>
    <n v="98"/>
    <n v="87"/>
    <n v="105"/>
    <n v="53"/>
    <n v="85"/>
    <n v="67"/>
    <n v="495"/>
    <n v="0"/>
    <n v="0"/>
    <n v="3"/>
    <n v="0"/>
    <n v="0"/>
    <n v="0"/>
  </r>
  <r>
    <s v="Blipbug"/>
    <x v="994"/>
    <n v="824"/>
    <s v="824_0"/>
    <x v="2"/>
    <n v="0.4"/>
    <n v="8"/>
    <x v="3"/>
    <m/>
    <s v="Swarm"/>
    <s v="Compound Eyes"/>
    <s v="Telepathy"/>
    <s v="Blue"/>
    <n v="50"/>
    <n v="50"/>
    <n v="0"/>
    <n v="15"/>
    <s v="Bug"/>
    <m/>
    <n v="255"/>
    <n v="36"/>
    <n v="1000000"/>
    <x v="0"/>
    <m/>
    <m/>
    <n v="25"/>
    <n v="20"/>
    <n v="20"/>
    <n v="25"/>
    <n v="45"/>
    <n v="45"/>
    <n v="180"/>
    <n v="0"/>
    <n v="0"/>
    <n v="0"/>
    <n v="0"/>
    <n v="1"/>
    <n v="0"/>
  </r>
  <r>
    <s v="Dottler"/>
    <x v="995"/>
    <n v="825"/>
    <s v="825_0"/>
    <x v="2"/>
    <n v="0.4"/>
    <n v="19.5"/>
    <x v="3"/>
    <s v="Psychic"/>
    <s v="Swarm"/>
    <s v="Compound Eyes"/>
    <s v="Telepathy"/>
    <s v="Yellow"/>
    <n v="50"/>
    <n v="50"/>
    <n v="0"/>
    <n v="15"/>
    <s v="Bug"/>
    <m/>
    <n v="120"/>
    <n v="117"/>
    <n v="1000000"/>
    <x v="0"/>
    <m/>
    <m/>
    <n v="50"/>
    <n v="35"/>
    <n v="80"/>
    <n v="50"/>
    <n v="90"/>
    <n v="30"/>
    <n v="335"/>
    <n v="0"/>
    <n v="0"/>
    <n v="0"/>
    <n v="0"/>
    <n v="2"/>
    <n v="0"/>
  </r>
  <r>
    <s v="Orbeetle"/>
    <x v="996"/>
    <n v="826"/>
    <s v="826_0"/>
    <x v="2"/>
    <n v="0.4"/>
    <n v="40.799999999999997"/>
    <x v="3"/>
    <s v="Psychic"/>
    <s v="Swarm"/>
    <s v="Frisk"/>
    <s v="Telepathy"/>
    <s v="Red"/>
    <n v="50"/>
    <n v="50"/>
    <n v="0"/>
    <n v="15"/>
    <s v="Bug"/>
    <m/>
    <n v="45"/>
    <n v="253"/>
    <n v="1000000"/>
    <x v="0"/>
    <m/>
    <m/>
    <n v="60"/>
    <n v="45"/>
    <n v="110"/>
    <n v="80"/>
    <n v="120"/>
    <n v="90"/>
    <n v="505"/>
    <n v="0"/>
    <n v="0"/>
    <n v="0"/>
    <n v="0"/>
    <n v="3"/>
    <n v="0"/>
  </r>
  <r>
    <s v="Nickit"/>
    <x v="997"/>
    <n v="827"/>
    <s v="827_0"/>
    <x v="2"/>
    <n v="0.6"/>
    <n v="8.9"/>
    <x v="5"/>
    <m/>
    <s v="Run Away"/>
    <s v="Unburden"/>
    <s v="Stakeout"/>
    <s v="Brown"/>
    <n v="50"/>
    <n v="50"/>
    <n v="0"/>
    <n v="15"/>
    <s v="Ground"/>
    <m/>
    <n v="255"/>
    <n v="49"/>
    <n v="800000"/>
    <x v="0"/>
    <m/>
    <m/>
    <n v="40"/>
    <n v="28"/>
    <n v="28"/>
    <n v="47"/>
    <n v="52"/>
    <n v="50"/>
    <n v="245"/>
    <n v="0"/>
    <n v="0"/>
    <n v="0"/>
    <n v="0"/>
    <n v="1"/>
    <n v="0"/>
  </r>
  <r>
    <s v="Thievul"/>
    <x v="998"/>
    <n v="828"/>
    <s v="828_0"/>
    <x v="2"/>
    <n v="1.2"/>
    <n v="19.899999999999999"/>
    <x v="5"/>
    <m/>
    <s v="Run Away"/>
    <s v="Unburden"/>
    <s v="Stakeout"/>
    <s v="Brown"/>
    <n v="50"/>
    <n v="50"/>
    <n v="0"/>
    <n v="15"/>
    <s v="Ground"/>
    <m/>
    <n v="127"/>
    <n v="159"/>
    <n v="800000"/>
    <x v="0"/>
    <m/>
    <m/>
    <n v="70"/>
    <n v="58"/>
    <n v="58"/>
    <n v="87"/>
    <n v="92"/>
    <n v="90"/>
    <n v="455"/>
    <n v="0"/>
    <n v="0"/>
    <n v="0"/>
    <n v="0"/>
    <n v="2"/>
    <n v="0"/>
  </r>
  <r>
    <s v="Gossifleur"/>
    <x v="999"/>
    <n v="829"/>
    <s v="829_0"/>
    <x v="2"/>
    <n v="0.4"/>
    <n v="2.2000000000000002"/>
    <x v="0"/>
    <m/>
    <s v="Cotton Down"/>
    <s v="Regenerator"/>
    <s v="Effect Spore"/>
    <s v="Green"/>
    <n v="50"/>
    <n v="50"/>
    <n v="0"/>
    <n v="20"/>
    <s v="Grass"/>
    <m/>
    <n v="190"/>
    <n v="50"/>
    <n v="1000000"/>
    <x v="0"/>
    <m/>
    <m/>
    <n v="40"/>
    <n v="40"/>
    <n v="60"/>
    <n v="40"/>
    <n v="60"/>
    <n v="10"/>
    <n v="250"/>
    <n v="0"/>
    <n v="0"/>
    <n v="0"/>
    <n v="0"/>
    <n v="1"/>
    <n v="0"/>
  </r>
  <r>
    <s v="Eldegoss"/>
    <x v="1000"/>
    <n v="830"/>
    <s v="830_0"/>
    <x v="2"/>
    <n v="0.5"/>
    <n v="2.5"/>
    <x v="0"/>
    <m/>
    <s v="Cotton Down"/>
    <s v="Regenerator"/>
    <s v="Effect Spore"/>
    <s v="Green"/>
    <n v="50"/>
    <n v="50"/>
    <n v="0"/>
    <n v="20"/>
    <s v="Grass"/>
    <m/>
    <n v="75"/>
    <n v="161"/>
    <n v="1000000"/>
    <x v="0"/>
    <m/>
    <m/>
    <n v="60"/>
    <n v="50"/>
    <n v="90"/>
    <n v="80"/>
    <n v="120"/>
    <n v="60"/>
    <n v="460"/>
    <n v="0"/>
    <n v="0"/>
    <n v="0"/>
    <n v="0"/>
    <n v="2"/>
    <n v="0"/>
  </r>
  <r>
    <s v="Wooloo"/>
    <x v="1001"/>
    <n v="831"/>
    <s v="831_0"/>
    <x v="2"/>
    <n v="0.6"/>
    <n v="6"/>
    <x v="4"/>
    <m/>
    <s v="Fluffy"/>
    <s v="Run Away"/>
    <s v="Bulletproof"/>
    <s v="White"/>
    <n v="50"/>
    <n v="50"/>
    <n v="0"/>
    <n v="15"/>
    <s v="Ground"/>
    <m/>
    <n v="255"/>
    <n v="122"/>
    <n v="1000000"/>
    <x v="0"/>
    <m/>
    <m/>
    <n v="42"/>
    <n v="40"/>
    <n v="55"/>
    <n v="40"/>
    <n v="45"/>
    <n v="48"/>
    <n v="270"/>
    <n v="0"/>
    <n v="0"/>
    <n v="1"/>
    <n v="0"/>
    <n v="0"/>
    <n v="0"/>
  </r>
  <r>
    <s v="Dubwool"/>
    <x v="1002"/>
    <n v="832"/>
    <s v="832_0"/>
    <x v="2"/>
    <n v="1.3"/>
    <n v="43"/>
    <x v="4"/>
    <m/>
    <s v="Fluffy"/>
    <s v="Steadfast"/>
    <s v="Bulletproof"/>
    <s v="White"/>
    <n v="50"/>
    <n v="50"/>
    <n v="0"/>
    <n v="15"/>
    <s v="Ground"/>
    <m/>
    <n v="127"/>
    <n v="172"/>
    <n v="1000000"/>
    <x v="0"/>
    <m/>
    <m/>
    <n v="72"/>
    <n v="80"/>
    <n v="100"/>
    <n v="60"/>
    <n v="90"/>
    <n v="88"/>
    <n v="490"/>
    <n v="0"/>
    <n v="0"/>
    <n v="2"/>
    <n v="0"/>
    <n v="0"/>
    <n v="0"/>
  </r>
  <r>
    <s v="Chewtle"/>
    <x v="1003"/>
    <n v="833"/>
    <s v="833_0"/>
    <x v="2"/>
    <n v="0.3"/>
    <n v="8.5"/>
    <x v="2"/>
    <m/>
    <s v="Strong Jaw"/>
    <s v="Shell Armor"/>
    <s v="Swift Swim"/>
    <s v="Green"/>
    <n v="50"/>
    <n v="50"/>
    <n v="0"/>
    <n v="20"/>
    <s v="Monster"/>
    <s v="Water1"/>
    <n v="255"/>
    <n v="57"/>
    <n v="1000000"/>
    <x v="0"/>
    <m/>
    <m/>
    <n v="50"/>
    <n v="64"/>
    <n v="50"/>
    <n v="38"/>
    <n v="38"/>
    <n v="44"/>
    <n v="284"/>
    <n v="0"/>
    <n v="1"/>
    <n v="0"/>
    <n v="0"/>
    <n v="0"/>
    <n v="0"/>
  </r>
  <r>
    <s v="Drednaw"/>
    <x v="1004"/>
    <n v="834"/>
    <s v="834_0"/>
    <x v="2"/>
    <n v="1"/>
    <n v="115.5"/>
    <x v="2"/>
    <s v="Rock"/>
    <s v="Strong Jaw"/>
    <s v="Shell Armor"/>
    <s v="Swift Swim"/>
    <s v="Green"/>
    <n v="50"/>
    <n v="50"/>
    <n v="0"/>
    <n v="20"/>
    <s v="Monster"/>
    <s v="Water1"/>
    <n v="75"/>
    <n v="170"/>
    <n v="1000000"/>
    <x v="0"/>
    <m/>
    <m/>
    <n v="90"/>
    <n v="115"/>
    <n v="90"/>
    <n v="48"/>
    <n v="68"/>
    <n v="74"/>
    <n v="485"/>
    <n v="0"/>
    <n v="2"/>
    <n v="0"/>
    <n v="0"/>
    <n v="0"/>
    <n v="0"/>
  </r>
  <r>
    <s v="Yamper"/>
    <x v="1005"/>
    <n v="835"/>
    <s v="835_0"/>
    <x v="2"/>
    <n v="0.3"/>
    <n v="13.5"/>
    <x v="7"/>
    <m/>
    <s v="Ball Fetch"/>
    <m/>
    <s v="Rattled"/>
    <s v="Yellow"/>
    <n v="50"/>
    <n v="50"/>
    <n v="0"/>
    <n v="20"/>
    <s v="Ground"/>
    <m/>
    <n v="255"/>
    <n v="54"/>
    <n v="800000"/>
    <x v="0"/>
    <m/>
    <m/>
    <n v="59"/>
    <n v="45"/>
    <n v="50"/>
    <n v="40"/>
    <n v="50"/>
    <n v="26"/>
    <n v="270"/>
    <n v="1"/>
    <n v="0"/>
    <n v="0"/>
    <n v="0"/>
    <n v="0"/>
    <n v="0"/>
  </r>
  <r>
    <s v="Boltund"/>
    <x v="1006"/>
    <n v="836"/>
    <s v="836_0"/>
    <x v="2"/>
    <n v="1"/>
    <n v="34"/>
    <x v="7"/>
    <m/>
    <s v="Strong Jaw"/>
    <m/>
    <s v="Competitive"/>
    <s v="Yellow"/>
    <n v="50"/>
    <n v="50"/>
    <n v="0"/>
    <n v="20"/>
    <s v="Ground"/>
    <m/>
    <n v="45"/>
    <n v="172"/>
    <n v="800000"/>
    <x v="0"/>
    <m/>
    <m/>
    <n v="69"/>
    <n v="90"/>
    <n v="60"/>
    <n v="90"/>
    <n v="60"/>
    <n v="121"/>
    <n v="490"/>
    <n v="0"/>
    <n v="0"/>
    <n v="0"/>
    <n v="0"/>
    <n v="0"/>
    <n v="2"/>
  </r>
  <r>
    <s v="Rolycoly"/>
    <x v="1007"/>
    <n v="837"/>
    <s v="837_0"/>
    <x v="2"/>
    <n v="0.3"/>
    <n v="12"/>
    <x v="14"/>
    <m/>
    <s v="Steam Engine"/>
    <s v="Heatproof"/>
    <s v="Flash Fire"/>
    <s v="Black"/>
    <n v="50"/>
    <n v="50"/>
    <n v="0"/>
    <n v="15"/>
    <s v="Mineral"/>
    <m/>
    <n v="255"/>
    <n v="48"/>
    <n v="1059860"/>
    <x v="0"/>
    <m/>
    <m/>
    <n v="30"/>
    <n v="40"/>
    <n v="50"/>
    <n v="40"/>
    <n v="50"/>
    <n v="30"/>
    <n v="240"/>
    <n v="0"/>
    <n v="0"/>
    <n v="1"/>
    <n v="0"/>
    <n v="0"/>
    <n v="0"/>
  </r>
  <r>
    <s v="Carkol"/>
    <x v="1008"/>
    <n v="838"/>
    <s v="838_0"/>
    <x v="2"/>
    <n v="1.1000000000000001"/>
    <n v="78"/>
    <x v="14"/>
    <s v="Fire"/>
    <s v="Steam Engine"/>
    <s v="Flame Body"/>
    <s v="Flash Fire"/>
    <s v="Black"/>
    <n v="50"/>
    <n v="50"/>
    <n v="0"/>
    <n v="15"/>
    <s v="Mineral"/>
    <m/>
    <n v="120"/>
    <n v="144"/>
    <n v="1059860"/>
    <x v="0"/>
    <m/>
    <m/>
    <n v="80"/>
    <n v="60"/>
    <n v="90"/>
    <n v="60"/>
    <n v="70"/>
    <n v="50"/>
    <n v="410"/>
    <n v="0"/>
    <n v="0"/>
    <n v="2"/>
    <n v="0"/>
    <n v="0"/>
    <n v="0"/>
  </r>
  <r>
    <s v="Coalossal"/>
    <x v="1009"/>
    <n v="839"/>
    <s v="839_0"/>
    <x v="2"/>
    <n v="2.8"/>
    <n v="310.5"/>
    <x v="14"/>
    <s v="Fire"/>
    <s v="Steam Engine"/>
    <s v="Flame Body"/>
    <s v="Flash Fire"/>
    <s v="Black"/>
    <n v="50"/>
    <n v="50"/>
    <n v="0"/>
    <n v="15"/>
    <s v="Mineral"/>
    <m/>
    <n v="45"/>
    <n v="255"/>
    <n v="1059860"/>
    <x v="0"/>
    <m/>
    <m/>
    <n v="110"/>
    <n v="80"/>
    <n v="120"/>
    <n v="80"/>
    <n v="90"/>
    <n v="30"/>
    <n v="510"/>
    <n v="0"/>
    <n v="0"/>
    <n v="3"/>
    <n v="0"/>
    <n v="0"/>
    <n v="0"/>
  </r>
  <r>
    <s v="Applin"/>
    <x v="1010"/>
    <n v="840"/>
    <s v="840_0"/>
    <x v="2"/>
    <n v="0.2"/>
    <n v="0.5"/>
    <x v="0"/>
    <s v="Dragon"/>
    <s v="Ripen"/>
    <s v="Gluttony"/>
    <s v="Bulletproof"/>
    <s v="Green"/>
    <n v="50"/>
    <n v="50"/>
    <n v="0"/>
    <n v="20"/>
    <s v="Grass"/>
    <s v="Dragon"/>
    <n v="255"/>
    <n v="52"/>
    <n v="600000"/>
    <x v="0"/>
    <m/>
    <m/>
    <n v="40"/>
    <n v="40"/>
    <n v="80"/>
    <n v="40"/>
    <n v="40"/>
    <n v="20"/>
    <n v="260"/>
    <n v="0"/>
    <n v="0"/>
    <n v="1"/>
    <n v="0"/>
    <n v="0"/>
    <n v="0"/>
  </r>
  <r>
    <s v="Flapple"/>
    <x v="1011"/>
    <n v="841"/>
    <s v="841_0"/>
    <x v="2"/>
    <n v="0.3"/>
    <n v="1"/>
    <x v="0"/>
    <s v="Dragon"/>
    <s v="Ripen"/>
    <s v="Gluttony"/>
    <s v="Hustle"/>
    <s v="Green"/>
    <n v="50"/>
    <n v="50"/>
    <n v="0"/>
    <n v="20"/>
    <s v="Grass"/>
    <s v="Dragon"/>
    <n v="45"/>
    <n v="170"/>
    <n v="600000"/>
    <x v="0"/>
    <m/>
    <m/>
    <n v="70"/>
    <n v="110"/>
    <n v="80"/>
    <n v="95"/>
    <n v="60"/>
    <n v="70"/>
    <n v="485"/>
    <n v="0"/>
    <n v="2"/>
    <n v="0"/>
    <n v="0"/>
    <n v="0"/>
    <n v="0"/>
  </r>
  <r>
    <s v="Appletun"/>
    <x v="1012"/>
    <n v="842"/>
    <s v="842_0"/>
    <x v="2"/>
    <n v="0.4"/>
    <n v="13"/>
    <x v="0"/>
    <s v="Dragon"/>
    <s v="Ripen"/>
    <s v="Gluttony"/>
    <s v="Thick Fat"/>
    <s v="Green"/>
    <n v="50"/>
    <n v="50"/>
    <n v="0"/>
    <n v="20"/>
    <s v="Grass"/>
    <s v="Dragon"/>
    <n v="45"/>
    <n v="170"/>
    <n v="600000"/>
    <x v="0"/>
    <m/>
    <m/>
    <n v="110"/>
    <n v="85"/>
    <n v="80"/>
    <n v="100"/>
    <n v="80"/>
    <n v="30"/>
    <n v="485"/>
    <n v="2"/>
    <n v="0"/>
    <n v="0"/>
    <n v="0"/>
    <n v="0"/>
    <n v="0"/>
  </r>
  <r>
    <s v="Silicobra"/>
    <x v="1013"/>
    <n v="843"/>
    <s v="843_0"/>
    <x v="2"/>
    <n v="2.2000000000000002"/>
    <n v="7.6"/>
    <x v="8"/>
    <m/>
    <s v="Sand Spit"/>
    <s v="Shed Skin"/>
    <s v="Sand Veil"/>
    <s v="Green"/>
    <n v="50"/>
    <n v="50"/>
    <n v="0"/>
    <n v="20"/>
    <s v="Ground"/>
    <s v="Dragon"/>
    <n v="255"/>
    <n v="63"/>
    <n v="1000000"/>
    <x v="0"/>
    <m/>
    <m/>
    <n v="52"/>
    <n v="57"/>
    <n v="75"/>
    <n v="35"/>
    <n v="50"/>
    <n v="46"/>
    <n v="315"/>
    <n v="0"/>
    <n v="0"/>
    <n v="1"/>
    <n v="0"/>
    <n v="0"/>
    <n v="0"/>
  </r>
  <r>
    <s v="Sandaconda"/>
    <x v="1014"/>
    <n v="844"/>
    <s v="844_0"/>
    <x v="2"/>
    <n v="3.8"/>
    <n v="65.5"/>
    <x v="8"/>
    <m/>
    <s v="Sand Spit"/>
    <s v="Shed Skin"/>
    <s v="Sand Veil"/>
    <s v="Green"/>
    <n v="50"/>
    <n v="50"/>
    <n v="0"/>
    <n v="20"/>
    <s v="Ground"/>
    <s v="Dragon"/>
    <n v="120"/>
    <n v="179"/>
    <n v="1000000"/>
    <x v="0"/>
    <m/>
    <m/>
    <n v="72"/>
    <n v="107"/>
    <n v="125"/>
    <n v="65"/>
    <n v="70"/>
    <n v="71"/>
    <n v="510"/>
    <n v="0"/>
    <n v="0"/>
    <n v="2"/>
    <n v="0"/>
    <n v="0"/>
    <n v="0"/>
  </r>
  <r>
    <s v="Cramorant"/>
    <x v="1015"/>
    <n v="845"/>
    <s v="845_0"/>
    <x v="2"/>
    <n v="0.8"/>
    <n v="18"/>
    <x v="17"/>
    <s v="Water"/>
    <s v="Gulp Missile"/>
    <m/>
    <m/>
    <s v="Blue"/>
    <n v="50"/>
    <n v="50"/>
    <n v="0"/>
    <n v="20"/>
    <s v="Water1"/>
    <s v="Flying"/>
    <n v="45"/>
    <n v="166"/>
    <n v="1000000"/>
    <x v="0"/>
    <m/>
    <m/>
    <n v="70"/>
    <n v="85"/>
    <n v="55"/>
    <n v="85"/>
    <n v="95"/>
    <n v="85"/>
    <n v="475"/>
    <n v="0"/>
    <n v="0"/>
    <n v="0"/>
    <n v="0"/>
    <n v="2"/>
    <n v="0"/>
  </r>
  <r>
    <s v="Arrokuda"/>
    <x v="1016"/>
    <n v="846"/>
    <s v="846_0"/>
    <x v="2"/>
    <n v="0.5"/>
    <n v="1"/>
    <x v="2"/>
    <m/>
    <s v="Swift Swim"/>
    <m/>
    <s v="Propeller Tail"/>
    <s v="Brown"/>
    <n v="50"/>
    <n v="50"/>
    <n v="0"/>
    <n v="20"/>
    <s v="Water2"/>
    <m/>
    <n v="255"/>
    <n v="56"/>
    <n v="1250000"/>
    <x v="0"/>
    <m/>
    <m/>
    <n v="41"/>
    <n v="63"/>
    <n v="40"/>
    <n v="40"/>
    <n v="30"/>
    <n v="66"/>
    <n v="280"/>
    <n v="0"/>
    <n v="0"/>
    <n v="0"/>
    <n v="0"/>
    <n v="0"/>
    <n v="1"/>
  </r>
  <r>
    <s v="Barraskewda"/>
    <x v="1017"/>
    <n v="847"/>
    <s v="847_0"/>
    <x v="2"/>
    <n v="1.3"/>
    <n v="30"/>
    <x v="2"/>
    <m/>
    <s v="Swift Swim"/>
    <m/>
    <s v="Propeller Tail"/>
    <s v="Brown"/>
    <n v="50"/>
    <n v="50"/>
    <n v="0"/>
    <n v="20"/>
    <s v="Water2"/>
    <m/>
    <n v="60"/>
    <n v="172"/>
    <n v="1250000"/>
    <x v="0"/>
    <m/>
    <m/>
    <n v="61"/>
    <n v="123"/>
    <n v="60"/>
    <n v="60"/>
    <n v="50"/>
    <n v="136"/>
    <n v="490"/>
    <n v="0"/>
    <n v="0"/>
    <n v="0"/>
    <n v="0"/>
    <n v="0"/>
    <n v="2"/>
  </r>
  <r>
    <s v="Toxel"/>
    <x v="1018"/>
    <n v="848"/>
    <s v="848_0"/>
    <x v="2"/>
    <n v="0.4"/>
    <n v="11"/>
    <x v="7"/>
    <s v="Poison"/>
    <s v="Rattled"/>
    <s v="Static"/>
    <s v="Klutz"/>
    <s v="Purple"/>
    <n v="50"/>
    <n v="50"/>
    <n v="0"/>
    <n v="25"/>
    <s v="Undiscovered"/>
    <m/>
    <n v="75"/>
    <n v="48"/>
    <n v="1059860"/>
    <x v="0"/>
    <m/>
    <m/>
    <n v="40"/>
    <n v="38"/>
    <n v="35"/>
    <n v="54"/>
    <n v="35"/>
    <n v="40"/>
    <n v="242"/>
    <n v="0"/>
    <n v="0"/>
    <n v="0"/>
    <n v="1"/>
    <n v="0"/>
    <n v="0"/>
  </r>
  <r>
    <s v="Toxtricity"/>
    <x v="1019"/>
    <n v="849"/>
    <s v="849_0"/>
    <x v="2"/>
    <n v="1.6"/>
    <n v="40"/>
    <x v="7"/>
    <s v="Poison"/>
    <s v="Punk Rock"/>
    <s v="Plus"/>
    <s v="Technician"/>
    <s v="Purple"/>
    <n v="50"/>
    <n v="50"/>
    <n v="0"/>
    <n v="25"/>
    <s v="Human-Like"/>
    <m/>
    <n v="45"/>
    <n v="176"/>
    <n v="1059860"/>
    <x v="0"/>
    <m/>
    <m/>
    <n v="75"/>
    <n v="98"/>
    <n v="70"/>
    <n v="114"/>
    <n v="70"/>
    <n v="75"/>
    <n v="502"/>
    <n v="0"/>
    <n v="0"/>
    <n v="0"/>
    <n v="2"/>
    <n v="0"/>
    <n v="0"/>
  </r>
  <r>
    <s v="Toxtricity"/>
    <x v="1020"/>
    <n v="849"/>
    <s v="849_1"/>
    <x v="2"/>
    <n v="1.6"/>
    <n v="40"/>
    <x v="7"/>
    <s v="Poison"/>
    <s v="Punk Rock"/>
    <s v="Minus"/>
    <s v="Technician"/>
    <s v="Purple"/>
    <n v="50"/>
    <n v="50"/>
    <n v="0"/>
    <n v="25"/>
    <s v="Human-Like"/>
    <m/>
    <n v="45"/>
    <n v="176"/>
    <n v="1059860"/>
    <x v="0"/>
    <m/>
    <m/>
    <n v="75"/>
    <n v="98"/>
    <n v="70"/>
    <n v="114"/>
    <n v="70"/>
    <n v="75"/>
    <n v="502"/>
    <n v="0"/>
    <n v="0"/>
    <n v="0"/>
    <n v="2"/>
    <n v="0"/>
    <n v="0"/>
  </r>
  <r>
    <s v="Sizzlipede"/>
    <x v="1021"/>
    <n v="850"/>
    <s v="850_0"/>
    <x v="2"/>
    <n v="0.7"/>
    <n v="1"/>
    <x v="1"/>
    <s v="Bug"/>
    <s v="Flash Fire"/>
    <s v="White Smoke"/>
    <s v="Flame Body"/>
    <s v="Red"/>
    <n v="50"/>
    <n v="50"/>
    <n v="0"/>
    <n v="20"/>
    <s v="Bug"/>
    <m/>
    <n v="190"/>
    <n v="61"/>
    <n v="1000000"/>
    <x v="0"/>
    <m/>
    <m/>
    <n v="50"/>
    <n v="65"/>
    <n v="45"/>
    <n v="50"/>
    <n v="50"/>
    <n v="45"/>
    <n v="305"/>
    <n v="0"/>
    <n v="1"/>
    <n v="0"/>
    <n v="0"/>
    <n v="0"/>
    <n v="0"/>
  </r>
  <r>
    <s v="Centiskorch"/>
    <x v="1022"/>
    <n v="851"/>
    <s v="851_0"/>
    <x v="2"/>
    <n v="3"/>
    <n v="120"/>
    <x v="1"/>
    <s v="Bug"/>
    <s v="Flash Fire"/>
    <s v="White Smoke"/>
    <s v="Flame Body"/>
    <s v="Red"/>
    <n v="50"/>
    <n v="50"/>
    <n v="0"/>
    <n v="20"/>
    <s v="Bug"/>
    <m/>
    <n v="75"/>
    <n v="184"/>
    <n v="1000000"/>
    <x v="0"/>
    <m/>
    <m/>
    <n v="100"/>
    <n v="115"/>
    <n v="65"/>
    <n v="90"/>
    <n v="90"/>
    <n v="65"/>
    <n v="525"/>
    <n v="0"/>
    <n v="2"/>
    <n v="0"/>
    <n v="0"/>
    <n v="0"/>
    <n v="0"/>
  </r>
  <r>
    <s v="Clobbopus"/>
    <x v="1023"/>
    <n v="852"/>
    <s v="852_0"/>
    <x v="2"/>
    <n v="0.6"/>
    <n v="4"/>
    <x v="12"/>
    <m/>
    <s v="Limber"/>
    <m/>
    <s v="Technician"/>
    <s v="Brown"/>
    <n v="50"/>
    <n v="50"/>
    <n v="0"/>
    <n v="25"/>
    <s v="Water1"/>
    <s v="Human-Like"/>
    <n v="180"/>
    <n v="62"/>
    <n v="1059860"/>
    <x v="0"/>
    <m/>
    <m/>
    <n v="50"/>
    <n v="68"/>
    <n v="60"/>
    <n v="50"/>
    <n v="50"/>
    <n v="32"/>
    <n v="310"/>
    <n v="0"/>
    <n v="1"/>
    <n v="0"/>
    <n v="0"/>
    <n v="0"/>
    <n v="0"/>
  </r>
  <r>
    <s v="Grapploct"/>
    <x v="1024"/>
    <n v="853"/>
    <s v="853_0"/>
    <x v="2"/>
    <n v="1.6"/>
    <n v="39"/>
    <x v="12"/>
    <m/>
    <s v="Limber"/>
    <m/>
    <s v="Technician"/>
    <s v="Blue"/>
    <n v="50"/>
    <n v="50"/>
    <n v="0"/>
    <n v="25"/>
    <s v="Water1"/>
    <s v="Human-Like"/>
    <n v="45"/>
    <n v="168"/>
    <n v="1059860"/>
    <x v="0"/>
    <m/>
    <m/>
    <n v="80"/>
    <n v="118"/>
    <n v="90"/>
    <n v="70"/>
    <n v="80"/>
    <n v="42"/>
    <n v="480"/>
    <n v="0"/>
    <n v="2"/>
    <n v="0"/>
    <n v="0"/>
    <n v="0"/>
    <n v="0"/>
  </r>
  <r>
    <s v="Sinistea"/>
    <x v="1025"/>
    <n v="854"/>
    <s v="854_0"/>
    <x v="2"/>
    <n v="0.1"/>
    <n v="0.2"/>
    <x v="15"/>
    <m/>
    <s v="Weak Armor"/>
    <m/>
    <s v="Cursed Body"/>
    <s v="Purple"/>
    <n v="0"/>
    <n v="0"/>
    <n v="100"/>
    <n v="20"/>
    <s v="Mineral"/>
    <s v="Amorphous"/>
    <n v="120"/>
    <n v="62"/>
    <n v="1000000"/>
    <x v="0"/>
    <m/>
    <m/>
    <n v="40"/>
    <n v="45"/>
    <n v="45"/>
    <n v="74"/>
    <n v="54"/>
    <n v="50"/>
    <n v="308"/>
    <n v="0"/>
    <n v="0"/>
    <n v="0"/>
    <n v="1"/>
    <n v="0"/>
    <n v="0"/>
  </r>
  <r>
    <s v="Polteageist"/>
    <x v="1026"/>
    <n v="855"/>
    <s v="855_0"/>
    <x v="2"/>
    <n v="0.2"/>
    <n v="0.4"/>
    <x v="15"/>
    <m/>
    <s v="Weak Armor"/>
    <m/>
    <s v="Cursed Body"/>
    <s v="Purple"/>
    <n v="0"/>
    <n v="0"/>
    <n v="100"/>
    <n v="20"/>
    <s v="Mineral"/>
    <s v="Amorphous"/>
    <n v="60"/>
    <n v="178"/>
    <n v="1000000"/>
    <x v="0"/>
    <m/>
    <m/>
    <n v="60"/>
    <n v="65"/>
    <n v="65"/>
    <n v="134"/>
    <n v="114"/>
    <n v="70"/>
    <n v="508"/>
    <n v="0"/>
    <n v="0"/>
    <n v="0"/>
    <n v="2"/>
    <n v="0"/>
    <n v="0"/>
  </r>
  <r>
    <s v="Hatenna"/>
    <x v="1027"/>
    <n v="856"/>
    <s v="856_0"/>
    <x v="2"/>
    <n v="0.4"/>
    <n v="3.4"/>
    <x v="13"/>
    <m/>
    <s v="Healer"/>
    <s v="Anticipation"/>
    <s v="Magic Bounce"/>
    <s v="Pink"/>
    <n v="0"/>
    <n v="100"/>
    <n v="0"/>
    <n v="20"/>
    <s v="Fairy"/>
    <m/>
    <n v="235"/>
    <n v="53"/>
    <n v="1250000"/>
    <x v="0"/>
    <m/>
    <m/>
    <n v="42"/>
    <n v="30"/>
    <n v="45"/>
    <n v="56"/>
    <n v="53"/>
    <n v="39"/>
    <n v="265"/>
    <n v="0"/>
    <n v="0"/>
    <n v="0"/>
    <n v="1"/>
    <n v="0"/>
    <n v="0"/>
  </r>
  <r>
    <s v="Hattrem"/>
    <x v="1028"/>
    <n v="857"/>
    <s v="857_0"/>
    <x v="2"/>
    <n v="0.6"/>
    <n v="4.8"/>
    <x v="13"/>
    <m/>
    <s v="Healer"/>
    <s v="Anticipation"/>
    <s v="Magic Bounce"/>
    <s v="Pink"/>
    <n v="0"/>
    <n v="100"/>
    <n v="0"/>
    <n v="20"/>
    <s v="Fairy"/>
    <m/>
    <n v="120"/>
    <n v="130"/>
    <n v="1250000"/>
    <x v="0"/>
    <m/>
    <m/>
    <n v="57"/>
    <n v="40"/>
    <n v="65"/>
    <n v="86"/>
    <n v="73"/>
    <n v="49"/>
    <n v="370"/>
    <n v="0"/>
    <n v="0"/>
    <n v="0"/>
    <n v="2"/>
    <n v="0"/>
    <n v="0"/>
  </r>
  <r>
    <s v="Hatterene"/>
    <x v="1029"/>
    <n v="858"/>
    <s v="858_0"/>
    <x v="2"/>
    <n v="2.1"/>
    <n v="5.0999999999999996"/>
    <x v="13"/>
    <s v="Fairy"/>
    <s v="Healer"/>
    <s v="Anticipation"/>
    <s v="Magic Bounce"/>
    <s v="Pink"/>
    <n v="0"/>
    <n v="100"/>
    <n v="0"/>
    <n v="20"/>
    <s v="Fairy"/>
    <m/>
    <n v="45"/>
    <n v="255"/>
    <n v="1250000"/>
    <x v="0"/>
    <m/>
    <m/>
    <n v="57"/>
    <n v="90"/>
    <n v="95"/>
    <n v="136"/>
    <n v="103"/>
    <n v="29"/>
    <n v="510"/>
    <n v="0"/>
    <n v="0"/>
    <n v="0"/>
    <n v="3"/>
    <n v="0"/>
    <n v="0"/>
  </r>
  <r>
    <s v="Impidimp"/>
    <x v="1030"/>
    <n v="859"/>
    <s v="859_0"/>
    <x v="2"/>
    <n v="0.4"/>
    <n v="5.5"/>
    <x v="5"/>
    <s v="Fairy"/>
    <s v="Prankster"/>
    <s v="Frisk"/>
    <s v="Pickpocket"/>
    <s v="Pink"/>
    <n v="100"/>
    <n v="0"/>
    <n v="0"/>
    <n v="20"/>
    <s v="Fairy"/>
    <s v="Human-Like"/>
    <n v="255"/>
    <n v="53"/>
    <n v="1000000"/>
    <x v="0"/>
    <m/>
    <m/>
    <n v="45"/>
    <n v="45"/>
    <n v="30"/>
    <n v="55"/>
    <n v="40"/>
    <n v="50"/>
    <n v="265"/>
    <n v="0"/>
    <n v="0"/>
    <n v="0"/>
    <n v="1"/>
    <n v="0"/>
    <n v="0"/>
  </r>
  <r>
    <s v="Morgrem"/>
    <x v="1031"/>
    <n v="860"/>
    <s v="860_0"/>
    <x v="2"/>
    <n v="0.8"/>
    <n v="12.5"/>
    <x v="5"/>
    <s v="Fairy"/>
    <s v="Prankster"/>
    <s v="Frisk"/>
    <s v="Pickpocket"/>
    <s v="Pink"/>
    <n v="100"/>
    <n v="0"/>
    <n v="0"/>
    <n v="20"/>
    <s v="Fairy"/>
    <s v="Human-Like"/>
    <n v="120"/>
    <n v="130"/>
    <n v="1000000"/>
    <x v="0"/>
    <m/>
    <m/>
    <n v="65"/>
    <n v="60"/>
    <n v="45"/>
    <n v="75"/>
    <n v="55"/>
    <n v="70"/>
    <n v="370"/>
    <n v="0"/>
    <n v="0"/>
    <n v="0"/>
    <n v="2"/>
    <n v="0"/>
    <n v="0"/>
  </r>
  <r>
    <s v="Grimmsnarl"/>
    <x v="1032"/>
    <n v="861"/>
    <s v="861_0"/>
    <x v="2"/>
    <n v="1.5"/>
    <n v="61"/>
    <x v="5"/>
    <s v="Fairy"/>
    <s v="Prankster"/>
    <s v="Frisk"/>
    <s v="Pickpocket"/>
    <s v="Purple"/>
    <n v="100"/>
    <n v="0"/>
    <n v="0"/>
    <n v="20"/>
    <s v="Fairy"/>
    <s v="Human-Like"/>
    <n v="45"/>
    <n v="255"/>
    <n v="1000000"/>
    <x v="0"/>
    <m/>
    <m/>
    <n v="95"/>
    <n v="120"/>
    <n v="65"/>
    <n v="95"/>
    <n v="75"/>
    <n v="60"/>
    <n v="510"/>
    <n v="0"/>
    <n v="3"/>
    <n v="0"/>
    <n v="0"/>
    <n v="0"/>
    <n v="0"/>
  </r>
  <r>
    <s v="Obstagoon"/>
    <x v="1033"/>
    <n v="862"/>
    <s v="862_0"/>
    <x v="2"/>
    <n v="1.6"/>
    <n v="46"/>
    <x v="5"/>
    <s v="Normal"/>
    <s v="Reckless"/>
    <s v="Guts"/>
    <s v="Defiant"/>
    <s v="Gray"/>
    <n v="50"/>
    <n v="50"/>
    <n v="0"/>
    <n v="15"/>
    <s v="Ground"/>
    <m/>
    <n v="45"/>
    <n v="260"/>
    <n v="1000000"/>
    <x v="0"/>
    <m/>
    <m/>
    <n v="93"/>
    <n v="90"/>
    <n v="101"/>
    <n v="60"/>
    <n v="81"/>
    <n v="95"/>
    <n v="520"/>
    <n v="0"/>
    <n v="0"/>
    <n v="3"/>
    <n v="0"/>
    <n v="0"/>
    <n v="0"/>
  </r>
  <r>
    <s v="Perrserker"/>
    <x v="1034"/>
    <n v="863"/>
    <s v="863_0"/>
    <x v="2"/>
    <n v="0.8"/>
    <n v="28"/>
    <x v="11"/>
    <m/>
    <s v="Battle Armor"/>
    <s v="Tough Claws"/>
    <s v="Steely Spirit"/>
    <s v="Brown"/>
    <n v="50"/>
    <n v="50"/>
    <n v="0"/>
    <n v="20"/>
    <s v="Ground"/>
    <m/>
    <n v="90"/>
    <n v="154"/>
    <n v="1000000"/>
    <x v="0"/>
    <m/>
    <m/>
    <n v="70"/>
    <n v="110"/>
    <n v="100"/>
    <n v="50"/>
    <n v="60"/>
    <n v="50"/>
    <n v="440"/>
    <n v="0"/>
    <n v="2"/>
    <n v="0"/>
    <n v="0"/>
    <n v="0"/>
    <n v="0"/>
  </r>
  <r>
    <s v="Cursola"/>
    <x v="1035"/>
    <n v="864"/>
    <s v="864_0"/>
    <x v="2"/>
    <n v="1"/>
    <n v="0.4"/>
    <x v="15"/>
    <m/>
    <s v="Weak Armor"/>
    <m/>
    <s v="Perish Body"/>
    <s v="White"/>
    <n v="25"/>
    <n v="75"/>
    <n v="0"/>
    <n v="20"/>
    <s v="Water1"/>
    <s v="Water3"/>
    <n v="30"/>
    <n v="179"/>
    <n v="800000"/>
    <x v="0"/>
    <m/>
    <m/>
    <n v="60"/>
    <n v="95"/>
    <n v="50"/>
    <n v="145"/>
    <n v="130"/>
    <n v="30"/>
    <n v="510"/>
    <n v="0"/>
    <n v="0"/>
    <n v="0"/>
    <n v="2"/>
    <n v="0"/>
    <n v="0"/>
  </r>
  <r>
    <s v="Sirfetch'd"/>
    <x v="1036"/>
    <n v="865"/>
    <s v="865_0"/>
    <x v="2"/>
    <n v="0.8"/>
    <n v="117"/>
    <x v="12"/>
    <m/>
    <s v="Steadfast"/>
    <m/>
    <s v="Scrappy"/>
    <s v="White"/>
    <n v="50"/>
    <n v="50"/>
    <n v="0"/>
    <n v="20"/>
    <s v="Flying"/>
    <s v="Ground"/>
    <n v="45"/>
    <n v="177"/>
    <n v="1000000"/>
    <x v="0"/>
    <m/>
    <m/>
    <n v="62"/>
    <n v="135"/>
    <n v="95"/>
    <n v="68"/>
    <n v="82"/>
    <n v="65"/>
    <n v="507"/>
    <n v="0"/>
    <n v="2"/>
    <n v="0"/>
    <n v="0"/>
    <n v="0"/>
    <n v="0"/>
  </r>
  <r>
    <s v="Mr. Rime"/>
    <x v="1037"/>
    <n v="866"/>
    <s v="866_0"/>
    <x v="2"/>
    <n v="1.5"/>
    <n v="58.2"/>
    <x v="9"/>
    <s v="Psychic"/>
    <s v="Tangled Feet"/>
    <s v="Screen Cleaner"/>
    <s v="Ice Body"/>
    <s v="Purple"/>
    <n v="50"/>
    <n v="50"/>
    <n v="0"/>
    <n v="25"/>
    <s v="Human-Like"/>
    <m/>
    <n v="45"/>
    <n v="182"/>
    <n v="1000000"/>
    <x v="0"/>
    <m/>
    <m/>
    <n v="80"/>
    <n v="85"/>
    <n v="75"/>
    <n v="110"/>
    <n v="100"/>
    <n v="70"/>
    <n v="520"/>
    <n v="0"/>
    <n v="0"/>
    <n v="0"/>
    <n v="3"/>
    <n v="0"/>
    <n v="0"/>
  </r>
  <r>
    <s v="Runerigus"/>
    <x v="1038"/>
    <n v="867"/>
    <s v="867_0"/>
    <x v="2"/>
    <n v="1.6"/>
    <n v="66.599999999999994"/>
    <x v="8"/>
    <s v="Ghost"/>
    <s v="Wandering Spirit"/>
    <m/>
    <m/>
    <s v="Gray"/>
    <n v="50"/>
    <n v="50"/>
    <n v="0"/>
    <n v="25"/>
    <s v="Mineral"/>
    <s v="Amorphous"/>
    <n v="90"/>
    <n v="169"/>
    <n v="1000000"/>
    <x v="0"/>
    <m/>
    <m/>
    <n v="58"/>
    <n v="95"/>
    <n v="145"/>
    <n v="50"/>
    <n v="105"/>
    <n v="30"/>
    <n v="483"/>
    <n v="0"/>
    <n v="0"/>
    <n v="2"/>
    <n v="0"/>
    <n v="0"/>
    <n v="0"/>
  </r>
  <r>
    <s v="Milcery"/>
    <x v="1039"/>
    <n v="868"/>
    <s v="868_0"/>
    <x v="2"/>
    <n v="0.2"/>
    <n v="0.3"/>
    <x v="10"/>
    <m/>
    <s v="Sweet Veil"/>
    <m/>
    <s v="Aroma Veil"/>
    <s v="White"/>
    <n v="0"/>
    <n v="100"/>
    <n v="0"/>
    <n v="20"/>
    <s v="Fairy"/>
    <s v="Amorphous"/>
    <n v="200"/>
    <n v="54"/>
    <n v="1000000"/>
    <x v="0"/>
    <m/>
    <m/>
    <n v="45"/>
    <n v="40"/>
    <n v="40"/>
    <n v="50"/>
    <n v="61"/>
    <n v="34"/>
    <n v="270"/>
    <n v="0"/>
    <n v="0"/>
    <n v="0"/>
    <n v="0"/>
    <n v="1"/>
    <n v="0"/>
  </r>
  <r>
    <s v="Alcremie"/>
    <x v="1040"/>
    <n v="869"/>
    <s v="869_0"/>
    <x v="2"/>
    <n v="0.3"/>
    <n v="0.5"/>
    <x v="10"/>
    <m/>
    <s v="Sweet Veil"/>
    <m/>
    <s v="Aroma Veil"/>
    <s v="White"/>
    <n v="0"/>
    <n v="100"/>
    <n v="0"/>
    <n v="20"/>
    <s v="Fairy"/>
    <s v="Amorphous"/>
    <n v="100"/>
    <n v="173"/>
    <n v="1000000"/>
    <x v="0"/>
    <m/>
    <m/>
    <n v="65"/>
    <n v="60"/>
    <n v="75"/>
    <n v="110"/>
    <n v="121"/>
    <n v="64"/>
    <n v="495"/>
    <n v="0"/>
    <n v="0"/>
    <n v="0"/>
    <n v="0"/>
    <n v="2"/>
    <n v="0"/>
  </r>
  <r>
    <s v="Falinks"/>
    <x v="1041"/>
    <n v="870"/>
    <s v="870_0"/>
    <x v="2"/>
    <n v="3"/>
    <n v="62"/>
    <x v="12"/>
    <m/>
    <s v="Battle Armor"/>
    <m/>
    <s v="Defiant"/>
    <s v="Yellow"/>
    <n v="0"/>
    <n v="0"/>
    <n v="100"/>
    <n v="25"/>
    <s v="Fairy"/>
    <s v="Mineral"/>
    <n v="45"/>
    <n v="165"/>
    <n v="1000000"/>
    <x v="0"/>
    <m/>
    <m/>
    <n v="65"/>
    <n v="100"/>
    <n v="100"/>
    <n v="70"/>
    <n v="60"/>
    <n v="75"/>
    <n v="470"/>
    <n v="0"/>
    <n v="2"/>
    <n v="0"/>
    <n v="0"/>
    <n v="1"/>
    <n v="0"/>
  </r>
  <r>
    <s v="Pincurchin"/>
    <x v="1042"/>
    <n v="871"/>
    <s v="871_0"/>
    <x v="2"/>
    <n v="0.3"/>
    <n v="1"/>
    <x v="7"/>
    <m/>
    <s v="Lightning Rod"/>
    <m/>
    <s v="Electric Surge"/>
    <s v="Purple"/>
    <n v="50"/>
    <n v="50"/>
    <n v="0"/>
    <n v="20"/>
    <s v="Water1"/>
    <s v="Amorphous"/>
    <n v="75"/>
    <n v="152"/>
    <n v="1000000"/>
    <x v="0"/>
    <m/>
    <m/>
    <n v="48"/>
    <n v="101"/>
    <n v="95"/>
    <n v="91"/>
    <n v="85"/>
    <n v="15"/>
    <n v="435"/>
    <n v="0"/>
    <n v="2"/>
    <n v="0"/>
    <n v="0"/>
    <n v="0"/>
    <n v="0"/>
  </r>
  <r>
    <s v="Snom"/>
    <x v="1043"/>
    <n v="872"/>
    <s v="872_0"/>
    <x v="2"/>
    <n v="0.3"/>
    <n v="3.8"/>
    <x v="9"/>
    <s v="Bug"/>
    <s v="Shield Dust"/>
    <m/>
    <s v="Ice Scales"/>
    <s v="White"/>
    <n v="50"/>
    <n v="50"/>
    <n v="0"/>
    <n v="20"/>
    <s v="Bug"/>
    <m/>
    <n v="190"/>
    <n v="37"/>
    <n v="1000000"/>
    <x v="0"/>
    <m/>
    <m/>
    <n v="30"/>
    <n v="25"/>
    <n v="35"/>
    <n v="45"/>
    <n v="30"/>
    <n v="20"/>
    <n v="185"/>
    <n v="0"/>
    <n v="0"/>
    <n v="0"/>
    <n v="1"/>
    <n v="0"/>
    <n v="0"/>
  </r>
  <r>
    <s v="Frosmoth"/>
    <x v="1044"/>
    <n v="873"/>
    <s v="873_0"/>
    <x v="2"/>
    <n v="1.3"/>
    <n v="42"/>
    <x v="9"/>
    <s v="Bug"/>
    <s v="Shield Dust"/>
    <m/>
    <s v="Ice Scales"/>
    <s v="White"/>
    <n v="50"/>
    <n v="50"/>
    <n v="0"/>
    <n v="20"/>
    <s v="Bug"/>
    <m/>
    <n v="75"/>
    <n v="166"/>
    <n v="1000000"/>
    <x v="0"/>
    <m/>
    <m/>
    <n v="70"/>
    <n v="65"/>
    <n v="60"/>
    <n v="125"/>
    <n v="90"/>
    <n v="65"/>
    <n v="475"/>
    <n v="0"/>
    <n v="0"/>
    <n v="0"/>
    <n v="2"/>
    <n v="0"/>
    <n v="0"/>
  </r>
  <r>
    <s v="Stonjourner"/>
    <x v="1045"/>
    <n v="874"/>
    <s v="874_0"/>
    <x v="2"/>
    <n v="2.5"/>
    <n v="520"/>
    <x v="14"/>
    <m/>
    <s v="Power Spot"/>
    <m/>
    <m/>
    <s v="Gray"/>
    <n v="50"/>
    <n v="50"/>
    <n v="0"/>
    <n v="25"/>
    <s v="Mineral"/>
    <m/>
    <n v="60"/>
    <n v="165"/>
    <n v="1250000"/>
    <x v="0"/>
    <m/>
    <m/>
    <n v="100"/>
    <n v="125"/>
    <n v="135"/>
    <n v="20"/>
    <n v="20"/>
    <n v="70"/>
    <n v="470"/>
    <n v="0"/>
    <n v="0"/>
    <n v="2"/>
    <n v="0"/>
    <n v="0"/>
    <n v="0"/>
  </r>
  <r>
    <s v="Eiscue"/>
    <x v="1046"/>
    <n v="875"/>
    <s v="875_0"/>
    <x v="2"/>
    <n v="1.4"/>
    <n v="89"/>
    <x v="9"/>
    <m/>
    <s v="Ice Face"/>
    <m/>
    <m/>
    <s v="Blue"/>
    <n v="50"/>
    <n v="50"/>
    <n v="0"/>
    <n v="25"/>
    <s v="Water1"/>
    <s v="Ground"/>
    <n v="60"/>
    <n v="165"/>
    <n v="1250000"/>
    <x v="0"/>
    <m/>
    <m/>
    <n v="75"/>
    <n v="80"/>
    <n v="110"/>
    <n v="65"/>
    <n v="90"/>
    <n v="50"/>
    <n v="470"/>
    <n v="0"/>
    <n v="0"/>
    <n v="2"/>
    <n v="0"/>
    <n v="0"/>
    <n v="0"/>
  </r>
  <r>
    <s v="Eiscue"/>
    <x v="1047"/>
    <n v="875"/>
    <s v="875_1"/>
    <x v="2"/>
    <n v="1.4"/>
    <n v="89"/>
    <x v="9"/>
    <m/>
    <s v="Ice Face"/>
    <m/>
    <m/>
    <s v="Blue"/>
    <n v="50"/>
    <n v="50"/>
    <n v="0"/>
    <n v="25"/>
    <s v="Water1"/>
    <s v="Ground"/>
    <n v="60"/>
    <n v="165"/>
    <n v="1250000"/>
    <x v="0"/>
    <m/>
    <m/>
    <n v="75"/>
    <n v="80"/>
    <n v="70"/>
    <n v="65"/>
    <n v="50"/>
    <n v="130"/>
    <n v="470"/>
    <n v="0"/>
    <n v="0"/>
    <n v="2"/>
    <n v="0"/>
    <n v="0"/>
    <n v="0"/>
  </r>
  <r>
    <s v="Indeedee"/>
    <x v="1048"/>
    <n v="876"/>
    <s v="876_0"/>
    <x v="2"/>
    <n v="0.9"/>
    <n v="28"/>
    <x v="13"/>
    <s v="Normal"/>
    <s v="Inner Focus"/>
    <s v="Synchronize"/>
    <s v="Psychic Surge"/>
    <s v="Purple"/>
    <n v="100"/>
    <n v="0"/>
    <n v="0"/>
    <n v="40"/>
    <s v="Fairy"/>
    <m/>
    <n v="30"/>
    <n v="166"/>
    <n v="800000"/>
    <x v="0"/>
    <m/>
    <m/>
    <n v="60"/>
    <n v="65"/>
    <n v="55"/>
    <n v="105"/>
    <n v="95"/>
    <n v="95"/>
    <n v="475"/>
    <n v="0"/>
    <n v="0"/>
    <n v="0"/>
    <n v="2"/>
    <n v="0"/>
    <n v="0"/>
  </r>
  <r>
    <s v="Indeedee"/>
    <x v="1049"/>
    <n v="876"/>
    <s v="876_1"/>
    <x v="2"/>
    <n v="0.9"/>
    <n v="28"/>
    <x v="13"/>
    <s v="Normal"/>
    <s v="Own Tempo"/>
    <s v="Synchronize"/>
    <s v="Psychic Surge"/>
    <s v="Purple"/>
    <n v="0"/>
    <n v="100"/>
    <n v="0"/>
    <n v="40"/>
    <s v="Fairy"/>
    <m/>
    <n v="30"/>
    <n v="166"/>
    <n v="800000"/>
    <x v="0"/>
    <m/>
    <m/>
    <n v="70"/>
    <n v="55"/>
    <n v="65"/>
    <n v="95"/>
    <n v="105"/>
    <n v="85"/>
    <n v="475"/>
    <n v="0"/>
    <n v="0"/>
    <n v="0"/>
    <n v="0"/>
    <n v="2"/>
    <n v="0"/>
  </r>
  <r>
    <s v="Morpeko"/>
    <x v="1050"/>
    <n v="877"/>
    <s v="877_0"/>
    <x v="2"/>
    <n v="0.3"/>
    <n v="3"/>
    <x v="7"/>
    <s v="Dark"/>
    <s v="Hunger Switch"/>
    <m/>
    <m/>
    <s v="Yellow"/>
    <n v="50"/>
    <n v="50"/>
    <n v="0"/>
    <n v="10"/>
    <s v="Ground"/>
    <s v="Fairy"/>
    <n v="180"/>
    <n v="153"/>
    <n v="1000000"/>
    <x v="0"/>
    <m/>
    <m/>
    <n v="58"/>
    <n v="95"/>
    <n v="58"/>
    <n v="70"/>
    <n v="58"/>
    <n v="97"/>
    <n v="436"/>
    <n v="0"/>
    <n v="0"/>
    <n v="0"/>
    <n v="0"/>
    <n v="0"/>
    <n v="2"/>
  </r>
  <r>
    <s v="Morpeko"/>
    <x v="1051"/>
    <n v="877"/>
    <s v="877_1"/>
    <x v="2"/>
    <n v="0.3"/>
    <n v="3"/>
    <x v="7"/>
    <s v="Dark"/>
    <s v="Hunger Switch"/>
    <m/>
    <m/>
    <s v="Purple"/>
    <n v="50"/>
    <n v="50"/>
    <n v="0"/>
    <n v="10"/>
    <s v="Ground"/>
    <s v="Fairy"/>
    <n v="180"/>
    <n v="153"/>
    <n v="1000000"/>
    <x v="0"/>
    <m/>
    <m/>
    <n v="58"/>
    <n v="95"/>
    <n v="58"/>
    <n v="70"/>
    <n v="58"/>
    <n v="97"/>
    <n v="436"/>
    <n v="0"/>
    <n v="0"/>
    <n v="0"/>
    <n v="0"/>
    <n v="0"/>
    <n v="2"/>
  </r>
  <r>
    <s v="Cufant"/>
    <x v="1052"/>
    <n v="878"/>
    <s v="878_0"/>
    <x v="2"/>
    <n v="1.2"/>
    <n v="100"/>
    <x v="11"/>
    <m/>
    <s v="Sheer Force"/>
    <m/>
    <s v="Heavy Metal"/>
    <s v="Yellow"/>
    <n v="50"/>
    <n v="50"/>
    <n v="0"/>
    <n v="25"/>
    <s v="Ground"/>
    <s v="Mineral"/>
    <n v="190"/>
    <n v="66"/>
    <n v="1000000"/>
    <x v="0"/>
    <m/>
    <m/>
    <n v="72"/>
    <n v="80"/>
    <n v="49"/>
    <n v="40"/>
    <n v="49"/>
    <n v="40"/>
    <n v="330"/>
    <n v="0"/>
    <n v="1"/>
    <n v="0"/>
    <n v="0"/>
    <n v="0"/>
    <n v="0"/>
  </r>
  <r>
    <s v="Copperajah"/>
    <x v="1053"/>
    <n v="879"/>
    <s v="879_0"/>
    <x v="2"/>
    <n v="3"/>
    <n v="650"/>
    <x v="11"/>
    <m/>
    <s v="Sheer Force"/>
    <m/>
    <s v="Heavy Metal"/>
    <s v="Green"/>
    <n v="50"/>
    <n v="50"/>
    <n v="0"/>
    <n v="25"/>
    <s v="Ground"/>
    <s v="Mineral"/>
    <n v="90"/>
    <n v="175"/>
    <n v="1000000"/>
    <x v="0"/>
    <m/>
    <m/>
    <n v="122"/>
    <n v="130"/>
    <n v="69"/>
    <n v="80"/>
    <n v="69"/>
    <n v="30"/>
    <n v="500"/>
    <n v="0"/>
    <n v="2"/>
    <n v="0"/>
    <n v="0"/>
    <n v="0"/>
    <n v="0"/>
  </r>
  <r>
    <s v="Dracozolt"/>
    <x v="1054"/>
    <n v="880"/>
    <s v="880_0"/>
    <x v="2"/>
    <n v="1.8"/>
    <n v="190"/>
    <x v="7"/>
    <s v="Dragon"/>
    <s v="Volt Absorb"/>
    <s v="Hustle"/>
    <s v="Sand Rush"/>
    <s v="Green"/>
    <n v="0"/>
    <n v="0"/>
    <n v="100"/>
    <n v="35"/>
    <s v="Undiscovered"/>
    <m/>
    <n v="45"/>
    <n v="177"/>
    <n v="1250000"/>
    <x v="0"/>
    <m/>
    <m/>
    <n v="90"/>
    <n v="100"/>
    <n v="90"/>
    <n v="80"/>
    <n v="70"/>
    <n v="75"/>
    <n v="505"/>
    <n v="0"/>
    <n v="2"/>
    <n v="0"/>
    <n v="0"/>
    <n v="0"/>
    <n v="0"/>
  </r>
  <r>
    <s v="Arctozolt"/>
    <x v="1055"/>
    <n v="881"/>
    <s v="881_0"/>
    <x v="2"/>
    <n v="2.2999999999999998"/>
    <n v="150"/>
    <x v="7"/>
    <s v="Ice"/>
    <s v="Volt Absorb"/>
    <s v="Static"/>
    <s v="Slush Rush"/>
    <s v="Blue"/>
    <n v="0"/>
    <n v="0"/>
    <n v="100"/>
    <n v="35"/>
    <s v="Undiscovered"/>
    <m/>
    <n v="45"/>
    <n v="177"/>
    <n v="1250000"/>
    <x v="0"/>
    <m/>
    <m/>
    <n v="90"/>
    <n v="100"/>
    <n v="90"/>
    <n v="90"/>
    <n v="80"/>
    <n v="55"/>
    <n v="505"/>
    <n v="0"/>
    <n v="2"/>
    <n v="0"/>
    <n v="0"/>
    <n v="0"/>
    <n v="0"/>
  </r>
  <r>
    <s v="Dracovish"/>
    <x v="1056"/>
    <n v="882"/>
    <s v="882_0"/>
    <x v="2"/>
    <n v="2.2999999999999998"/>
    <n v="215"/>
    <x v="2"/>
    <s v="Dragon"/>
    <s v="Water Absorb"/>
    <s v="Strong Jaw"/>
    <s v="Sand Rush"/>
    <s v="Green"/>
    <n v="0"/>
    <n v="0"/>
    <n v="100"/>
    <n v="35"/>
    <s v="Undiscovered"/>
    <m/>
    <n v="45"/>
    <n v="177"/>
    <n v="1250000"/>
    <x v="0"/>
    <m/>
    <m/>
    <n v="90"/>
    <n v="90"/>
    <n v="100"/>
    <n v="70"/>
    <n v="80"/>
    <n v="75"/>
    <n v="505"/>
    <n v="0"/>
    <n v="0"/>
    <n v="2"/>
    <n v="0"/>
    <n v="0"/>
    <n v="0"/>
  </r>
  <r>
    <s v="Arctovish"/>
    <x v="1057"/>
    <n v="883"/>
    <s v="883_0"/>
    <x v="2"/>
    <n v="2"/>
    <n v="175"/>
    <x v="2"/>
    <s v="Ice"/>
    <s v="Water Absorb"/>
    <s v="Ice Body"/>
    <s v="Slush Rush"/>
    <s v="Blue"/>
    <n v="0"/>
    <n v="0"/>
    <n v="100"/>
    <n v="35"/>
    <s v="Undiscovered"/>
    <m/>
    <n v="45"/>
    <n v="177"/>
    <n v="1250000"/>
    <x v="0"/>
    <m/>
    <m/>
    <n v="90"/>
    <n v="90"/>
    <n v="100"/>
    <n v="80"/>
    <n v="90"/>
    <n v="55"/>
    <n v="505"/>
    <n v="0"/>
    <n v="0"/>
    <n v="2"/>
    <n v="0"/>
    <n v="0"/>
    <n v="0"/>
  </r>
  <r>
    <s v="Duraludon"/>
    <x v="1058"/>
    <n v="884"/>
    <s v="884_0"/>
    <x v="2"/>
    <n v="1.8"/>
    <n v="40"/>
    <x v="11"/>
    <s v="Dragon"/>
    <s v="Light Metal"/>
    <s v="Heavy Metal"/>
    <s v="Stalwart"/>
    <s v="White"/>
    <n v="50"/>
    <n v="50"/>
    <n v="0"/>
    <n v="30"/>
    <s v="Mineral"/>
    <s v="Dragon"/>
    <n v="45"/>
    <n v="187"/>
    <n v="1000000"/>
    <x v="0"/>
    <m/>
    <m/>
    <n v="70"/>
    <n v="95"/>
    <n v="115"/>
    <n v="120"/>
    <n v="50"/>
    <n v="85"/>
    <n v="535"/>
    <n v="0"/>
    <n v="0"/>
    <n v="0"/>
    <n v="2"/>
    <n v="0"/>
    <n v="0"/>
  </r>
  <r>
    <s v="Dreepy"/>
    <x v="1059"/>
    <n v="885"/>
    <s v="885_0"/>
    <x v="2"/>
    <n v="0.5"/>
    <n v="2"/>
    <x v="16"/>
    <s v="Ghost"/>
    <s v="Clear Body"/>
    <s v="Infiltrator"/>
    <s v="Cursed Body"/>
    <s v="Green"/>
    <n v="50"/>
    <n v="50"/>
    <n v="0"/>
    <n v="40"/>
    <s v="Amorphous"/>
    <s v="Dragon"/>
    <n v="45"/>
    <n v="54"/>
    <n v="1250000"/>
    <x v="0"/>
    <m/>
    <m/>
    <n v="28"/>
    <n v="60"/>
    <n v="30"/>
    <n v="40"/>
    <n v="30"/>
    <n v="82"/>
    <n v="270"/>
    <n v="0"/>
    <n v="0"/>
    <n v="0"/>
    <n v="0"/>
    <n v="0"/>
    <n v="1"/>
  </r>
  <r>
    <s v="Drakloak"/>
    <x v="1060"/>
    <n v="886"/>
    <s v="886_0"/>
    <x v="2"/>
    <n v="1.4"/>
    <n v="11"/>
    <x v="16"/>
    <s v="Ghost"/>
    <s v="Clear Body"/>
    <s v="Infiltrator"/>
    <s v="Cursed Body"/>
    <s v="Green"/>
    <n v="50"/>
    <n v="50"/>
    <n v="0"/>
    <n v="40"/>
    <s v="Amorphous"/>
    <s v="Dragon"/>
    <n v="45"/>
    <n v="144"/>
    <n v="1250000"/>
    <x v="0"/>
    <m/>
    <m/>
    <n v="68"/>
    <n v="80"/>
    <n v="50"/>
    <n v="60"/>
    <n v="50"/>
    <n v="102"/>
    <n v="410"/>
    <n v="0"/>
    <n v="0"/>
    <n v="0"/>
    <n v="0"/>
    <n v="0"/>
    <n v="2"/>
  </r>
  <r>
    <s v="Dragapult"/>
    <x v="1061"/>
    <n v="887"/>
    <s v="887_0"/>
    <x v="2"/>
    <n v="3"/>
    <n v="50"/>
    <x v="16"/>
    <s v="Ghost"/>
    <s v="Clear Body"/>
    <s v="Infiltrator"/>
    <s v="Cursed Body"/>
    <s v="Green"/>
    <n v="50"/>
    <n v="50"/>
    <n v="0"/>
    <n v="40"/>
    <s v="Amorphous"/>
    <s v="Dragon"/>
    <n v="45"/>
    <n v="300"/>
    <n v="1250000"/>
    <x v="0"/>
    <m/>
    <m/>
    <n v="88"/>
    <n v="120"/>
    <n v="75"/>
    <n v="100"/>
    <n v="75"/>
    <n v="142"/>
    <n v="600"/>
    <n v="0"/>
    <n v="0"/>
    <n v="0"/>
    <n v="0"/>
    <n v="0"/>
    <n v="3"/>
  </r>
  <r>
    <s v="Zacian"/>
    <x v="1062"/>
    <n v="888"/>
    <s v="888_0"/>
    <x v="2"/>
    <n v="2.8"/>
    <n v="110"/>
    <x v="10"/>
    <m/>
    <s v="Intrepid Sword"/>
    <m/>
    <m/>
    <s v="Blue"/>
    <n v="0"/>
    <n v="0"/>
    <n v="100"/>
    <n v="120"/>
    <s v="Undiscovered"/>
    <m/>
    <n v="10"/>
    <n v="330"/>
    <n v="1250000"/>
    <x v="2"/>
    <m/>
    <m/>
    <n v="92"/>
    <n v="120"/>
    <n v="115"/>
    <n v="80"/>
    <n v="115"/>
    <n v="138"/>
    <n v="660"/>
    <n v="0"/>
    <n v="0"/>
    <n v="0"/>
    <n v="0"/>
    <n v="0"/>
    <n v="3"/>
  </r>
  <r>
    <s v="Zacian"/>
    <x v="1063"/>
    <n v="888"/>
    <s v="888_1"/>
    <x v="2"/>
    <n v="2.8"/>
    <n v="355"/>
    <x v="10"/>
    <s v="Steel"/>
    <s v="Intrepid Sword"/>
    <m/>
    <m/>
    <s v="Blue"/>
    <n v="0"/>
    <n v="0"/>
    <n v="100"/>
    <n v="120"/>
    <s v="Undiscovered"/>
    <m/>
    <n v="10"/>
    <n v="350"/>
    <n v="1250000"/>
    <x v="2"/>
    <m/>
    <m/>
    <n v="92"/>
    <n v="150"/>
    <n v="115"/>
    <n v="80"/>
    <n v="115"/>
    <n v="148"/>
    <n v="700"/>
    <n v="0"/>
    <n v="0"/>
    <n v="0"/>
    <n v="0"/>
    <n v="0"/>
    <n v="3"/>
  </r>
  <r>
    <s v="Zamazenta"/>
    <x v="1064"/>
    <n v="889"/>
    <s v="889_0"/>
    <x v="2"/>
    <n v="2.9"/>
    <n v="210"/>
    <x v="12"/>
    <m/>
    <s v="Dauntless Shield"/>
    <m/>
    <m/>
    <s v="Red"/>
    <n v="0"/>
    <n v="0"/>
    <n v="100"/>
    <n v="120"/>
    <s v="Undiscovered"/>
    <m/>
    <n v="10"/>
    <n v="330"/>
    <n v="1250000"/>
    <x v="2"/>
    <m/>
    <m/>
    <n v="92"/>
    <n v="120"/>
    <n v="115"/>
    <n v="80"/>
    <n v="115"/>
    <n v="138"/>
    <n v="660"/>
    <n v="0"/>
    <n v="0"/>
    <n v="0"/>
    <n v="0"/>
    <n v="0"/>
    <n v="3"/>
  </r>
  <r>
    <s v="Zamazenta"/>
    <x v="1065"/>
    <n v="889"/>
    <s v="889_1"/>
    <x v="2"/>
    <n v="2.9"/>
    <n v="785"/>
    <x v="12"/>
    <s v="Steel"/>
    <s v="Dauntless Shield"/>
    <m/>
    <m/>
    <s v="Red"/>
    <n v="0"/>
    <n v="0"/>
    <n v="100"/>
    <n v="120"/>
    <s v="Undiscovered"/>
    <m/>
    <n v="10"/>
    <n v="350"/>
    <n v="1250000"/>
    <x v="2"/>
    <m/>
    <m/>
    <n v="92"/>
    <n v="120"/>
    <n v="140"/>
    <n v="80"/>
    <n v="140"/>
    <n v="128"/>
    <n v="700"/>
    <n v="0"/>
    <n v="0"/>
    <n v="0"/>
    <n v="0"/>
    <n v="0"/>
    <n v="3"/>
  </r>
  <r>
    <s v="Eternatus"/>
    <x v="1066"/>
    <n v="890"/>
    <s v="890_0"/>
    <x v="2"/>
    <n v="20"/>
    <n v="950"/>
    <x v="6"/>
    <s v="Dragon"/>
    <s v="Pressure"/>
    <m/>
    <m/>
    <s v="Purple"/>
    <n v="0"/>
    <n v="0"/>
    <n v="100"/>
    <n v="120"/>
    <s v="Undiscovered"/>
    <m/>
    <n v="255"/>
    <n v="345"/>
    <n v="1250000"/>
    <x v="2"/>
    <m/>
    <m/>
    <n v="140"/>
    <n v="85"/>
    <n v="95"/>
    <n v="145"/>
    <n v="95"/>
    <n v="130"/>
    <n v="690"/>
    <n v="3"/>
    <n v="0"/>
    <n v="0"/>
    <n v="0"/>
    <n v="0"/>
    <n v="0"/>
  </r>
  <r>
    <s v="Eternatus"/>
    <x v="1067"/>
    <n v="890"/>
    <s v="890_1"/>
    <x v="2"/>
    <n v="100"/>
    <n v="0"/>
    <x v="6"/>
    <s v="Dragon"/>
    <s v="Pressure"/>
    <m/>
    <m/>
    <s v="Purple"/>
    <n v="0"/>
    <n v="0"/>
    <n v="100"/>
    <n v="120"/>
    <s v="Undiscovered"/>
    <m/>
    <n v="255"/>
    <n v="563"/>
    <n v="1250000"/>
    <x v="2"/>
    <m/>
    <m/>
    <n v="255"/>
    <n v="115"/>
    <n v="250"/>
    <n v="125"/>
    <n v="250"/>
    <n v="130"/>
    <n v="1125"/>
    <n v="3"/>
    <n v="0"/>
    <n v="0"/>
    <n v="0"/>
    <n v="0"/>
    <n v="0"/>
  </r>
  <r>
    <s v="Kubfu"/>
    <x v="1068"/>
    <n v="891"/>
    <s v="891_0"/>
    <x v="2"/>
    <n v="0.6"/>
    <n v="12"/>
    <x v="12"/>
    <m/>
    <s v="Inner Focus"/>
    <m/>
    <s v="No Guard"/>
    <s v="Gray"/>
    <n v="87.5"/>
    <n v="12.5"/>
    <n v="0"/>
    <n v="120"/>
    <s v="Undiscovered"/>
    <m/>
    <n v="3"/>
    <n v="77"/>
    <n v="1250000"/>
    <x v="1"/>
    <m/>
    <m/>
    <n v="60"/>
    <n v="90"/>
    <n v="60"/>
    <n v="53"/>
    <n v="50"/>
    <n v="72"/>
    <n v="385"/>
    <n v="0"/>
    <n v="1"/>
    <n v="0"/>
    <n v="0"/>
    <n v="0"/>
    <n v="0"/>
  </r>
  <r>
    <s v="Urshifu"/>
    <x v="1069"/>
    <n v="892"/>
    <s v="892_0"/>
    <x v="2"/>
    <n v="1.9"/>
    <n v="105"/>
    <x v="12"/>
    <s v="Dark"/>
    <s v="Unseen Fist"/>
    <m/>
    <m/>
    <s v="Gray"/>
    <n v="87.5"/>
    <n v="12.5"/>
    <n v="0"/>
    <n v="120"/>
    <s v="Undiscovered"/>
    <m/>
    <n v="3"/>
    <n v="275"/>
    <n v="1250000"/>
    <x v="1"/>
    <m/>
    <m/>
    <n v="100"/>
    <n v="130"/>
    <n v="100"/>
    <n v="63"/>
    <n v="60"/>
    <n v="97"/>
    <n v="550"/>
    <n v="0"/>
    <n v="3"/>
    <n v="0"/>
    <n v="0"/>
    <n v="0"/>
    <n v="0"/>
  </r>
  <r>
    <s v="Urshifu"/>
    <x v="1070"/>
    <n v="892"/>
    <s v="892_1"/>
    <x v="2"/>
    <n v="1.9"/>
    <n v="105"/>
    <x v="12"/>
    <s v="Water"/>
    <s v="Unseen Fist"/>
    <m/>
    <m/>
    <s v="Gray"/>
    <n v="87.5"/>
    <n v="12.5"/>
    <n v="0"/>
    <n v="120"/>
    <s v="Undiscovered"/>
    <m/>
    <n v="3"/>
    <n v="275"/>
    <n v="1250000"/>
    <x v="1"/>
    <m/>
    <m/>
    <n v="100"/>
    <n v="130"/>
    <n v="100"/>
    <n v="63"/>
    <n v="60"/>
    <n v="97"/>
    <n v="550"/>
    <n v="0"/>
    <n v="3"/>
    <n v="0"/>
    <n v="0"/>
    <n v="0"/>
    <n v="0"/>
  </r>
  <r>
    <s v="Zarude"/>
    <x v="1071"/>
    <n v="893"/>
    <s v="893_0"/>
    <x v="2"/>
    <n v="1.8"/>
    <n v="70"/>
    <x v="5"/>
    <s v="Grass"/>
    <s v="Leaf Guard"/>
    <m/>
    <m/>
    <s v="Green"/>
    <n v="0"/>
    <n v="0"/>
    <n v="100"/>
    <n v="120"/>
    <s v="Undiscovered"/>
    <m/>
    <n v="3"/>
    <n v="300"/>
    <n v="1250000"/>
    <x v="3"/>
    <m/>
    <m/>
    <n v="105"/>
    <n v="120"/>
    <n v="105"/>
    <n v="70"/>
    <n v="95"/>
    <n v="105"/>
    <n v="600"/>
    <n v="0"/>
    <n v="3"/>
    <n v="0"/>
    <n v="0"/>
    <n v="0"/>
    <n v="0"/>
  </r>
  <r>
    <s v="Regieleki"/>
    <x v="1072"/>
    <n v="894"/>
    <s v="894_0"/>
    <x v="2"/>
    <n v="1.2"/>
    <n v="145"/>
    <x v="7"/>
    <m/>
    <s v="Transistor"/>
    <m/>
    <m/>
    <s v="Yellow"/>
    <n v="0"/>
    <n v="0"/>
    <n v="100"/>
    <n v="120"/>
    <s v="Undiscovered"/>
    <m/>
    <n v="3"/>
    <n v="290"/>
    <n v="1250000"/>
    <x v="1"/>
    <m/>
    <m/>
    <n v="80"/>
    <n v="100"/>
    <n v="50"/>
    <n v="100"/>
    <n v="50"/>
    <n v="200"/>
    <n v="580"/>
    <n v="0"/>
    <n v="0"/>
    <n v="0"/>
    <n v="0"/>
    <n v="0"/>
    <n v="3"/>
  </r>
  <r>
    <s v="Regidrago"/>
    <x v="1073"/>
    <n v="895"/>
    <s v="895_0"/>
    <x v="2"/>
    <n v="2.1"/>
    <n v="200"/>
    <x v="16"/>
    <m/>
    <s v="Dragon's Maw"/>
    <m/>
    <m/>
    <s v="Green"/>
    <n v="0"/>
    <n v="0"/>
    <n v="100"/>
    <n v="120"/>
    <s v="Undiscovered"/>
    <m/>
    <n v="3"/>
    <n v="290"/>
    <n v="1250000"/>
    <x v="1"/>
    <m/>
    <m/>
    <n v="200"/>
    <n v="100"/>
    <n v="50"/>
    <n v="100"/>
    <n v="50"/>
    <n v="80"/>
    <n v="580"/>
    <n v="3"/>
    <n v="0"/>
    <n v="0"/>
    <n v="0"/>
    <n v="0"/>
    <n v="0"/>
  </r>
  <r>
    <s v="Glastrier"/>
    <x v="1074"/>
    <n v="896"/>
    <s v="896_0"/>
    <x v="2"/>
    <n v="2.2000000000000002"/>
    <n v="800"/>
    <x v="9"/>
    <m/>
    <s v="Chilling Neigh"/>
    <m/>
    <m/>
    <s v="White"/>
    <n v="0"/>
    <n v="0"/>
    <n v="100"/>
    <n v="120"/>
    <s v="Undiscovered"/>
    <m/>
    <n v="3"/>
    <n v="290"/>
    <n v="1250000"/>
    <x v="1"/>
    <m/>
    <m/>
    <n v="100"/>
    <n v="145"/>
    <n v="130"/>
    <n v="65"/>
    <n v="110"/>
    <n v="30"/>
    <n v="580"/>
    <n v="0"/>
    <n v="3"/>
    <n v="0"/>
    <n v="0"/>
    <n v="0"/>
    <n v="0"/>
  </r>
  <r>
    <s v="Spectrier"/>
    <x v="1075"/>
    <n v="897"/>
    <s v="897_0"/>
    <x v="2"/>
    <n v="2"/>
    <n v="44.5"/>
    <x v="15"/>
    <m/>
    <s v="Grim Neigh"/>
    <m/>
    <m/>
    <s v="Black"/>
    <n v="0"/>
    <n v="0"/>
    <n v="100"/>
    <n v="120"/>
    <s v="Undiscovered"/>
    <m/>
    <n v="3"/>
    <n v="290"/>
    <n v="1250000"/>
    <x v="1"/>
    <m/>
    <m/>
    <n v="100"/>
    <n v="65"/>
    <n v="60"/>
    <n v="145"/>
    <n v="80"/>
    <n v="130"/>
    <n v="580"/>
    <n v="0"/>
    <n v="0"/>
    <n v="0"/>
    <n v="3"/>
    <n v="0"/>
    <n v="0"/>
  </r>
  <r>
    <s v="Calyrex"/>
    <x v="1076"/>
    <n v="898"/>
    <s v="898_0"/>
    <x v="2"/>
    <n v="1.1000000000000001"/>
    <n v="7.7"/>
    <x v="13"/>
    <s v="Grass"/>
    <s v="Unnerve"/>
    <m/>
    <m/>
    <s v="Green"/>
    <n v="0"/>
    <n v="0"/>
    <n v="100"/>
    <n v="120"/>
    <s v="Undiscovered"/>
    <m/>
    <n v="3"/>
    <n v="250"/>
    <n v="1250000"/>
    <x v="2"/>
    <m/>
    <m/>
    <n v="100"/>
    <n v="80"/>
    <n v="80"/>
    <n v="80"/>
    <n v="80"/>
    <n v="80"/>
    <n v="500"/>
    <n v="3"/>
    <n v="0"/>
    <n v="0"/>
    <n v="0"/>
    <n v="0"/>
    <n v="0"/>
  </r>
  <r>
    <s v="Calyrex"/>
    <x v="1077"/>
    <n v="898"/>
    <s v="898_1"/>
    <x v="2"/>
    <n v="2.4"/>
    <n v="809.1"/>
    <x v="13"/>
    <s v="Ice"/>
    <s v="As One"/>
    <m/>
    <m/>
    <s v="White"/>
    <n v="0"/>
    <n v="0"/>
    <n v="100"/>
    <n v="120"/>
    <s v="Undiscovered"/>
    <m/>
    <n v="3"/>
    <n v="340"/>
    <n v="1250000"/>
    <x v="2"/>
    <m/>
    <m/>
    <n v="100"/>
    <n v="165"/>
    <n v="150"/>
    <n v="85"/>
    <n v="130"/>
    <n v="50"/>
    <n v="680"/>
    <n v="0"/>
    <n v="3"/>
    <n v="0"/>
    <n v="0"/>
    <n v="0"/>
    <n v="0"/>
  </r>
  <r>
    <s v="Calyrex"/>
    <x v="1078"/>
    <n v="898"/>
    <s v="898_2"/>
    <x v="2"/>
    <n v="2.4"/>
    <n v="53.6"/>
    <x v="13"/>
    <s v="Ghost"/>
    <s v="As One"/>
    <m/>
    <m/>
    <s v="Black"/>
    <n v="0"/>
    <n v="0"/>
    <n v="100"/>
    <n v="120"/>
    <s v="Undiscovered"/>
    <m/>
    <n v="3"/>
    <n v="340"/>
    <n v="1250000"/>
    <x v="2"/>
    <m/>
    <m/>
    <n v="100"/>
    <n v="85"/>
    <n v="80"/>
    <n v="165"/>
    <n v="100"/>
    <n v="150"/>
    <n v="680"/>
    <n v="0"/>
    <n v="0"/>
    <n v="0"/>
    <n v="3"/>
    <n v="0"/>
    <n v="0"/>
  </r>
  <r>
    <s v="Wyrdeer"/>
    <x v="1079"/>
    <n v="899"/>
    <s v="899_0"/>
    <x v="2"/>
    <n v="1.8"/>
    <n v="95.1"/>
    <x v="4"/>
    <s v="Psychic"/>
    <s v="Intimidate"/>
    <s v="Frisk"/>
    <s v="Sap Sipper"/>
    <s v="White"/>
    <n v="50"/>
    <n v="50"/>
    <n v="0"/>
    <n v="20"/>
    <s v="Ground"/>
    <m/>
    <n v="45"/>
    <n v="263"/>
    <n v="1250000"/>
    <x v="0"/>
    <m/>
    <m/>
    <n v="103"/>
    <n v="105"/>
    <n v="72"/>
    <n v="105"/>
    <n v="75"/>
    <n v="65"/>
    <n v="525"/>
    <n v="0"/>
    <n v="1"/>
    <n v="0"/>
    <n v="1"/>
    <n v="0"/>
    <n v="0"/>
  </r>
  <r>
    <s v="Kleavor"/>
    <x v="1080"/>
    <n v="900"/>
    <s v="900_0"/>
    <x v="2"/>
    <n v="1.8"/>
    <n v="89"/>
    <x v="3"/>
    <s v="Rock"/>
    <s v="Swarm"/>
    <s v="Sheer Force"/>
    <s v="Sharpness"/>
    <s v="Brown"/>
    <n v="50"/>
    <n v="50"/>
    <n v="0"/>
    <n v="20"/>
    <s v="Bug"/>
    <m/>
    <n v="15"/>
    <n v="175"/>
    <n v="1000000"/>
    <x v="0"/>
    <m/>
    <m/>
    <n v="70"/>
    <n v="130"/>
    <n v="95"/>
    <n v="45"/>
    <n v="75"/>
    <n v="85"/>
    <n v="500"/>
    <n v="0"/>
    <n v="3"/>
    <n v="0"/>
    <n v="0"/>
    <n v="0"/>
    <n v="0"/>
  </r>
  <r>
    <s v="Ursaluna"/>
    <x v="1081"/>
    <n v="901"/>
    <s v="901_0"/>
    <x v="2"/>
    <n v="2.4"/>
    <n v="290"/>
    <x v="8"/>
    <s v="Normal"/>
    <s v="Guts"/>
    <s v="Bulletproof"/>
    <s v="Unnerve"/>
    <s v="Brown"/>
    <n v="50"/>
    <n v="50"/>
    <n v="0"/>
    <n v="20"/>
    <s v="Ground"/>
    <m/>
    <n v="20"/>
    <n v="275"/>
    <n v="1000000"/>
    <x v="0"/>
    <m/>
    <m/>
    <n v="130"/>
    <n v="140"/>
    <n v="105"/>
    <n v="45"/>
    <n v="80"/>
    <n v="50"/>
    <n v="550"/>
    <n v="0"/>
    <n v="3"/>
    <n v="0"/>
    <n v="0"/>
    <n v="0"/>
    <n v="0"/>
  </r>
  <r>
    <s v="Basculegion"/>
    <x v="1082"/>
    <n v="902"/>
    <s v="902_0"/>
    <x v="2"/>
    <n v="3"/>
    <n v="110"/>
    <x v="2"/>
    <s v="Ghost"/>
    <s v="Swift Swim"/>
    <s v="Adaptability"/>
    <s v="Mold Breaker"/>
    <s v="Green"/>
    <n v="100"/>
    <n v="0"/>
    <n v="0"/>
    <n v="20"/>
    <s v="Water2"/>
    <m/>
    <n v="45"/>
    <n v="265"/>
    <n v="1000000"/>
    <x v="0"/>
    <m/>
    <m/>
    <n v="120"/>
    <n v="112"/>
    <n v="65"/>
    <n v="80"/>
    <n v="75"/>
    <n v="78"/>
    <n v="530"/>
    <n v="3"/>
    <n v="0"/>
    <n v="0"/>
    <n v="0"/>
    <n v="0"/>
    <n v="0"/>
  </r>
  <r>
    <s v="Basculegion"/>
    <x v="1083"/>
    <n v="902"/>
    <s v="902_1"/>
    <x v="2"/>
    <n v="3"/>
    <n v="110"/>
    <x v="2"/>
    <s v="Ghost"/>
    <s v="Swift Swim"/>
    <s v="Adaptability"/>
    <s v="Mold Breaker"/>
    <s v="Green"/>
    <n v="0"/>
    <n v="100"/>
    <n v="0"/>
    <n v="20"/>
    <s v="Water2"/>
    <m/>
    <n v="45"/>
    <n v="265"/>
    <n v="1000000"/>
    <x v="0"/>
    <m/>
    <m/>
    <n v="120"/>
    <n v="92"/>
    <n v="65"/>
    <n v="100"/>
    <n v="75"/>
    <n v="78"/>
    <n v="530"/>
    <n v="3"/>
    <n v="0"/>
    <n v="0"/>
    <n v="0"/>
    <n v="0"/>
    <n v="0"/>
  </r>
  <r>
    <s v="Sneasler"/>
    <x v="1084"/>
    <n v="903"/>
    <s v="903_0"/>
    <x v="2"/>
    <n v="1.3"/>
    <n v="43"/>
    <x v="12"/>
    <s v="Poison"/>
    <s v="Pressure"/>
    <s v="Unburden"/>
    <s v="Poison Touch"/>
    <s v="Purple"/>
    <n v="50"/>
    <n v="50"/>
    <n v="0"/>
    <n v="20"/>
    <s v="Ground"/>
    <m/>
    <n v="20"/>
    <n v="102"/>
    <n v="1059860"/>
    <x v="0"/>
    <m/>
    <m/>
    <n v="80"/>
    <n v="130"/>
    <n v="60"/>
    <n v="40"/>
    <n v="80"/>
    <n v="120"/>
    <n v="510"/>
    <n v="0"/>
    <n v="2"/>
    <n v="0"/>
    <n v="0"/>
    <n v="0"/>
    <n v="0"/>
  </r>
  <r>
    <s v="Overqwil"/>
    <x v="1085"/>
    <n v="904"/>
    <s v="904_0"/>
    <x v="2"/>
    <n v="2.5"/>
    <n v="60.5"/>
    <x v="5"/>
    <s v="Poison"/>
    <s v="Poison Point"/>
    <s v="Swift Swim"/>
    <s v="Intimidate"/>
    <s v="Gray"/>
    <n v="50"/>
    <n v="50"/>
    <n v="0"/>
    <n v="20"/>
    <s v="Water2"/>
    <m/>
    <n v="45"/>
    <n v="179"/>
    <n v="1000000"/>
    <x v="0"/>
    <m/>
    <m/>
    <n v="85"/>
    <n v="115"/>
    <n v="95"/>
    <n v="65"/>
    <n v="65"/>
    <n v="85"/>
    <n v="510"/>
    <n v="0"/>
    <n v="2"/>
    <n v="0"/>
    <n v="0"/>
    <n v="0"/>
    <n v="0"/>
  </r>
  <r>
    <s v="Enamorus"/>
    <x v="1086"/>
    <n v="905"/>
    <s v="905_0"/>
    <x v="2"/>
    <n v="1.6"/>
    <n v="48"/>
    <x v="10"/>
    <s v="Flying"/>
    <s v="Cute Charm"/>
    <m/>
    <s v="Contrary"/>
    <s v="Pink"/>
    <n v="0"/>
    <n v="100"/>
    <n v="0"/>
    <n v="20"/>
    <s v="Undiscovered"/>
    <m/>
    <n v="3"/>
    <n v="116"/>
    <n v="1250000"/>
    <x v="1"/>
    <m/>
    <m/>
    <n v="74"/>
    <n v="115"/>
    <n v="70"/>
    <n v="135"/>
    <n v="80"/>
    <n v="106"/>
    <n v="580"/>
    <n v="0"/>
    <n v="0"/>
    <n v="0"/>
    <n v="3"/>
    <n v="0"/>
    <n v="0"/>
  </r>
  <r>
    <s v="Enamorus"/>
    <x v="1087"/>
    <n v="905"/>
    <s v="905_1"/>
    <x v="2"/>
    <n v="1.6"/>
    <n v="48"/>
    <x v="10"/>
    <s v="Flying"/>
    <s v="Overcoat"/>
    <m/>
    <m/>
    <s v="Pink"/>
    <n v="0"/>
    <n v="100"/>
    <n v="0"/>
    <n v="20"/>
    <s v="Undiscovered"/>
    <m/>
    <n v="3"/>
    <n v="116"/>
    <n v="1250000"/>
    <x v="1"/>
    <m/>
    <m/>
    <n v="74"/>
    <n v="115"/>
    <n v="110"/>
    <n v="135"/>
    <n v="100"/>
    <n v="46"/>
    <n v="580"/>
    <n v="0"/>
    <n v="0"/>
    <n v="0"/>
    <n v="3"/>
    <n v="0"/>
    <n v="0"/>
  </r>
  <r>
    <s v="Sprigatito"/>
    <x v="1088"/>
    <n v="906"/>
    <s v="906_0"/>
    <x v="3"/>
    <n v="0.4"/>
    <n v="4.0999999999999996"/>
    <x v="0"/>
    <m/>
    <s v="Overgrow"/>
    <m/>
    <s v="Protean"/>
    <s v="Green"/>
    <n v="87.5"/>
    <n v="12.5"/>
    <n v="0"/>
    <n v="20"/>
    <s v="Ground"/>
    <s v="Grass"/>
    <n v="45"/>
    <n v="62"/>
    <n v="1059860"/>
    <x v="0"/>
    <m/>
    <m/>
    <n v="40"/>
    <n v="61"/>
    <n v="54"/>
    <n v="45"/>
    <n v="45"/>
    <n v="65"/>
    <n v="310"/>
    <n v="0"/>
    <n v="0"/>
    <n v="0"/>
    <n v="0"/>
    <n v="0"/>
    <n v="1"/>
  </r>
  <r>
    <s v="Floragato"/>
    <x v="1089"/>
    <n v="907"/>
    <s v="907_0"/>
    <x v="3"/>
    <n v="0.9"/>
    <n v="12.2"/>
    <x v="0"/>
    <m/>
    <s v="Overgrow"/>
    <m/>
    <s v="Protean"/>
    <s v="Green"/>
    <n v="87.5"/>
    <n v="12.5"/>
    <n v="0"/>
    <n v="20"/>
    <s v="Ground"/>
    <s v="Grass"/>
    <n v="45"/>
    <n v="144"/>
    <n v="1059860"/>
    <x v="0"/>
    <m/>
    <m/>
    <n v="61"/>
    <n v="80"/>
    <n v="63"/>
    <n v="60"/>
    <n v="63"/>
    <n v="83"/>
    <n v="410"/>
    <n v="0"/>
    <n v="0"/>
    <n v="0"/>
    <n v="0"/>
    <n v="0"/>
    <n v="2"/>
  </r>
  <r>
    <s v="Meowscarada"/>
    <x v="1090"/>
    <n v="908"/>
    <s v="908_0"/>
    <x v="3"/>
    <n v="1.5"/>
    <n v="31.2"/>
    <x v="0"/>
    <s v="Dark"/>
    <s v="Overgrow"/>
    <m/>
    <s v="Protean"/>
    <s v="Green"/>
    <n v="87.5"/>
    <n v="12.5"/>
    <n v="0"/>
    <n v="20"/>
    <s v="Ground"/>
    <s v="Grass"/>
    <n v="45"/>
    <n v="265"/>
    <n v="1059860"/>
    <x v="0"/>
    <m/>
    <m/>
    <n v="76"/>
    <n v="110"/>
    <n v="70"/>
    <n v="81"/>
    <n v="70"/>
    <n v="123"/>
    <n v="530"/>
    <n v="0"/>
    <n v="0"/>
    <n v="0"/>
    <n v="0"/>
    <n v="0"/>
    <n v="3"/>
  </r>
  <r>
    <s v="Fuecoco"/>
    <x v="1091"/>
    <n v="909"/>
    <s v="909_0"/>
    <x v="3"/>
    <n v="0.4"/>
    <n v="9.8000000000000007"/>
    <x v="1"/>
    <m/>
    <s v="Blaze"/>
    <m/>
    <s v="Unaware"/>
    <s v="Red"/>
    <n v="87.5"/>
    <n v="12.5"/>
    <n v="0"/>
    <n v="20"/>
    <s v="Ground"/>
    <m/>
    <n v="45"/>
    <n v="62"/>
    <n v="1059860"/>
    <x v="0"/>
    <m/>
    <m/>
    <n v="67"/>
    <n v="45"/>
    <n v="59"/>
    <n v="63"/>
    <n v="40"/>
    <n v="36"/>
    <n v="310"/>
    <n v="1"/>
    <n v="0"/>
    <n v="0"/>
    <n v="0"/>
    <n v="0"/>
    <n v="0"/>
  </r>
  <r>
    <s v="Crocalor"/>
    <x v="1092"/>
    <n v="910"/>
    <s v="910_0"/>
    <x v="3"/>
    <n v="1"/>
    <n v="30.7"/>
    <x v="1"/>
    <m/>
    <s v="Blaze"/>
    <m/>
    <s v="Unaware"/>
    <s v="Red"/>
    <n v="87.5"/>
    <n v="12.5"/>
    <n v="0"/>
    <n v="20"/>
    <s v="Ground"/>
    <m/>
    <n v="45"/>
    <n v="144"/>
    <n v="1059860"/>
    <x v="0"/>
    <m/>
    <m/>
    <n v="81"/>
    <n v="55"/>
    <n v="78"/>
    <n v="90"/>
    <n v="58"/>
    <n v="49"/>
    <n v="411"/>
    <n v="0"/>
    <n v="0"/>
    <n v="0"/>
    <n v="2"/>
    <n v="0"/>
    <n v="0"/>
  </r>
  <r>
    <s v="Skeledirge"/>
    <x v="1093"/>
    <n v="911"/>
    <s v="911_0"/>
    <x v="3"/>
    <n v="1.6"/>
    <n v="326.5"/>
    <x v="1"/>
    <s v="Ghost"/>
    <s v="Blaze"/>
    <m/>
    <s v="Unaware"/>
    <s v="Red"/>
    <n v="87.5"/>
    <n v="12.5"/>
    <n v="0"/>
    <n v="20"/>
    <s v="Ground"/>
    <m/>
    <n v="45"/>
    <n v="265"/>
    <n v="1059860"/>
    <x v="0"/>
    <m/>
    <m/>
    <n v="104"/>
    <n v="75"/>
    <n v="100"/>
    <n v="110"/>
    <n v="75"/>
    <n v="66"/>
    <n v="530"/>
    <n v="0"/>
    <n v="0"/>
    <n v="0"/>
    <n v="3"/>
    <n v="0"/>
    <n v="0"/>
  </r>
  <r>
    <s v="Quaxly"/>
    <x v="1094"/>
    <n v="912"/>
    <s v="912_0"/>
    <x v="3"/>
    <n v="0.5"/>
    <n v="6.1"/>
    <x v="2"/>
    <m/>
    <s v="Torrent"/>
    <m/>
    <s v="Moxie"/>
    <s v="Blue"/>
    <n v="87.5"/>
    <n v="12.5"/>
    <n v="0"/>
    <n v="20"/>
    <s v="Flying"/>
    <s v="Water1"/>
    <n v="45"/>
    <n v="62"/>
    <n v="1059860"/>
    <x v="0"/>
    <m/>
    <m/>
    <n v="55"/>
    <n v="65"/>
    <n v="45"/>
    <n v="50"/>
    <n v="45"/>
    <n v="50"/>
    <n v="310"/>
    <n v="0"/>
    <n v="1"/>
    <n v="0"/>
    <n v="0"/>
    <n v="0"/>
    <n v="0"/>
  </r>
  <r>
    <s v="Quaxwell"/>
    <x v="1095"/>
    <n v="913"/>
    <s v="913_0"/>
    <x v="3"/>
    <n v="1.2"/>
    <n v="21.5"/>
    <x v="2"/>
    <m/>
    <s v="Torrent"/>
    <m/>
    <s v="Moxie"/>
    <s v="Blue"/>
    <n v="87.5"/>
    <n v="12.5"/>
    <n v="0"/>
    <n v="20"/>
    <s v="Flying"/>
    <s v="Water1"/>
    <n v="45"/>
    <n v="144"/>
    <n v="1059860"/>
    <x v="0"/>
    <m/>
    <m/>
    <n v="70"/>
    <n v="85"/>
    <n v="65"/>
    <n v="65"/>
    <n v="60"/>
    <n v="65"/>
    <n v="410"/>
    <n v="0"/>
    <n v="2"/>
    <n v="0"/>
    <n v="0"/>
    <n v="0"/>
    <n v="0"/>
  </r>
  <r>
    <s v="Quaquaval"/>
    <x v="1096"/>
    <n v="914"/>
    <s v="914_0"/>
    <x v="3"/>
    <n v="1.8"/>
    <n v="61.9"/>
    <x v="2"/>
    <s v="Fighting"/>
    <s v="Torrent"/>
    <m/>
    <s v="Moxie"/>
    <s v="Blue"/>
    <n v="87.5"/>
    <n v="12.5"/>
    <n v="0"/>
    <n v="20"/>
    <s v="Flying"/>
    <s v="Water1"/>
    <n v="45"/>
    <n v="265"/>
    <n v="1059860"/>
    <x v="0"/>
    <m/>
    <m/>
    <n v="85"/>
    <n v="120"/>
    <n v="80"/>
    <n v="85"/>
    <n v="75"/>
    <n v="85"/>
    <n v="530"/>
    <n v="0"/>
    <n v="3"/>
    <n v="0"/>
    <n v="0"/>
    <n v="0"/>
    <n v="0"/>
  </r>
  <r>
    <s v="Lechonk"/>
    <x v="1097"/>
    <n v="915"/>
    <s v="915_0"/>
    <x v="3"/>
    <n v="0.5"/>
    <n v="10.199999999999999"/>
    <x v="4"/>
    <m/>
    <s v="Aroma Veil"/>
    <s v="Gluttony"/>
    <s v="Thick Fat"/>
    <s v="Gray"/>
    <n v="50"/>
    <n v="50"/>
    <n v="0"/>
    <n v="15"/>
    <s v="Ground"/>
    <m/>
    <n v="255"/>
    <n v="51"/>
    <n v="1000000"/>
    <x v="0"/>
    <m/>
    <m/>
    <n v="54"/>
    <n v="45"/>
    <n v="40"/>
    <n v="35"/>
    <n v="45"/>
    <n v="35"/>
    <n v="254"/>
    <n v="1"/>
    <n v="0"/>
    <n v="0"/>
    <n v="0"/>
    <n v="0"/>
    <n v="0"/>
  </r>
  <r>
    <s v="Oinkologne"/>
    <x v="1098"/>
    <n v="916"/>
    <s v="916_0"/>
    <x v="3"/>
    <n v="1"/>
    <n v="120"/>
    <x v="4"/>
    <m/>
    <s v="Lingering Aroma"/>
    <s v="Gluttony"/>
    <s v="Thick Fat"/>
    <s v="Gray"/>
    <n v="100"/>
    <n v="0"/>
    <n v="0"/>
    <n v="15"/>
    <s v="Ground"/>
    <m/>
    <n v="100"/>
    <n v="171"/>
    <n v="1000000"/>
    <x v="0"/>
    <m/>
    <m/>
    <n v="110"/>
    <n v="100"/>
    <n v="75"/>
    <n v="59"/>
    <n v="80"/>
    <n v="65"/>
    <n v="489"/>
    <n v="2"/>
    <n v="0"/>
    <n v="0"/>
    <n v="0"/>
    <n v="0"/>
    <n v="0"/>
  </r>
  <r>
    <s v="Oinkologne"/>
    <x v="1098"/>
    <n v="916"/>
    <s v="916_1"/>
    <x v="3"/>
    <n v="1"/>
    <n v="120"/>
    <x v="4"/>
    <m/>
    <s v="Aroma Veil"/>
    <s v="Gluttony"/>
    <s v="Thick Fat"/>
    <s v="Brown"/>
    <n v="0"/>
    <n v="100"/>
    <n v="0"/>
    <n v="15"/>
    <s v="Ground"/>
    <m/>
    <n v="100"/>
    <n v="171"/>
    <n v="1000000"/>
    <x v="0"/>
    <m/>
    <m/>
    <n v="115"/>
    <n v="90"/>
    <n v="70"/>
    <n v="59"/>
    <n v="90"/>
    <n v="65"/>
    <n v="489"/>
    <n v="2"/>
    <n v="0"/>
    <n v="0"/>
    <n v="0"/>
    <n v="0"/>
    <n v="0"/>
  </r>
  <r>
    <s v="Tarountula"/>
    <x v="1099"/>
    <n v="917"/>
    <s v="917_0"/>
    <x v="3"/>
    <n v="0.3"/>
    <n v="4"/>
    <x v="3"/>
    <m/>
    <s v="Insomnia"/>
    <m/>
    <s v="Stakeout"/>
    <s v="White"/>
    <n v="50"/>
    <n v="50"/>
    <n v="0"/>
    <n v="15"/>
    <s v="Bug"/>
    <m/>
    <n v="255"/>
    <n v="42"/>
    <n v="600000"/>
    <x v="0"/>
    <m/>
    <m/>
    <n v="35"/>
    <n v="41"/>
    <n v="45"/>
    <n v="29"/>
    <n v="40"/>
    <n v="20"/>
    <n v="210"/>
    <n v="0"/>
    <n v="0"/>
    <n v="1"/>
    <n v="0"/>
    <n v="0"/>
    <n v="0"/>
  </r>
  <r>
    <s v="Spidops"/>
    <x v="1100"/>
    <n v="918"/>
    <s v="918_0"/>
    <x v="3"/>
    <n v="1"/>
    <n v="16.5"/>
    <x v="3"/>
    <m/>
    <s v="Insomnia"/>
    <m/>
    <s v="Stakeout"/>
    <s v="Green"/>
    <n v="50"/>
    <n v="50"/>
    <n v="0"/>
    <n v="15"/>
    <s v="Bug"/>
    <m/>
    <n v="120"/>
    <n v="141"/>
    <n v="600000"/>
    <x v="0"/>
    <m/>
    <m/>
    <n v="60"/>
    <n v="79"/>
    <n v="92"/>
    <n v="52"/>
    <n v="86"/>
    <n v="35"/>
    <n v="404"/>
    <n v="0"/>
    <n v="0"/>
    <n v="2"/>
    <n v="0"/>
    <n v="0"/>
    <n v="0"/>
  </r>
  <r>
    <s v="Nymble"/>
    <x v="1101"/>
    <n v="919"/>
    <s v="919_0"/>
    <x v="3"/>
    <n v="0.2"/>
    <n v="1"/>
    <x v="3"/>
    <m/>
    <s v="Swarm"/>
    <m/>
    <s v="Tinted Lens"/>
    <s v="Gray"/>
    <n v="50"/>
    <n v="50"/>
    <n v="0"/>
    <n v="20"/>
    <s v="Bug"/>
    <m/>
    <n v="190"/>
    <n v="42"/>
    <n v="1000000"/>
    <x v="0"/>
    <m/>
    <m/>
    <n v="33"/>
    <n v="46"/>
    <n v="40"/>
    <n v="21"/>
    <n v="25"/>
    <n v="45"/>
    <n v="210"/>
    <n v="0"/>
    <n v="1"/>
    <n v="0"/>
    <n v="0"/>
    <n v="0"/>
    <n v="0"/>
  </r>
  <r>
    <s v="Lokix"/>
    <x v="1102"/>
    <n v="920"/>
    <s v="920_0"/>
    <x v="3"/>
    <n v="1"/>
    <n v="17.5"/>
    <x v="3"/>
    <s v="Dark"/>
    <s v="Swarm"/>
    <m/>
    <s v="Tinted Lens"/>
    <s v="Gray"/>
    <n v="50"/>
    <n v="50"/>
    <n v="0"/>
    <n v="20"/>
    <s v="Bug"/>
    <m/>
    <n v="30"/>
    <n v="158"/>
    <n v="1000000"/>
    <x v="0"/>
    <m/>
    <m/>
    <n v="71"/>
    <n v="102"/>
    <n v="78"/>
    <n v="52"/>
    <n v="55"/>
    <n v="92"/>
    <n v="450"/>
    <n v="0"/>
    <n v="2"/>
    <n v="0"/>
    <n v="0"/>
    <n v="0"/>
    <n v="0"/>
  </r>
  <r>
    <s v="Pawmi"/>
    <x v="1103"/>
    <n v="921"/>
    <s v="921_0"/>
    <x v="3"/>
    <n v="0.3"/>
    <n v="2.5"/>
    <x v="7"/>
    <m/>
    <s v="Static"/>
    <s v="Natural Cure"/>
    <s v="Iron Fist"/>
    <s v="Yellow"/>
    <n v="50"/>
    <n v="50"/>
    <n v="0"/>
    <n v="15"/>
    <s v="Ground"/>
    <m/>
    <n v="190"/>
    <n v="48"/>
    <n v="1000000"/>
    <x v="0"/>
    <m/>
    <m/>
    <n v="45"/>
    <n v="50"/>
    <n v="20"/>
    <n v="40"/>
    <n v="25"/>
    <n v="60"/>
    <n v="240"/>
    <n v="0"/>
    <n v="0"/>
    <n v="0"/>
    <n v="0"/>
    <n v="0"/>
    <n v="1"/>
  </r>
  <r>
    <s v="Pawmo"/>
    <x v="1104"/>
    <n v="922"/>
    <s v="922_0"/>
    <x v="3"/>
    <n v="0.4"/>
    <n v="6.5"/>
    <x v="7"/>
    <s v="Fighting"/>
    <s v="Volt Absorb"/>
    <s v="Natural Cure"/>
    <s v="Iron Fist"/>
    <s v="Yellow"/>
    <n v="50"/>
    <n v="50"/>
    <n v="0"/>
    <n v="15"/>
    <s v="Ground"/>
    <m/>
    <n v="80"/>
    <n v="123"/>
    <n v="1000000"/>
    <x v="0"/>
    <m/>
    <m/>
    <n v="60"/>
    <n v="75"/>
    <n v="40"/>
    <n v="50"/>
    <n v="40"/>
    <n v="85"/>
    <n v="350"/>
    <n v="0"/>
    <n v="0"/>
    <n v="0"/>
    <n v="0"/>
    <n v="0"/>
    <n v="2"/>
  </r>
  <r>
    <s v="Pawmot"/>
    <x v="1105"/>
    <n v="923"/>
    <s v="923_0"/>
    <x v="3"/>
    <n v="0.9"/>
    <n v="41"/>
    <x v="7"/>
    <s v="Fighting"/>
    <s v="Volt Absorb"/>
    <s v="Natural Cure"/>
    <s v="Iron Fist"/>
    <s v="Yellow"/>
    <n v="50"/>
    <n v="50"/>
    <n v="0"/>
    <n v="15"/>
    <s v="Ground"/>
    <m/>
    <n v="45"/>
    <n v="245"/>
    <n v="1000000"/>
    <x v="0"/>
    <m/>
    <m/>
    <n v="70"/>
    <n v="115"/>
    <n v="70"/>
    <n v="70"/>
    <n v="60"/>
    <n v="105"/>
    <n v="490"/>
    <n v="0"/>
    <n v="3"/>
    <n v="0"/>
    <n v="0"/>
    <n v="0"/>
    <n v="0"/>
  </r>
  <r>
    <s v="Tandemaus"/>
    <x v="1106"/>
    <n v="924"/>
    <s v="924_0"/>
    <x v="3"/>
    <n v="0.3"/>
    <n v="1.8"/>
    <x v="4"/>
    <m/>
    <s v="Run Away"/>
    <s v="Pickup"/>
    <s v="Own Tempo"/>
    <s v="White"/>
    <n v="0"/>
    <n v="0"/>
    <n v="100"/>
    <n v="10"/>
    <s v="Ground"/>
    <s v="Fairy"/>
    <n v="150"/>
    <n v="61"/>
    <n v="800000"/>
    <x v="0"/>
    <m/>
    <m/>
    <n v="50"/>
    <n v="50"/>
    <n v="45"/>
    <n v="40"/>
    <n v="45"/>
    <n v="75"/>
    <n v="305"/>
    <n v="0"/>
    <n v="0"/>
    <n v="0"/>
    <n v="0"/>
    <n v="0"/>
    <n v="1"/>
  </r>
  <r>
    <s v="Maushold"/>
    <x v="1107"/>
    <n v="925"/>
    <s v="925_0"/>
    <x v="3"/>
    <n v="0.3"/>
    <n v="2.2999999999999998"/>
    <x v="4"/>
    <m/>
    <s v="Friend Guard"/>
    <s v="Cheek Pouch"/>
    <s v="Technician"/>
    <s v="White"/>
    <n v="0"/>
    <n v="0"/>
    <n v="100"/>
    <n v="10"/>
    <s v="Ground"/>
    <s v="Fairy"/>
    <n v="75"/>
    <n v="165"/>
    <n v="800000"/>
    <x v="0"/>
    <m/>
    <m/>
    <n v="74"/>
    <n v="75"/>
    <n v="70"/>
    <n v="65"/>
    <n v="75"/>
    <n v="111"/>
    <n v="470"/>
    <n v="0"/>
    <n v="0"/>
    <n v="0"/>
    <n v="0"/>
    <n v="0"/>
    <n v="2"/>
  </r>
  <r>
    <s v="Maushold"/>
    <x v="1108"/>
    <n v="925"/>
    <s v="925_1"/>
    <x v="3"/>
    <n v="0.3"/>
    <n v="2.8"/>
    <x v="4"/>
    <m/>
    <s v="Friend Guard"/>
    <s v="Cheek Pouch"/>
    <s v="Technician"/>
    <s v="White"/>
    <n v="0"/>
    <n v="0"/>
    <n v="100"/>
    <n v="10"/>
    <s v="Ground"/>
    <s v="Fairy"/>
    <n v="75"/>
    <n v="165"/>
    <n v="800000"/>
    <x v="0"/>
    <m/>
    <m/>
    <n v="74"/>
    <n v="75"/>
    <n v="70"/>
    <n v="65"/>
    <n v="75"/>
    <n v="111"/>
    <n v="470"/>
    <n v="0"/>
    <n v="0"/>
    <n v="0"/>
    <n v="0"/>
    <n v="0"/>
    <n v="2"/>
  </r>
  <r>
    <s v="Fidough"/>
    <x v="1109"/>
    <n v="926"/>
    <s v="926_0"/>
    <x v="3"/>
    <n v="0.3"/>
    <n v="10.9"/>
    <x v="10"/>
    <m/>
    <s v="Own Tempo"/>
    <m/>
    <s v="Klutz"/>
    <s v="Yellow"/>
    <n v="50"/>
    <n v="50"/>
    <n v="0"/>
    <n v="20"/>
    <s v="Ground"/>
    <s v="Mineral"/>
    <n v="190"/>
    <n v="62"/>
    <n v="1059860"/>
    <x v="0"/>
    <m/>
    <m/>
    <n v="37"/>
    <n v="55"/>
    <n v="70"/>
    <n v="30"/>
    <n v="55"/>
    <n v="65"/>
    <n v="312"/>
    <n v="0"/>
    <n v="0"/>
    <n v="0"/>
    <n v="0"/>
    <n v="0"/>
    <n v="1"/>
  </r>
  <r>
    <s v="Dachsbun"/>
    <x v="1110"/>
    <n v="927"/>
    <s v="927_0"/>
    <x v="3"/>
    <n v="0.5"/>
    <n v="14.9"/>
    <x v="10"/>
    <m/>
    <s v="Well-Baked Body"/>
    <m/>
    <s v="Aroma Veil"/>
    <s v="Brown"/>
    <n v="50"/>
    <n v="50"/>
    <n v="0"/>
    <n v="20"/>
    <s v="Ground"/>
    <s v="Mineral"/>
    <n v="90"/>
    <n v="167"/>
    <n v="1059860"/>
    <x v="0"/>
    <m/>
    <m/>
    <n v="57"/>
    <n v="80"/>
    <n v="115"/>
    <n v="50"/>
    <n v="80"/>
    <n v="95"/>
    <n v="477"/>
    <n v="0"/>
    <n v="0"/>
    <n v="0"/>
    <n v="0"/>
    <n v="0"/>
    <n v="2"/>
  </r>
  <r>
    <s v="Smoliv"/>
    <x v="1111"/>
    <n v="928"/>
    <s v="928_0"/>
    <x v="3"/>
    <n v="0.3"/>
    <n v="6.5"/>
    <x v="0"/>
    <s v="Normal"/>
    <s v="Early Bird"/>
    <m/>
    <s v="Harvest"/>
    <s v="Green"/>
    <n v="50"/>
    <n v="50"/>
    <n v="0"/>
    <n v="20"/>
    <s v="Grass"/>
    <m/>
    <n v="255"/>
    <n v="52"/>
    <n v="1059860"/>
    <x v="0"/>
    <m/>
    <m/>
    <n v="41"/>
    <n v="35"/>
    <n v="45"/>
    <n v="58"/>
    <n v="51"/>
    <n v="30"/>
    <n v="260"/>
    <n v="0"/>
    <n v="0"/>
    <n v="0"/>
    <n v="1"/>
    <n v="0"/>
    <n v="0"/>
  </r>
  <r>
    <s v="Dolliv"/>
    <x v="1112"/>
    <n v="929"/>
    <s v="929_0"/>
    <x v="3"/>
    <n v="0.6"/>
    <n v="11.9"/>
    <x v="0"/>
    <s v="Normal"/>
    <s v="Early Bird"/>
    <m/>
    <s v="Harvest"/>
    <s v="Green"/>
    <n v="50"/>
    <n v="50"/>
    <n v="0"/>
    <n v="20"/>
    <s v="Grass"/>
    <m/>
    <n v="120"/>
    <n v="124"/>
    <n v="1059860"/>
    <x v="0"/>
    <m/>
    <m/>
    <n v="52"/>
    <n v="53"/>
    <n v="60"/>
    <n v="78"/>
    <n v="78"/>
    <n v="33"/>
    <n v="354"/>
    <n v="0"/>
    <n v="0"/>
    <n v="0"/>
    <n v="2"/>
    <n v="0"/>
    <n v="0"/>
  </r>
  <r>
    <s v="Arboliva"/>
    <x v="1113"/>
    <n v="930"/>
    <s v="930_0"/>
    <x v="3"/>
    <n v="1.4"/>
    <n v="48.2"/>
    <x v="0"/>
    <s v="Normal"/>
    <s v="Seed Sower"/>
    <m/>
    <s v="Harvest"/>
    <s v="Green"/>
    <n v="50"/>
    <n v="50"/>
    <n v="0"/>
    <n v="20"/>
    <s v="Grass"/>
    <m/>
    <n v="45"/>
    <n v="255"/>
    <n v="1059860"/>
    <x v="0"/>
    <m/>
    <m/>
    <n v="78"/>
    <n v="69"/>
    <n v="90"/>
    <n v="125"/>
    <n v="109"/>
    <n v="39"/>
    <n v="510"/>
    <n v="0"/>
    <n v="0"/>
    <n v="0"/>
    <n v="3"/>
    <n v="0"/>
    <n v="0"/>
  </r>
  <r>
    <s v="Squawkabilly"/>
    <x v="1114"/>
    <n v="931"/>
    <s v="931_0"/>
    <x v="3"/>
    <n v="0.6"/>
    <n v="2.4"/>
    <x v="4"/>
    <s v="Flying"/>
    <s v="Intimidate"/>
    <s v="Guts"/>
    <s v="Guts"/>
    <s v="Green"/>
    <n v="50"/>
    <n v="50"/>
    <n v="0"/>
    <n v="15"/>
    <s v="Flying"/>
    <m/>
    <n v="190"/>
    <n v="146"/>
    <n v="600000"/>
    <x v="0"/>
    <m/>
    <m/>
    <n v="82"/>
    <n v="96"/>
    <n v="51"/>
    <n v="45"/>
    <n v="51"/>
    <n v="92"/>
    <n v="417"/>
    <n v="0"/>
    <n v="1"/>
    <n v="0"/>
    <n v="0"/>
    <n v="0"/>
    <n v="0"/>
  </r>
  <r>
    <s v="Squawkabilly"/>
    <x v="1115"/>
    <n v="931"/>
    <s v="931_1"/>
    <x v="3"/>
    <n v="0.6"/>
    <n v="2.4"/>
    <x v="4"/>
    <s v="Flying"/>
    <s v="Intimidate"/>
    <s v="Guts"/>
    <s v="Guts"/>
    <s v="Green"/>
    <n v="50"/>
    <n v="50"/>
    <n v="0"/>
    <n v="15"/>
    <s v="Flying"/>
    <m/>
    <n v="190"/>
    <n v="146"/>
    <n v="600000"/>
    <x v="0"/>
    <m/>
    <m/>
    <n v="82"/>
    <n v="96"/>
    <n v="51"/>
    <n v="45"/>
    <n v="51"/>
    <n v="92"/>
    <n v="417"/>
    <n v="0"/>
    <n v="1"/>
    <n v="0"/>
    <n v="0"/>
    <n v="0"/>
    <n v="0"/>
  </r>
  <r>
    <s v="Squawkabilly"/>
    <x v="1116"/>
    <n v="931"/>
    <s v="931_2"/>
    <x v="3"/>
    <n v="0.6"/>
    <n v="2.4"/>
    <x v="4"/>
    <s v="Flying"/>
    <s v="Intimidate"/>
    <s v="Guts"/>
    <s v="Sheer Force"/>
    <s v="Green"/>
    <n v="50"/>
    <n v="50"/>
    <n v="0"/>
    <n v="15"/>
    <s v="Flying"/>
    <m/>
    <n v="190"/>
    <n v="146"/>
    <n v="600000"/>
    <x v="0"/>
    <m/>
    <m/>
    <n v="82"/>
    <n v="96"/>
    <n v="51"/>
    <n v="45"/>
    <n v="51"/>
    <n v="92"/>
    <n v="417"/>
    <n v="0"/>
    <n v="1"/>
    <n v="0"/>
    <n v="0"/>
    <n v="0"/>
    <n v="0"/>
  </r>
  <r>
    <s v="Squawkabilly"/>
    <x v="1117"/>
    <n v="931"/>
    <s v="931_3"/>
    <x v="3"/>
    <n v="0.6"/>
    <n v="2.4"/>
    <x v="4"/>
    <s v="Flying"/>
    <s v="Intimidate"/>
    <s v="Guts"/>
    <s v="Sheer Force"/>
    <s v="Green"/>
    <n v="50"/>
    <n v="50"/>
    <n v="0"/>
    <n v="15"/>
    <s v="Flying"/>
    <m/>
    <n v="190"/>
    <n v="146"/>
    <n v="600000"/>
    <x v="0"/>
    <m/>
    <m/>
    <n v="82"/>
    <n v="96"/>
    <n v="51"/>
    <n v="45"/>
    <n v="51"/>
    <n v="92"/>
    <n v="417"/>
    <n v="0"/>
    <n v="1"/>
    <n v="0"/>
    <n v="0"/>
    <n v="0"/>
    <n v="0"/>
  </r>
  <r>
    <s v="Nacli"/>
    <x v="1118"/>
    <n v="932"/>
    <s v="932_0"/>
    <x v="3"/>
    <n v="0.4"/>
    <n v="16"/>
    <x v="14"/>
    <m/>
    <s v="Purifying Salt"/>
    <s v="Sturdy"/>
    <s v="Clear Body"/>
    <s v="Brown"/>
    <n v="50"/>
    <n v="50"/>
    <n v="0"/>
    <n v="20"/>
    <s v="Mineral"/>
    <m/>
    <n v="255"/>
    <n v="56"/>
    <n v="1059860"/>
    <x v="0"/>
    <m/>
    <m/>
    <n v="55"/>
    <n v="55"/>
    <n v="75"/>
    <n v="35"/>
    <n v="35"/>
    <n v="25"/>
    <n v="280"/>
    <n v="0"/>
    <n v="0"/>
    <n v="1"/>
    <n v="0"/>
    <n v="0"/>
    <n v="0"/>
  </r>
  <r>
    <s v="Naclstack"/>
    <x v="1119"/>
    <n v="933"/>
    <s v="933_0"/>
    <x v="3"/>
    <n v="0.6"/>
    <n v="105"/>
    <x v="14"/>
    <m/>
    <s v="Purifying Salt"/>
    <s v="Sturdy"/>
    <s v="Clear Body"/>
    <s v="Brown"/>
    <n v="50"/>
    <n v="50"/>
    <n v="0"/>
    <n v="20"/>
    <s v="Mineral"/>
    <m/>
    <n v="120"/>
    <n v="124"/>
    <n v="1059860"/>
    <x v="0"/>
    <m/>
    <m/>
    <n v="60"/>
    <n v="60"/>
    <n v="100"/>
    <n v="35"/>
    <n v="65"/>
    <n v="35"/>
    <n v="355"/>
    <n v="0"/>
    <n v="0"/>
    <n v="2"/>
    <n v="0"/>
    <n v="0"/>
    <n v="0"/>
  </r>
  <r>
    <s v="Garganacl"/>
    <x v="1120"/>
    <n v="934"/>
    <s v="934_0"/>
    <x v="3"/>
    <n v="2.2999999999999998"/>
    <n v="240"/>
    <x v="14"/>
    <m/>
    <s v="Purifying Salt"/>
    <s v="Sturdy"/>
    <s v="Clear Body"/>
    <s v="Brown"/>
    <n v="50"/>
    <n v="50"/>
    <n v="0"/>
    <n v="20"/>
    <s v="Mineral"/>
    <m/>
    <n v="45"/>
    <n v="250"/>
    <n v="1059860"/>
    <x v="0"/>
    <m/>
    <m/>
    <n v="100"/>
    <n v="100"/>
    <n v="130"/>
    <n v="45"/>
    <n v="90"/>
    <n v="35"/>
    <n v="500"/>
    <n v="0"/>
    <n v="0"/>
    <n v="3"/>
    <n v="0"/>
    <n v="0"/>
    <n v="0"/>
  </r>
  <r>
    <s v="Charcadet"/>
    <x v="1121"/>
    <n v="935"/>
    <s v="935_0"/>
    <x v="3"/>
    <n v="0.6"/>
    <n v="10.5"/>
    <x v="1"/>
    <m/>
    <s v="Flash Fire"/>
    <m/>
    <s v="Flame Body"/>
    <s v="Red"/>
    <n v="50"/>
    <n v="50"/>
    <n v="0"/>
    <n v="35"/>
    <s v="Human-Like"/>
    <m/>
    <n v="90"/>
    <n v="51"/>
    <n v="1250000"/>
    <x v="0"/>
    <m/>
    <m/>
    <n v="40"/>
    <n v="50"/>
    <n v="40"/>
    <n v="50"/>
    <n v="40"/>
    <n v="35"/>
    <n v="255"/>
    <n v="0"/>
    <n v="0"/>
    <n v="0"/>
    <n v="1"/>
    <n v="0"/>
    <n v="0"/>
  </r>
  <r>
    <s v="Armarouge"/>
    <x v="1122"/>
    <n v="936"/>
    <s v="936_0"/>
    <x v="3"/>
    <n v="1.5"/>
    <n v="85"/>
    <x v="1"/>
    <s v="Psychic"/>
    <s v="Flash Fire"/>
    <m/>
    <s v="Weak Armor"/>
    <s v="Red"/>
    <n v="50"/>
    <n v="50"/>
    <n v="0"/>
    <n v="35"/>
    <s v="Human-Like"/>
    <m/>
    <n v="25"/>
    <n v="263"/>
    <n v="1250000"/>
    <x v="0"/>
    <m/>
    <m/>
    <n v="85"/>
    <n v="60"/>
    <n v="100"/>
    <n v="125"/>
    <n v="80"/>
    <n v="75"/>
    <n v="525"/>
    <n v="0"/>
    <n v="0"/>
    <n v="0"/>
    <n v="2"/>
    <n v="0"/>
    <n v="0"/>
  </r>
  <r>
    <s v="Ceruledge"/>
    <x v="1123"/>
    <n v="937"/>
    <s v="937_0"/>
    <x v="3"/>
    <n v="1.6"/>
    <n v="62"/>
    <x v="1"/>
    <s v="Ghost"/>
    <s v="Flash Fire"/>
    <m/>
    <s v="Weak Armor"/>
    <s v="Blue"/>
    <n v="50"/>
    <n v="50"/>
    <n v="0"/>
    <n v="35"/>
    <s v="Human-Like"/>
    <m/>
    <n v="25"/>
    <n v="263"/>
    <n v="1250000"/>
    <x v="0"/>
    <m/>
    <m/>
    <n v="75"/>
    <n v="125"/>
    <n v="80"/>
    <n v="60"/>
    <n v="100"/>
    <n v="85"/>
    <n v="525"/>
    <n v="0"/>
    <n v="2"/>
    <n v="0"/>
    <n v="0"/>
    <n v="0"/>
    <n v="0"/>
  </r>
  <r>
    <s v="Tadbulb"/>
    <x v="1124"/>
    <n v="938"/>
    <s v="938_0"/>
    <x v="3"/>
    <n v="0.3"/>
    <n v="0.4"/>
    <x v="7"/>
    <m/>
    <s v="Own Tempo"/>
    <s v="Static"/>
    <s v="Damp"/>
    <s v="Yellow"/>
    <n v="50"/>
    <n v="50"/>
    <n v="0"/>
    <n v="20"/>
    <s v="Water1"/>
    <m/>
    <n v="190"/>
    <n v="54"/>
    <n v="1000000"/>
    <x v="0"/>
    <m/>
    <m/>
    <n v="61"/>
    <n v="31"/>
    <n v="41"/>
    <n v="59"/>
    <n v="35"/>
    <n v="45"/>
    <n v="272"/>
    <n v="1"/>
    <n v="0"/>
    <n v="0"/>
    <n v="0"/>
    <n v="0"/>
    <n v="0"/>
  </r>
  <r>
    <s v="Bellibolt"/>
    <x v="1125"/>
    <n v="939"/>
    <s v="939_0"/>
    <x v="3"/>
    <n v="1.2"/>
    <n v="113"/>
    <x v="7"/>
    <m/>
    <s v="Electromorphosis"/>
    <s v="Static"/>
    <s v="Damp"/>
    <s v="Green"/>
    <n v="50"/>
    <n v="50"/>
    <n v="0"/>
    <n v="20"/>
    <s v="Water1"/>
    <m/>
    <n v="50"/>
    <n v="173"/>
    <n v="1000000"/>
    <x v="0"/>
    <m/>
    <m/>
    <n v="109"/>
    <n v="64"/>
    <n v="91"/>
    <n v="103"/>
    <n v="83"/>
    <n v="45"/>
    <n v="495"/>
    <n v="2"/>
    <n v="0"/>
    <n v="0"/>
    <n v="0"/>
    <n v="0"/>
    <n v="0"/>
  </r>
  <r>
    <s v="Wattrel"/>
    <x v="1126"/>
    <n v="940"/>
    <s v="940_0"/>
    <x v="3"/>
    <n v="0.4"/>
    <n v="3.6"/>
    <x v="7"/>
    <s v="Flying"/>
    <s v="Wind Power"/>
    <s v="Volt Absorb"/>
    <s v="Competitive"/>
    <s v="Black"/>
    <n v="50"/>
    <n v="50"/>
    <n v="0"/>
    <n v="20"/>
    <s v="Water1"/>
    <s v="Flying"/>
    <n v="180"/>
    <n v="56"/>
    <n v="1059860"/>
    <x v="0"/>
    <m/>
    <m/>
    <n v="40"/>
    <n v="40"/>
    <n v="35"/>
    <n v="55"/>
    <n v="40"/>
    <n v="70"/>
    <n v="280"/>
    <n v="0"/>
    <n v="0"/>
    <n v="0"/>
    <n v="0"/>
    <n v="0"/>
    <n v="1"/>
  </r>
  <r>
    <s v="Kilowattrel"/>
    <x v="1127"/>
    <n v="941"/>
    <s v="941_0"/>
    <x v="3"/>
    <n v="1.4"/>
    <n v="38.6"/>
    <x v="7"/>
    <s v="Flying"/>
    <s v="Wind Power"/>
    <s v="Volt Absorb"/>
    <s v="Competitive"/>
    <s v="Yellow"/>
    <n v="50"/>
    <n v="50"/>
    <n v="0"/>
    <n v="20"/>
    <s v="Water1"/>
    <s v="Flying"/>
    <n v="90"/>
    <n v="172"/>
    <n v="1059860"/>
    <x v="0"/>
    <m/>
    <m/>
    <n v="70"/>
    <n v="70"/>
    <n v="60"/>
    <n v="105"/>
    <n v="60"/>
    <n v="125"/>
    <n v="490"/>
    <n v="0"/>
    <n v="0"/>
    <n v="0"/>
    <n v="0"/>
    <n v="0"/>
    <n v="2"/>
  </r>
  <r>
    <s v="Maschiff"/>
    <x v="1128"/>
    <n v="942"/>
    <s v="942_0"/>
    <x v="3"/>
    <n v="0.5"/>
    <n v="16"/>
    <x v="5"/>
    <m/>
    <s v="Intimidate"/>
    <s v="Run Away"/>
    <s v="Stakeout"/>
    <s v="Brown"/>
    <n v="50"/>
    <n v="50"/>
    <n v="0"/>
    <n v="20"/>
    <s v="Ground"/>
    <m/>
    <n v="150"/>
    <n v="68"/>
    <n v="1059860"/>
    <x v="0"/>
    <m/>
    <m/>
    <n v="60"/>
    <n v="78"/>
    <n v="60"/>
    <n v="40"/>
    <n v="51"/>
    <n v="51"/>
    <n v="340"/>
    <n v="0"/>
    <n v="1"/>
    <n v="0"/>
    <n v="0"/>
    <n v="0"/>
    <n v="0"/>
  </r>
  <r>
    <s v="Mabosstiff"/>
    <x v="1129"/>
    <n v="943"/>
    <s v="943_0"/>
    <x v="3"/>
    <n v="1.1000000000000001"/>
    <n v="61"/>
    <x v="5"/>
    <m/>
    <s v="Intimidate"/>
    <s v="Guard Dog"/>
    <s v="Stakeout"/>
    <s v="Gray"/>
    <n v="50"/>
    <n v="50"/>
    <n v="0"/>
    <n v="20"/>
    <s v="Ground"/>
    <m/>
    <n v="75"/>
    <n v="177"/>
    <n v="1059860"/>
    <x v="0"/>
    <m/>
    <m/>
    <n v="80"/>
    <n v="120"/>
    <n v="90"/>
    <n v="60"/>
    <n v="70"/>
    <n v="85"/>
    <n v="505"/>
    <n v="0"/>
    <n v="2"/>
    <n v="0"/>
    <n v="0"/>
    <n v="0"/>
    <n v="0"/>
  </r>
  <r>
    <s v="Shroodle"/>
    <x v="1130"/>
    <n v="944"/>
    <s v="944_0"/>
    <x v="3"/>
    <n v="0.2"/>
    <n v="0.7"/>
    <x v="6"/>
    <s v="Normal"/>
    <s v="Unburden"/>
    <s v="Pickpocket"/>
    <s v="Prankster"/>
    <s v="Gray"/>
    <n v="50"/>
    <n v="50"/>
    <n v="0"/>
    <n v="20"/>
    <s v="Ground"/>
    <m/>
    <n v="190"/>
    <n v="58"/>
    <n v="1059860"/>
    <x v="0"/>
    <m/>
    <m/>
    <n v="40"/>
    <n v="65"/>
    <n v="35"/>
    <n v="40"/>
    <n v="35"/>
    <n v="75"/>
    <n v="290"/>
    <n v="0"/>
    <n v="0"/>
    <n v="0"/>
    <n v="0"/>
    <n v="0"/>
    <n v="1"/>
  </r>
  <r>
    <s v="Grafaiai"/>
    <x v="1131"/>
    <n v="945"/>
    <s v="945_0"/>
    <x v="3"/>
    <n v="0.7"/>
    <n v="27.2"/>
    <x v="6"/>
    <s v="Normal"/>
    <s v="Unburden"/>
    <s v="Poison Touch"/>
    <s v="Prankster"/>
    <s v="Gray"/>
    <n v="50"/>
    <n v="50"/>
    <n v="0"/>
    <n v="20"/>
    <s v="Ground"/>
    <m/>
    <n v="90"/>
    <n v="170"/>
    <n v="1059860"/>
    <x v="0"/>
    <m/>
    <m/>
    <n v="63"/>
    <n v="95"/>
    <n v="65"/>
    <n v="80"/>
    <n v="72"/>
    <n v="110"/>
    <n v="485"/>
    <n v="0"/>
    <n v="0"/>
    <n v="0"/>
    <n v="0"/>
    <n v="0"/>
    <n v="2"/>
  </r>
  <r>
    <s v="Bramblin"/>
    <x v="1132"/>
    <n v="946"/>
    <s v="946_0"/>
    <x v="3"/>
    <n v="0.6"/>
    <n v="0.6"/>
    <x v="0"/>
    <s v="Ghost"/>
    <s v="Wind Rider"/>
    <m/>
    <s v="Infiltrator"/>
    <s v="Brown"/>
    <n v="50"/>
    <n v="50"/>
    <n v="0"/>
    <n v="20"/>
    <s v="Grass"/>
    <m/>
    <n v="190"/>
    <n v="55"/>
    <n v="1000000"/>
    <x v="0"/>
    <m/>
    <m/>
    <n v="40"/>
    <n v="65"/>
    <n v="30"/>
    <n v="45"/>
    <n v="35"/>
    <n v="60"/>
    <n v="275"/>
    <n v="0"/>
    <n v="1"/>
    <n v="0"/>
    <n v="0"/>
    <n v="0"/>
    <n v="0"/>
  </r>
  <r>
    <s v="Brambleghast"/>
    <x v="1133"/>
    <n v="947"/>
    <s v="947_0"/>
    <x v="3"/>
    <n v="1.2"/>
    <n v="6"/>
    <x v="0"/>
    <s v="Ghost"/>
    <s v="Wind Rider"/>
    <m/>
    <s v="Infiltrator"/>
    <s v="Brown"/>
    <n v="50"/>
    <n v="50"/>
    <n v="0"/>
    <n v="20"/>
    <s v="Grass"/>
    <m/>
    <n v="45"/>
    <n v="168"/>
    <n v="1000000"/>
    <x v="0"/>
    <m/>
    <m/>
    <n v="55"/>
    <n v="115"/>
    <n v="70"/>
    <n v="80"/>
    <n v="70"/>
    <n v="90"/>
    <n v="480"/>
    <n v="0"/>
    <n v="2"/>
    <n v="0"/>
    <n v="0"/>
    <n v="0"/>
    <n v="0"/>
  </r>
  <r>
    <s v="Toedscool"/>
    <x v="1134"/>
    <n v="948"/>
    <s v="948_0"/>
    <x v="3"/>
    <n v="0.9"/>
    <n v="33"/>
    <x v="8"/>
    <s v="Grass"/>
    <s v="Mycelium Might"/>
    <m/>
    <m/>
    <s v="Yellow"/>
    <n v="50"/>
    <n v="50"/>
    <n v="0"/>
    <n v="20"/>
    <s v="Grass"/>
    <m/>
    <n v="190"/>
    <n v="67"/>
    <n v="1059860"/>
    <x v="0"/>
    <m/>
    <m/>
    <n v="40"/>
    <n v="40"/>
    <n v="35"/>
    <n v="50"/>
    <n v="100"/>
    <n v="70"/>
    <n v="335"/>
    <n v="0"/>
    <n v="0"/>
    <n v="0"/>
    <n v="0"/>
    <n v="1"/>
    <n v="0"/>
  </r>
  <r>
    <s v="Toedscruel"/>
    <x v="1135"/>
    <n v="949"/>
    <s v="949_0"/>
    <x v="3"/>
    <n v="1.9"/>
    <n v="58"/>
    <x v="8"/>
    <s v="Grass"/>
    <s v="Mycelium Might"/>
    <m/>
    <m/>
    <s v="Black"/>
    <n v="50"/>
    <n v="50"/>
    <n v="0"/>
    <n v="20"/>
    <s v="Grass"/>
    <m/>
    <n v="90"/>
    <n v="180"/>
    <n v="1059860"/>
    <x v="0"/>
    <m/>
    <m/>
    <n v="80"/>
    <n v="70"/>
    <n v="65"/>
    <n v="80"/>
    <n v="120"/>
    <n v="100"/>
    <n v="515"/>
    <n v="0"/>
    <n v="0"/>
    <n v="0"/>
    <n v="0"/>
    <n v="2"/>
    <n v="0"/>
  </r>
  <r>
    <s v="Klawf"/>
    <x v="1136"/>
    <n v="950"/>
    <s v="950_0"/>
    <x v="3"/>
    <n v="1.3"/>
    <n v="79"/>
    <x v="14"/>
    <m/>
    <s v="Anger Shell"/>
    <s v="Shell Armor"/>
    <s v="Regenerator"/>
    <s v="Red"/>
    <n v="50"/>
    <n v="50"/>
    <n v="0"/>
    <n v="35"/>
    <s v="Water3"/>
    <m/>
    <n v="120"/>
    <n v="158"/>
    <n v="1000000"/>
    <x v="0"/>
    <m/>
    <m/>
    <n v="70"/>
    <n v="100"/>
    <n v="115"/>
    <n v="35"/>
    <n v="55"/>
    <n v="75"/>
    <n v="450"/>
    <n v="0"/>
    <n v="0"/>
    <n v="2"/>
    <n v="0"/>
    <n v="0"/>
    <n v="0"/>
  </r>
  <r>
    <s v="Capsakid"/>
    <x v="1137"/>
    <n v="951"/>
    <s v="951_0"/>
    <x v="3"/>
    <n v="0.3"/>
    <n v="3"/>
    <x v="0"/>
    <m/>
    <s v="Chlorophyll"/>
    <s v="Insomnia"/>
    <s v="Klutz"/>
    <s v="Green"/>
    <n v="50"/>
    <n v="50"/>
    <n v="0"/>
    <n v="20"/>
    <s v="Grass"/>
    <m/>
    <n v="190"/>
    <n v="61"/>
    <n v="1000000"/>
    <x v="0"/>
    <m/>
    <m/>
    <n v="50"/>
    <n v="62"/>
    <n v="40"/>
    <n v="62"/>
    <n v="40"/>
    <n v="50"/>
    <n v="304"/>
    <n v="0"/>
    <n v="1"/>
    <n v="0"/>
    <n v="0"/>
    <n v="0"/>
    <n v="0"/>
  </r>
  <r>
    <s v="Scovillain"/>
    <x v="1138"/>
    <n v="952"/>
    <s v="952_0"/>
    <x v="3"/>
    <n v="0.9"/>
    <n v="15"/>
    <x v="0"/>
    <s v="Fire"/>
    <s v="Chlorophyll"/>
    <s v="Insomnia"/>
    <s v="Moody"/>
    <s v="Green"/>
    <n v="50"/>
    <n v="50"/>
    <n v="0"/>
    <n v="20"/>
    <s v="Grass"/>
    <m/>
    <n v="75"/>
    <n v="170"/>
    <n v="1000000"/>
    <x v="0"/>
    <m/>
    <m/>
    <n v="65"/>
    <n v="108"/>
    <n v="65"/>
    <n v="108"/>
    <n v="65"/>
    <n v="75"/>
    <n v="486"/>
    <n v="0"/>
    <n v="2"/>
    <n v="0"/>
    <n v="0"/>
    <n v="0"/>
    <n v="0"/>
  </r>
  <r>
    <s v="Rellor"/>
    <x v="1139"/>
    <n v="953"/>
    <s v="953_0"/>
    <x v="3"/>
    <n v="0.2"/>
    <n v="1"/>
    <x v="3"/>
    <m/>
    <s v="Compound Eyes"/>
    <m/>
    <s v="Shed Skin"/>
    <s v="Brown"/>
    <n v="50"/>
    <n v="50"/>
    <n v="0"/>
    <n v="20"/>
    <s v="Bug"/>
    <m/>
    <n v="190"/>
    <n v="54"/>
    <n v="800000"/>
    <x v="0"/>
    <m/>
    <m/>
    <n v="41"/>
    <n v="50"/>
    <n v="60"/>
    <n v="31"/>
    <n v="58"/>
    <n v="30"/>
    <n v="270"/>
    <n v="0"/>
    <n v="0"/>
    <n v="1"/>
    <n v="0"/>
    <n v="0"/>
    <n v="0"/>
  </r>
  <r>
    <s v="Rabsca"/>
    <x v="1140"/>
    <n v="954"/>
    <s v="954_0"/>
    <x v="3"/>
    <n v="0.3"/>
    <n v="3.5"/>
    <x v="3"/>
    <s v="Psychic"/>
    <s v="Synchronize"/>
    <m/>
    <s v="Telepathy"/>
    <s v="Green"/>
    <n v="50"/>
    <n v="50"/>
    <n v="0"/>
    <n v="20"/>
    <s v="Bug"/>
    <m/>
    <n v="45"/>
    <n v="165"/>
    <n v="800000"/>
    <x v="0"/>
    <m/>
    <m/>
    <n v="75"/>
    <n v="50"/>
    <n v="85"/>
    <n v="115"/>
    <n v="100"/>
    <n v="45"/>
    <n v="470"/>
    <n v="0"/>
    <n v="0"/>
    <n v="0"/>
    <n v="2"/>
    <n v="0"/>
    <n v="0"/>
  </r>
  <r>
    <s v="Flittle"/>
    <x v="1141"/>
    <n v="955"/>
    <s v="955_0"/>
    <x v="3"/>
    <n v="0.2"/>
    <n v="1.5"/>
    <x v="13"/>
    <m/>
    <s v="Anticipation"/>
    <s v="Frisk"/>
    <s v="Speed Boost"/>
    <s v="Yellow"/>
    <n v="50"/>
    <n v="50"/>
    <n v="0"/>
    <n v="20"/>
    <s v="Flying"/>
    <m/>
    <n v="120"/>
    <n v="51"/>
    <n v="1059860"/>
    <x v="0"/>
    <m/>
    <m/>
    <n v="30"/>
    <n v="35"/>
    <n v="30"/>
    <n v="55"/>
    <n v="30"/>
    <n v="75"/>
    <n v="255"/>
    <n v="0"/>
    <n v="0"/>
    <n v="0"/>
    <n v="0"/>
    <n v="0"/>
    <n v="1"/>
  </r>
  <r>
    <s v="Espathra"/>
    <x v="1142"/>
    <n v="956"/>
    <s v="956_0"/>
    <x v="3"/>
    <n v="1.9"/>
    <n v="90"/>
    <x v="13"/>
    <m/>
    <s v="Opportunist"/>
    <s v="Frisk"/>
    <s v="Speed Boost"/>
    <s v="Yellow"/>
    <n v="50"/>
    <n v="50"/>
    <n v="0"/>
    <n v="20"/>
    <s v="Flying"/>
    <m/>
    <n v="60"/>
    <n v="168"/>
    <n v="1059860"/>
    <x v="0"/>
    <m/>
    <m/>
    <n v="95"/>
    <n v="60"/>
    <n v="60"/>
    <n v="101"/>
    <n v="60"/>
    <n v="105"/>
    <n v="481"/>
    <n v="0"/>
    <n v="0"/>
    <n v="0"/>
    <n v="0"/>
    <n v="0"/>
    <n v="2"/>
  </r>
  <r>
    <s v="Tinkatink"/>
    <x v="1143"/>
    <n v="957"/>
    <s v="957_0"/>
    <x v="3"/>
    <n v="0.4"/>
    <n v="8.9"/>
    <x v="10"/>
    <s v="Steel"/>
    <s v="Mold Breaker"/>
    <s v="Own Tempo"/>
    <s v="Pickpocket"/>
    <s v="Pink"/>
    <n v="0"/>
    <n v="100"/>
    <n v="0"/>
    <n v="20"/>
    <s v="Fairy"/>
    <m/>
    <n v="190"/>
    <n v="59"/>
    <n v="1059860"/>
    <x v="0"/>
    <m/>
    <m/>
    <n v="50"/>
    <n v="45"/>
    <n v="45"/>
    <n v="35"/>
    <n v="64"/>
    <n v="58"/>
    <n v="297"/>
    <n v="0"/>
    <n v="0"/>
    <n v="0"/>
    <n v="0"/>
    <n v="1"/>
    <n v="0"/>
  </r>
  <r>
    <s v="Tinkatuff"/>
    <x v="1144"/>
    <n v="958"/>
    <s v="958_0"/>
    <x v="3"/>
    <n v="0.7"/>
    <n v="59.1"/>
    <x v="10"/>
    <s v="Steel"/>
    <s v="Mold Breaker"/>
    <s v="Own Tempo"/>
    <s v="Pickpocket"/>
    <s v="Pink"/>
    <n v="0"/>
    <n v="100"/>
    <n v="0"/>
    <n v="20"/>
    <s v="Fairy"/>
    <m/>
    <n v="90"/>
    <n v="133"/>
    <n v="1059860"/>
    <x v="0"/>
    <m/>
    <m/>
    <n v="65"/>
    <n v="55"/>
    <n v="55"/>
    <n v="45"/>
    <n v="82"/>
    <n v="78"/>
    <n v="380"/>
    <n v="0"/>
    <n v="0"/>
    <n v="0"/>
    <n v="0"/>
    <n v="2"/>
    <n v="0"/>
  </r>
  <r>
    <s v="Tinkaton"/>
    <x v="1145"/>
    <n v="959"/>
    <s v="959_0"/>
    <x v="3"/>
    <n v="0.7"/>
    <n v="112.8"/>
    <x v="10"/>
    <s v="Steel"/>
    <s v="Mold Breaker"/>
    <s v="Own Tempo"/>
    <s v="Pickpocket"/>
    <s v="Pink"/>
    <n v="0"/>
    <n v="100"/>
    <n v="0"/>
    <n v="20"/>
    <s v="Fairy"/>
    <m/>
    <n v="45"/>
    <n v="253"/>
    <n v="1059860"/>
    <x v="0"/>
    <m/>
    <m/>
    <n v="85"/>
    <n v="75"/>
    <n v="77"/>
    <n v="70"/>
    <n v="105"/>
    <n v="94"/>
    <n v="506"/>
    <n v="0"/>
    <n v="0"/>
    <n v="0"/>
    <n v="0"/>
    <n v="3"/>
    <n v="0"/>
  </r>
  <r>
    <s v="Wiglett"/>
    <x v="1146"/>
    <n v="960"/>
    <s v="960_0"/>
    <x v="3"/>
    <n v="1.2"/>
    <n v="1.8"/>
    <x v="2"/>
    <m/>
    <s v="Gooey"/>
    <s v="Rattled"/>
    <s v="Sand Veil"/>
    <s v="White"/>
    <n v="50"/>
    <n v="50"/>
    <n v="0"/>
    <n v="20"/>
    <s v="Water3"/>
    <m/>
    <n v="255"/>
    <n v="49"/>
    <n v="1000000"/>
    <x v="0"/>
    <m/>
    <m/>
    <n v="10"/>
    <n v="55"/>
    <n v="25"/>
    <n v="35"/>
    <n v="25"/>
    <n v="95"/>
    <n v="245"/>
    <n v="0"/>
    <n v="0"/>
    <n v="0"/>
    <n v="0"/>
    <n v="0"/>
    <n v="1"/>
  </r>
  <r>
    <s v="Wugtrio"/>
    <x v="1147"/>
    <n v="961"/>
    <s v="961_0"/>
    <x v="3"/>
    <n v="1.2"/>
    <n v="5.4"/>
    <x v="2"/>
    <m/>
    <s v="Gooey"/>
    <s v="Rattled"/>
    <s v="Sand Veil"/>
    <s v="Red"/>
    <n v="50"/>
    <n v="50"/>
    <n v="0"/>
    <n v="20"/>
    <s v="Water3"/>
    <m/>
    <n v="50"/>
    <n v="149"/>
    <n v="1000000"/>
    <x v="0"/>
    <m/>
    <m/>
    <n v="35"/>
    <n v="100"/>
    <n v="50"/>
    <n v="50"/>
    <n v="70"/>
    <n v="120"/>
    <n v="425"/>
    <n v="0"/>
    <n v="0"/>
    <n v="0"/>
    <n v="0"/>
    <n v="0"/>
    <n v="2"/>
  </r>
  <r>
    <s v="Bombirdier"/>
    <x v="1148"/>
    <n v="962"/>
    <s v="962_0"/>
    <x v="3"/>
    <n v="1.5"/>
    <n v="42.9"/>
    <x v="17"/>
    <s v="Dark"/>
    <s v="Big Pecks"/>
    <s v="Keen Eye"/>
    <s v="Rocky Payload"/>
    <s v="White"/>
    <n v="50"/>
    <n v="50"/>
    <n v="0"/>
    <n v="35"/>
    <s v="Flying"/>
    <m/>
    <n v="25"/>
    <n v="243"/>
    <n v="1250000"/>
    <x v="0"/>
    <m/>
    <m/>
    <n v="70"/>
    <n v="103"/>
    <n v="85"/>
    <n v="60"/>
    <n v="85"/>
    <n v="82"/>
    <n v="485"/>
    <n v="0"/>
    <n v="2"/>
    <n v="0"/>
    <n v="0"/>
    <n v="0"/>
    <n v="0"/>
  </r>
  <r>
    <s v="Finizen"/>
    <x v="1149"/>
    <n v="963"/>
    <s v="963_0"/>
    <x v="3"/>
    <n v="1.3"/>
    <n v="60.2"/>
    <x v="2"/>
    <m/>
    <s v="Water Veil"/>
    <m/>
    <m/>
    <s v="Blue"/>
    <n v="50"/>
    <n v="50"/>
    <n v="0"/>
    <n v="40"/>
    <s v="Ground"/>
    <s v="Water2"/>
    <n v="200"/>
    <n v="63"/>
    <n v="1250000"/>
    <x v="0"/>
    <m/>
    <m/>
    <n v="70"/>
    <n v="45"/>
    <n v="40"/>
    <n v="45"/>
    <n v="40"/>
    <n v="75"/>
    <n v="315"/>
    <n v="0"/>
    <n v="0"/>
    <n v="0"/>
    <n v="0"/>
    <n v="0"/>
    <n v="1"/>
  </r>
  <r>
    <s v="Palafin"/>
    <x v="1150"/>
    <n v="964"/>
    <s v="964_0"/>
    <x v="3"/>
    <n v="1.3"/>
    <n v="60.2"/>
    <x v="2"/>
    <m/>
    <s v="Zero to Hero"/>
    <m/>
    <m/>
    <s v="Blue"/>
    <n v="50"/>
    <n v="50"/>
    <n v="0"/>
    <n v="40"/>
    <s v="Ground"/>
    <s v="Water2"/>
    <n v="45"/>
    <n v="160"/>
    <n v="1250000"/>
    <x v="0"/>
    <m/>
    <m/>
    <n v="100"/>
    <n v="70"/>
    <n v="72"/>
    <n v="53"/>
    <n v="62"/>
    <n v="100"/>
    <n v="457"/>
    <n v="2"/>
    <n v="0"/>
    <n v="0"/>
    <n v="0"/>
    <n v="0"/>
    <n v="0"/>
  </r>
  <r>
    <s v="Palafin"/>
    <x v="1151"/>
    <n v="964"/>
    <s v="964_1"/>
    <x v="3"/>
    <n v="1.8"/>
    <n v="97.4"/>
    <x v="2"/>
    <m/>
    <s v="Zero to Hero"/>
    <m/>
    <m/>
    <s v="Blue"/>
    <n v="50"/>
    <n v="50"/>
    <n v="0"/>
    <n v="40"/>
    <s v="Ground"/>
    <s v="Water2"/>
    <n v="45"/>
    <n v="228"/>
    <n v="1250000"/>
    <x v="0"/>
    <m/>
    <m/>
    <n v="100"/>
    <n v="160"/>
    <n v="97"/>
    <n v="106"/>
    <n v="87"/>
    <n v="100"/>
    <n v="650"/>
    <n v="2"/>
    <n v="0"/>
    <n v="0"/>
    <n v="0"/>
    <n v="0"/>
    <n v="0"/>
  </r>
  <r>
    <s v="Varoom"/>
    <x v="1152"/>
    <n v="965"/>
    <s v="965_0"/>
    <x v="3"/>
    <n v="1"/>
    <n v="35"/>
    <x v="11"/>
    <s v="Poison"/>
    <s v="Overcoat"/>
    <m/>
    <s v="Slow Start"/>
    <s v="Gray"/>
    <n v="50"/>
    <n v="50"/>
    <n v="0"/>
    <n v="20"/>
    <s v="Mineral"/>
    <m/>
    <n v="190"/>
    <n v="60"/>
    <n v="1000000"/>
    <x v="0"/>
    <m/>
    <m/>
    <n v="45"/>
    <n v="70"/>
    <n v="63"/>
    <n v="30"/>
    <n v="45"/>
    <n v="47"/>
    <n v="300"/>
    <n v="0"/>
    <n v="1"/>
    <n v="0"/>
    <n v="0"/>
    <n v="0"/>
    <n v="0"/>
  </r>
  <r>
    <s v="Revavroom"/>
    <x v="1153"/>
    <n v="966"/>
    <s v="966_0"/>
    <x v="3"/>
    <n v="1.8"/>
    <n v="120"/>
    <x v="11"/>
    <s v="Poison"/>
    <s v="Overcoat"/>
    <m/>
    <s v="Filter"/>
    <s v="Gray"/>
    <n v="50"/>
    <n v="50"/>
    <n v="0"/>
    <n v="20"/>
    <s v="Mineral"/>
    <m/>
    <n v="75"/>
    <n v="175"/>
    <n v="1000000"/>
    <x v="0"/>
    <m/>
    <m/>
    <n v="80"/>
    <n v="119"/>
    <n v="90"/>
    <n v="54"/>
    <n v="67"/>
    <n v="90"/>
    <n v="500"/>
    <n v="0"/>
    <n v="2"/>
    <n v="0"/>
    <n v="0"/>
    <n v="0"/>
    <n v="0"/>
  </r>
  <r>
    <s v="Cyclizar"/>
    <x v="1154"/>
    <n v="967"/>
    <s v="967_0"/>
    <x v="3"/>
    <n v="1.6"/>
    <n v="63"/>
    <x v="16"/>
    <s v="Normal"/>
    <s v="Shed Skin"/>
    <m/>
    <s v="Regenerator"/>
    <s v="Green"/>
    <n v="50"/>
    <n v="50"/>
    <n v="0"/>
    <n v="30"/>
    <s v="Ground"/>
    <m/>
    <n v="190"/>
    <n v="175"/>
    <n v="1059860"/>
    <x v="0"/>
    <m/>
    <m/>
    <n v="70"/>
    <n v="95"/>
    <n v="65"/>
    <n v="85"/>
    <n v="65"/>
    <n v="121"/>
    <n v="501"/>
    <n v="0"/>
    <n v="0"/>
    <n v="0"/>
    <n v="0"/>
    <n v="0"/>
    <n v="2"/>
  </r>
  <r>
    <s v="Orthworm"/>
    <x v="1155"/>
    <n v="968"/>
    <s v="968_0"/>
    <x v="3"/>
    <n v="2.5"/>
    <n v="310"/>
    <x v="11"/>
    <m/>
    <s v="Earth Eater"/>
    <m/>
    <s v="Sand Veil"/>
    <s v="Pink"/>
    <n v="50"/>
    <n v="50"/>
    <n v="0"/>
    <n v="35"/>
    <s v="Ground"/>
    <m/>
    <n v="25"/>
    <n v="240"/>
    <n v="1250000"/>
    <x v="0"/>
    <m/>
    <m/>
    <n v="70"/>
    <n v="85"/>
    <n v="145"/>
    <n v="60"/>
    <n v="55"/>
    <n v="65"/>
    <n v="480"/>
    <n v="0"/>
    <n v="0"/>
    <n v="2"/>
    <n v="0"/>
    <n v="0"/>
    <n v="0"/>
  </r>
  <r>
    <s v="Glimmet"/>
    <x v="1156"/>
    <n v="969"/>
    <s v="969_0"/>
    <x v="3"/>
    <n v="0.7"/>
    <n v="8"/>
    <x v="14"/>
    <s v="Poison"/>
    <s v="Toxic Debris"/>
    <m/>
    <s v="Corrosion"/>
    <s v="Blue"/>
    <n v="50"/>
    <n v="50"/>
    <n v="0"/>
    <n v="30"/>
    <s v="Mineral"/>
    <m/>
    <n v="70"/>
    <n v="70"/>
    <n v="1059860"/>
    <x v="0"/>
    <m/>
    <m/>
    <n v="48"/>
    <n v="35"/>
    <n v="42"/>
    <n v="105"/>
    <n v="60"/>
    <n v="60"/>
    <n v="350"/>
    <n v="0"/>
    <n v="0"/>
    <n v="0"/>
    <n v="1"/>
    <n v="0"/>
    <n v="0"/>
  </r>
  <r>
    <s v="Glimmora"/>
    <x v="1157"/>
    <n v="970"/>
    <s v="970_0"/>
    <x v="3"/>
    <n v="1.5"/>
    <n v="45"/>
    <x v="14"/>
    <s v="Poison"/>
    <s v="Toxic Debris"/>
    <m/>
    <s v="Corrosion"/>
    <s v="Blue"/>
    <n v="50"/>
    <n v="50"/>
    <n v="0"/>
    <n v="30"/>
    <s v="Mineral"/>
    <m/>
    <n v="25"/>
    <n v="184"/>
    <n v="1059860"/>
    <x v="0"/>
    <m/>
    <m/>
    <n v="83"/>
    <n v="55"/>
    <n v="90"/>
    <n v="130"/>
    <n v="81"/>
    <n v="86"/>
    <n v="525"/>
    <n v="0"/>
    <n v="0"/>
    <n v="0"/>
    <n v="2"/>
    <n v="0"/>
    <n v="0"/>
  </r>
  <r>
    <s v="Greavard"/>
    <x v="1158"/>
    <n v="971"/>
    <s v="971_0"/>
    <x v="3"/>
    <n v="0.6"/>
    <n v="35"/>
    <x v="15"/>
    <m/>
    <s v="Pickup"/>
    <m/>
    <s v="Fluffy"/>
    <s v="White"/>
    <n v="50"/>
    <n v="50"/>
    <n v="0"/>
    <n v="20"/>
    <s v="Ground"/>
    <m/>
    <n v="120"/>
    <n v="58"/>
    <n v="1059860"/>
    <x v="0"/>
    <m/>
    <m/>
    <n v="50"/>
    <n v="61"/>
    <n v="60"/>
    <n v="30"/>
    <n v="55"/>
    <n v="34"/>
    <n v="290"/>
    <n v="0"/>
    <n v="1"/>
    <n v="0"/>
    <n v="0"/>
    <n v="0"/>
    <n v="0"/>
  </r>
  <r>
    <s v="Houndstone"/>
    <x v="1159"/>
    <n v="972"/>
    <s v="972_0"/>
    <x v="3"/>
    <n v="2"/>
    <n v="15"/>
    <x v="15"/>
    <m/>
    <s v="Sand Rush"/>
    <m/>
    <s v="Fluffy"/>
    <s v="White"/>
    <n v="50"/>
    <n v="50"/>
    <n v="0"/>
    <n v="20"/>
    <s v="Ground"/>
    <m/>
    <n v="60"/>
    <n v="171"/>
    <n v="1059860"/>
    <x v="0"/>
    <m/>
    <m/>
    <n v="72"/>
    <n v="101"/>
    <n v="100"/>
    <n v="50"/>
    <n v="97"/>
    <n v="68"/>
    <n v="488"/>
    <n v="0"/>
    <n v="2"/>
    <n v="0"/>
    <n v="0"/>
    <n v="0"/>
    <n v="0"/>
  </r>
  <r>
    <s v="Flamigo"/>
    <x v="1160"/>
    <n v="973"/>
    <s v="973_0"/>
    <x v="3"/>
    <n v="1.6"/>
    <n v="37"/>
    <x v="17"/>
    <s v="Fighting"/>
    <s v="Scrappy"/>
    <s v="Tangled Feet"/>
    <s v="Costar"/>
    <s v="Pink"/>
    <n v="50"/>
    <n v="50"/>
    <n v="0"/>
    <n v="20"/>
    <s v="Flying"/>
    <m/>
    <n v="100"/>
    <n v="175"/>
    <n v="1059860"/>
    <x v="0"/>
    <m/>
    <m/>
    <n v="82"/>
    <n v="115"/>
    <n v="74"/>
    <n v="75"/>
    <n v="64"/>
    <n v="90"/>
    <n v="500"/>
    <n v="0"/>
    <n v="2"/>
    <n v="0"/>
    <n v="0"/>
    <n v="0"/>
    <n v="0"/>
  </r>
  <r>
    <s v="Cetoddle"/>
    <x v="1161"/>
    <n v="974"/>
    <s v="974_0"/>
    <x v="3"/>
    <n v="1.2"/>
    <n v="45"/>
    <x v="9"/>
    <m/>
    <s v="Thick Fat"/>
    <s v="Snow Cloak"/>
    <s v="Sheer Force"/>
    <s v="White"/>
    <n v="50"/>
    <n v="50"/>
    <n v="0"/>
    <n v="25"/>
    <s v="Ground"/>
    <m/>
    <n v="150"/>
    <n v="67"/>
    <n v="1059860"/>
    <x v="0"/>
    <m/>
    <m/>
    <n v="108"/>
    <n v="68"/>
    <n v="45"/>
    <n v="30"/>
    <n v="40"/>
    <n v="43"/>
    <n v="334"/>
    <n v="1"/>
    <n v="0"/>
    <n v="0"/>
    <n v="0"/>
    <n v="0"/>
    <n v="0"/>
  </r>
  <r>
    <s v="Cetitan"/>
    <x v="1162"/>
    <n v="975"/>
    <s v="975_0"/>
    <x v="3"/>
    <n v="4.5"/>
    <n v="700"/>
    <x v="9"/>
    <m/>
    <s v="Thick Fat"/>
    <s v="Slush Rush"/>
    <s v="Sheer Force"/>
    <s v="White"/>
    <n v="50"/>
    <n v="50"/>
    <n v="0"/>
    <n v="25"/>
    <s v="Ground"/>
    <m/>
    <n v="50"/>
    <n v="182"/>
    <n v="1059860"/>
    <x v="0"/>
    <m/>
    <m/>
    <n v="170"/>
    <n v="113"/>
    <n v="65"/>
    <n v="45"/>
    <n v="55"/>
    <n v="73"/>
    <n v="521"/>
    <n v="2"/>
    <n v="0"/>
    <n v="0"/>
    <n v="0"/>
    <n v="0"/>
    <n v="0"/>
  </r>
  <r>
    <s v="Veluza"/>
    <x v="1163"/>
    <n v="976"/>
    <s v="976_0"/>
    <x v="3"/>
    <n v="2.5"/>
    <n v="90"/>
    <x v="2"/>
    <s v="Psychic"/>
    <s v="Mold Breaker"/>
    <m/>
    <s v="Sharpness"/>
    <s v="Gray"/>
    <n v="50"/>
    <n v="50"/>
    <n v="0"/>
    <n v="20"/>
    <s v="Water2"/>
    <m/>
    <n v="100"/>
    <n v="167"/>
    <n v="800000"/>
    <x v="0"/>
    <m/>
    <m/>
    <n v="90"/>
    <n v="102"/>
    <n v="73"/>
    <n v="78"/>
    <n v="65"/>
    <n v="70"/>
    <n v="478"/>
    <n v="0"/>
    <n v="2"/>
    <n v="0"/>
    <n v="0"/>
    <n v="0"/>
    <n v="0"/>
  </r>
  <r>
    <s v="Dondozo"/>
    <x v="1164"/>
    <n v="977"/>
    <s v="977_0"/>
    <x v="3"/>
    <n v="12"/>
    <n v="220"/>
    <x v="2"/>
    <m/>
    <s v="Unaware"/>
    <s v="Oblivious"/>
    <s v="Water Veil"/>
    <s v="Blue"/>
    <n v="50"/>
    <n v="50"/>
    <n v="0"/>
    <n v="40"/>
    <s v="Water2"/>
    <m/>
    <n v="25"/>
    <n v="265"/>
    <n v="1250000"/>
    <x v="0"/>
    <m/>
    <m/>
    <n v="150"/>
    <n v="100"/>
    <n v="115"/>
    <n v="65"/>
    <n v="65"/>
    <n v="35"/>
    <n v="530"/>
    <n v="3"/>
    <n v="0"/>
    <n v="0"/>
    <n v="0"/>
    <n v="0"/>
    <n v="0"/>
  </r>
  <r>
    <s v="Tatsugiri"/>
    <x v="1165"/>
    <n v="978"/>
    <s v="978_0"/>
    <x v="3"/>
    <n v="0.3"/>
    <n v="8"/>
    <x v="16"/>
    <s v="Water"/>
    <s v="Commander"/>
    <m/>
    <s v="Storm Drain"/>
    <s v="Pink"/>
    <n v="50"/>
    <n v="50"/>
    <n v="0"/>
    <n v="35"/>
    <s v="Water2"/>
    <m/>
    <n v="100"/>
    <n v="166"/>
    <n v="1059860"/>
    <x v="0"/>
    <m/>
    <m/>
    <n v="68"/>
    <n v="50"/>
    <n v="60"/>
    <n v="120"/>
    <n v="95"/>
    <n v="82"/>
    <n v="475"/>
    <n v="0"/>
    <n v="0"/>
    <n v="0"/>
    <n v="2"/>
    <n v="0"/>
    <n v="0"/>
  </r>
  <r>
    <s v="Tatsugiri"/>
    <x v="1166"/>
    <n v="978"/>
    <s v="978_1"/>
    <x v="3"/>
    <n v="0.3"/>
    <n v="8"/>
    <x v="16"/>
    <s v="Water"/>
    <s v="Commander"/>
    <m/>
    <s v="Storm Drain"/>
    <s v="Red"/>
    <n v="50"/>
    <n v="50"/>
    <n v="0"/>
    <n v="35"/>
    <s v="Water2"/>
    <m/>
    <n v="100"/>
    <n v="166"/>
    <n v="1059860"/>
    <x v="0"/>
    <m/>
    <m/>
    <n v="68"/>
    <n v="50"/>
    <n v="60"/>
    <n v="120"/>
    <n v="95"/>
    <n v="82"/>
    <n v="475"/>
    <n v="0"/>
    <n v="0"/>
    <n v="0"/>
    <n v="2"/>
    <n v="0"/>
    <n v="0"/>
  </r>
  <r>
    <s v="Tatsugiri"/>
    <x v="1167"/>
    <n v="978"/>
    <s v="978_2"/>
    <x v="3"/>
    <n v="0.3"/>
    <n v="8"/>
    <x v="16"/>
    <s v="Water"/>
    <s v="Commander"/>
    <m/>
    <s v="Storm Drain"/>
    <s v="Yellow"/>
    <n v="50"/>
    <n v="50"/>
    <n v="0"/>
    <n v="35"/>
    <s v="Water2"/>
    <m/>
    <n v="100"/>
    <n v="166"/>
    <n v="1059860"/>
    <x v="0"/>
    <m/>
    <m/>
    <n v="68"/>
    <n v="50"/>
    <n v="60"/>
    <n v="120"/>
    <n v="95"/>
    <n v="82"/>
    <n v="475"/>
    <n v="0"/>
    <n v="0"/>
    <n v="0"/>
    <n v="2"/>
    <n v="0"/>
    <n v="0"/>
  </r>
  <r>
    <s v="Annihilape"/>
    <x v="1168"/>
    <n v="979"/>
    <s v="979_0"/>
    <x v="3"/>
    <n v="1.2"/>
    <n v="56"/>
    <x v="12"/>
    <s v="Ghost"/>
    <s v="Vital Spirit"/>
    <s v="Inner Focus"/>
    <s v="Defiant"/>
    <s v="Gray"/>
    <n v="50"/>
    <n v="50"/>
    <n v="0"/>
    <n v="20"/>
    <s v="Ground"/>
    <m/>
    <n v="45"/>
    <n v="268"/>
    <n v="1000000"/>
    <x v="0"/>
    <m/>
    <m/>
    <n v="110"/>
    <n v="115"/>
    <n v="80"/>
    <n v="50"/>
    <n v="90"/>
    <n v="90"/>
    <n v="535"/>
    <n v="0"/>
    <n v="3"/>
    <n v="0"/>
    <n v="0"/>
    <n v="0"/>
    <n v="0"/>
  </r>
  <r>
    <s v="Clodsire"/>
    <x v="1169"/>
    <n v="980"/>
    <s v="980_0"/>
    <x v="3"/>
    <n v="1.8"/>
    <n v="223"/>
    <x v="6"/>
    <s v="Ground"/>
    <s v="Poison Point"/>
    <s v="Water Absorb"/>
    <s v="Unaware"/>
    <s v="Brown"/>
    <n v="50"/>
    <n v="50"/>
    <n v="0"/>
    <n v="20"/>
    <s v="Water1"/>
    <s v="Ground"/>
    <n v="90"/>
    <n v="151"/>
    <n v="1000000"/>
    <x v="0"/>
    <m/>
    <m/>
    <n v="130"/>
    <n v="75"/>
    <n v="60"/>
    <n v="45"/>
    <n v="100"/>
    <n v="20"/>
    <n v="430"/>
    <n v="2"/>
    <n v="0"/>
    <n v="0"/>
    <n v="0"/>
    <n v="0"/>
    <n v="0"/>
  </r>
  <r>
    <s v="Farigiraf"/>
    <x v="1170"/>
    <n v="981"/>
    <s v="981_0"/>
    <x v="3"/>
    <n v="3.2"/>
    <n v="160"/>
    <x v="4"/>
    <s v="Psychic"/>
    <s v="Cud Chew"/>
    <s v="Armor Tail"/>
    <s v="Sap Sipper"/>
    <s v="Brown"/>
    <n v="50"/>
    <n v="50"/>
    <n v="0"/>
    <n v="20"/>
    <s v="Ground"/>
    <m/>
    <n v="45"/>
    <n v="260"/>
    <n v="1000000"/>
    <x v="0"/>
    <m/>
    <m/>
    <n v="120"/>
    <n v="90"/>
    <n v="70"/>
    <n v="110"/>
    <n v="70"/>
    <n v="60"/>
    <n v="520"/>
    <n v="3"/>
    <n v="0"/>
    <n v="0"/>
    <n v="0"/>
    <n v="0"/>
    <n v="0"/>
  </r>
  <r>
    <s v="Dudunsparce"/>
    <x v="1171"/>
    <n v="982"/>
    <s v="982_0"/>
    <x v="3"/>
    <n v="3.6"/>
    <n v="39.200000000000003"/>
    <x v="4"/>
    <m/>
    <s v="Serene Grace"/>
    <s v="Run Away"/>
    <s v="Rattled"/>
    <s v="Yellow"/>
    <n v="50"/>
    <n v="50"/>
    <n v="0"/>
    <n v="20"/>
    <s v="Ground"/>
    <m/>
    <n v="45"/>
    <n v="182"/>
    <n v="1000000"/>
    <x v="0"/>
    <m/>
    <m/>
    <n v="125"/>
    <n v="100"/>
    <n v="80"/>
    <n v="85"/>
    <n v="75"/>
    <n v="55"/>
    <n v="520"/>
    <n v="2"/>
    <n v="0"/>
    <n v="0"/>
    <n v="0"/>
    <n v="0"/>
    <n v="0"/>
  </r>
  <r>
    <s v="Dudunsparce"/>
    <x v="1172"/>
    <n v="982"/>
    <s v="982_1"/>
    <x v="3"/>
    <n v="4.5"/>
    <n v="47.4"/>
    <x v="4"/>
    <m/>
    <s v="Serene Grace"/>
    <s v="Run Away"/>
    <s v="Rattled"/>
    <s v="Yellow"/>
    <n v="50"/>
    <n v="50"/>
    <n v="0"/>
    <n v="20"/>
    <s v="Ground"/>
    <m/>
    <n v="45"/>
    <n v="182"/>
    <n v="1000000"/>
    <x v="0"/>
    <m/>
    <m/>
    <n v="125"/>
    <n v="100"/>
    <n v="80"/>
    <n v="85"/>
    <n v="75"/>
    <n v="55"/>
    <n v="520"/>
    <n v="2"/>
    <n v="0"/>
    <n v="0"/>
    <n v="0"/>
    <n v="0"/>
    <n v="0"/>
  </r>
  <r>
    <s v="Kingambit"/>
    <x v="1173"/>
    <n v="983"/>
    <s v="983_0"/>
    <x v="3"/>
    <n v="2"/>
    <n v="120"/>
    <x v="5"/>
    <s v="Steel"/>
    <s v="Defiant"/>
    <s v="Supreme Overlord"/>
    <s v="Pressure"/>
    <s v="Black"/>
    <n v="50"/>
    <n v="50"/>
    <n v="0"/>
    <n v="20"/>
    <s v="Human-Like"/>
    <m/>
    <n v="25"/>
    <n v="275"/>
    <n v="1000000"/>
    <x v="0"/>
    <m/>
    <m/>
    <n v="100"/>
    <n v="135"/>
    <n v="120"/>
    <n v="60"/>
    <n v="85"/>
    <n v="50"/>
    <n v="550"/>
    <n v="0"/>
    <n v="3"/>
    <n v="0"/>
    <n v="0"/>
    <n v="0"/>
    <n v="0"/>
  </r>
  <r>
    <s v="Great Tusk"/>
    <x v="1174"/>
    <n v="984"/>
    <s v="984_0"/>
    <x v="3"/>
    <n v="2.2000000000000002"/>
    <n v="320"/>
    <x v="8"/>
    <s v="Fighting"/>
    <s v="Protosynthesis"/>
    <m/>
    <m/>
    <s v="Purple"/>
    <n v="0"/>
    <n v="0"/>
    <n v="100"/>
    <n v="50"/>
    <s v="Undiscovered"/>
    <m/>
    <n v="30"/>
    <n v="285"/>
    <n v="1250000"/>
    <x v="1"/>
    <m/>
    <m/>
    <n v="115"/>
    <n v="131"/>
    <n v="131"/>
    <n v="53"/>
    <n v="53"/>
    <n v="87"/>
    <n v="570"/>
    <n v="0"/>
    <n v="3"/>
    <n v="0"/>
    <n v="0"/>
    <n v="0"/>
    <n v="0"/>
  </r>
  <r>
    <s v="Scream Tail"/>
    <x v="1175"/>
    <n v="985"/>
    <s v="985_0"/>
    <x v="3"/>
    <n v="1.2"/>
    <n v="8"/>
    <x v="10"/>
    <s v="Psychic"/>
    <s v="Protosynthesis"/>
    <m/>
    <m/>
    <s v="Pink"/>
    <n v="0"/>
    <n v="0"/>
    <n v="100"/>
    <n v="50"/>
    <s v="Undiscovered"/>
    <m/>
    <n v="50"/>
    <n v="285"/>
    <n v="1250000"/>
    <x v="1"/>
    <m/>
    <m/>
    <n v="115"/>
    <n v="65"/>
    <n v="99"/>
    <n v="65"/>
    <n v="115"/>
    <n v="111"/>
    <n v="570"/>
    <n v="3"/>
    <n v="0"/>
    <n v="0"/>
    <n v="0"/>
    <n v="0"/>
    <n v="0"/>
  </r>
  <r>
    <s v="Brute Bonnet"/>
    <x v="1176"/>
    <n v="986"/>
    <s v="986_0"/>
    <x v="3"/>
    <n v="1.2"/>
    <n v="21"/>
    <x v="0"/>
    <s v="Dark"/>
    <s v="Protosynthesis"/>
    <m/>
    <m/>
    <s v="Gray"/>
    <n v="0"/>
    <n v="0"/>
    <n v="100"/>
    <n v="50"/>
    <s v="Undiscovered"/>
    <m/>
    <n v="50"/>
    <n v="285"/>
    <n v="1250000"/>
    <x v="1"/>
    <m/>
    <m/>
    <n v="111"/>
    <n v="127"/>
    <n v="99"/>
    <n v="79"/>
    <n v="99"/>
    <n v="55"/>
    <n v="570"/>
    <n v="0"/>
    <n v="3"/>
    <n v="0"/>
    <n v="0"/>
    <n v="0"/>
    <n v="0"/>
  </r>
  <r>
    <s v="Flutter Mane"/>
    <x v="1177"/>
    <n v="987"/>
    <s v="987_0"/>
    <x v="3"/>
    <n v="1.4"/>
    <n v="4"/>
    <x v="15"/>
    <s v="Fairy"/>
    <s v="Protosynthesis"/>
    <m/>
    <m/>
    <s v="Gray"/>
    <n v="0"/>
    <n v="0"/>
    <n v="100"/>
    <n v="50"/>
    <s v="Undiscovered"/>
    <m/>
    <n v="30"/>
    <n v="285"/>
    <n v="1250000"/>
    <x v="1"/>
    <m/>
    <m/>
    <n v="55"/>
    <n v="55"/>
    <n v="55"/>
    <n v="135"/>
    <n v="135"/>
    <n v="135"/>
    <n v="570"/>
    <n v="0"/>
    <n v="0"/>
    <n v="0"/>
    <n v="1"/>
    <n v="1"/>
    <n v="1"/>
  </r>
  <r>
    <s v="Slither Wing"/>
    <x v="1178"/>
    <n v="988"/>
    <s v="988_0"/>
    <x v="3"/>
    <n v="3.2"/>
    <n v="92"/>
    <x v="3"/>
    <s v="Fighting"/>
    <s v="Protosynthesis"/>
    <m/>
    <m/>
    <s v="Red"/>
    <n v="0"/>
    <n v="0"/>
    <n v="100"/>
    <n v="50"/>
    <s v="Undiscovered"/>
    <m/>
    <n v="30"/>
    <n v="285"/>
    <n v="1250000"/>
    <x v="1"/>
    <m/>
    <m/>
    <n v="85"/>
    <n v="135"/>
    <n v="79"/>
    <n v="85"/>
    <n v="105"/>
    <n v="81"/>
    <n v="570"/>
    <n v="0"/>
    <n v="3"/>
    <n v="0"/>
    <n v="0"/>
    <n v="0"/>
    <n v="0"/>
  </r>
  <r>
    <s v="Sandy Shocks"/>
    <x v="1179"/>
    <n v="989"/>
    <s v="989_0"/>
    <x v="3"/>
    <n v="2.2999999999999998"/>
    <n v="60"/>
    <x v="7"/>
    <s v="Ground"/>
    <s v="Protosynthesis"/>
    <m/>
    <m/>
    <s v="Gray"/>
    <n v="0"/>
    <n v="0"/>
    <n v="100"/>
    <n v="50"/>
    <s v="Undiscovered"/>
    <m/>
    <n v="30"/>
    <n v="285"/>
    <n v="1250000"/>
    <x v="1"/>
    <m/>
    <m/>
    <n v="85"/>
    <n v="81"/>
    <n v="97"/>
    <n v="121"/>
    <n v="85"/>
    <n v="101"/>
    <n v="570"/>
    <n v="0"/>
    <n v="0"/>
    <n v="0"/>
    <n v="3"/>
    <n v="0"/>
    <n v="0"/>
  </r>
  <r>
    <s v="Iron Treads"/>
    <x v="1180"/>
    <n v="990"/>
    <s v="990_0"/>
    <x v="3"/>
    <n v="0.9"/>
    <n v="240"/>
    <x v="8"/>
    <s v="Steel"/>
    <s v="Quark Drive"/>
    <m/>
    <m/>
    <s v="Gray"/>
    <n v="0"/>
    <n v="0"/>
    <n v="100"/>
    <n v="50"/>
    <s v="Undiscovered"/>
    <m/>
    <n v="30"/>
    <n v="285"/>
    <n v="1250000"/>
    <x v="1"/>
    <m/>
    <m/>
    <n v="90"/>
    <n v="112"/>
    <n v="120"/>
    <n v="72"/>
    <n v="70"/>
    <n v="106"/>
    <n v="570"/>
    <n v="0"/>
    <n v="0"/>
    <n v="3"/>
    <n v="0"/>
    <n v="0"/>
    <n v="0"/>
  </r>
  <r>
    <s v="Iron Bundle"/>
    <x v="1181"/>
    <n v="991"/>
    <s v="991_0"/>
    <x v="3"/>
    <n v="0.6"/>
    <n v="11"/>
    <x v="9"/>
    <s v="Water"/>
    <s v="Quark Drive"/>
    <m/>
    <m/>
    <s v="Red"/>
    <n v="0"/>
    <n v="0"/>
    <n v="100"/>
    <n v="50"/>
    <s v="Undiscovered"/>
    <m/>
    <n v="50"/>
    <n v="285"/>
    <n v="1250000"/>
    <x v="1"/>
    <m/>
    <m/>
    <n v="56"/>
    <n v="80"/>
    <n v="114"/>
    <n v="124"/>
    <n v="60"/>
    <n v="136"/>
    <n v="570"/>
    <n v="0"/>
    <n v="0"/>
    <n v="0"/>
    <n v="0"/>
    <n v="0"/>
    <n v="3"/>
  </r>
  <r>
    <s v="Iron Hands"/>
    <x v="1182"/>
    <n v="992"/>
    <s v="992_0"/>
    <x v="3"/>
    <n v="1.8"/>
    <n v="380.7"/>
    <x v="12"/>
    <s v="Electric"/>
    <s v="Quark Drive"/>
    <m/>
    <m/>
    <s v="Gray"/>
    <n v="0"/>
    <n v="0"/>
    <n v="100"/>
    <n v="50"/>
    <s v="Undiscovered"/>
    <m/>
    <n v="50"/>
    <n v="285"/>
    <n v="1250000"/>
    <x v="1"/>
    <m/>
    <m/>
    <n v="154"/>
    <n v="140"/>
    <n v="108"/>
    <n v="50"/>
    <n v="68"/>
    <n v="50"/>
    <n v="570"/>
    <n v="0"/>
    <n v="3"/>
    <n v="0"/>
    <n v="0"/>
    <n v="0"/>
    <n v="0"/>
  </r>
  <r>
    <s v="Iron Jugulis"/>
    <x v="1183"/>
    <n v="993"/>
    <s v="993_0"/>
    <x v="3"/>
    <n v="1.3"/>
    <n v="111"/>
    <x v="5"/>
    <s v="Flying"/>
    <s v="Quark Drive"/>
    <m/>
    <m/>
    <s v="Blue"/>
    <n v="0"/>
    <n v="0"/>
    <n v="100"/>
    <n v="50"/>
    <s v="Undiscovered"/>
    <m/>
    <n v="30"/>
    <n v="285"/>
    <n v="1250000"/>
    <x v="1"/>
    <m/>
    <m/>
    <n v="94"/>
    <n v="80"/>
    <n v="86"/>
    <n v="122"/>
    <n v="80"/>
    <n v="108"/>
    <n v="570"/>
    <n v="0"/>
    <n v="0"/>
    <n v="0"/>
    <n v="3"/>
    <n v="0"/>
    <n v="0"/>
  </r>
  <r>
    <s v="Iron Moth"/>
    <x v="1184"/>
    <n v="994"/>
    <s v="994_0"/>
    <x v="3"/>
    <n v="1.2"/>
    <n v="36"/>
    <x v="1"/>
    <s v="Poison"/>
    <s v="Quark Drive"/>
    <m/>
    <m/>
    <s v="Yellow"/>
    <n v="0"/>
    <n v="0"/>
    <n v="100"/>
    <n v="50"/>
    <s v="Undiscovered"/>
    <m/>
    <n v="30"/>
    <n v="285"/>
    <n v="1250000"/>
    <x v="1"/>
    <m/>
    <m/>
    <n v="80"/>
    <n v="70"/>
    <n v="60"/>
    <n v="140"/>
    <n v="110"/>
    <n v="110"/>
    <n v="570"/>
    <n v="0"/>
    <n v="0"/>
    <n v="0"/>
    <n v="3"/>
    <n v="0"/>
    <n v="0"/>
  </r>
  <r>
    <s v="Iron Thorns"/>
    <x v="1185"/>
    <n v="995"/>
    <s v="995_0"/>
    <x v="3"/>
    <n v="1.6"/>
    <n v="303"/>
    <x v="14"/>
    <s v="Electric"/>
    <s v="Quark Drive"/>
    <m/>
    <m/>
    <s v="Green"/>
    <n v="0"/>
    <n v="0"/>
    <n v="100"/>
    <n v="50"/>
    <s v="Undiscovered"/>
    <m/>
    <n v="30"/>
    <n v="285"/>
    <n v="1250000"/>
    <x v="1"/>
    <m/>
    <m/>
    <n v="100"/>
    <n v="134"/>
    <n v="110"/>
    <n v="70"/>
    <n v="84"/>
    <n v="72"/>
    <n v="570"/>
    <n v="0"/>
    <n v="3"/>
    <n v="0"/>
    <n v="0"/>
    <n v="0"/>
    <n v="0"/>
  </r>
  <r>
    <s v="Frigibax"/>
    <x v="1186"/>
    <n v="996"/>
    <s v="996_0"/>
    <x v="3"/>
    <n v="0.5"/>
    <n v="17"/>
    <x v="16"/>
    <s v="Ice"/>
    <s v="Thermal Exchange"/>
    <m/>
    <s v="Ice Body"/>
    <s v="Gray"/>
    <n v="50"/>
    <n v="50"/>
    <n v="0"/>
    <n v="40"/>
    <s v="Dragon"/>
    <s v="Mineral"/>
    <n v="45"/>
    <n v="64"/>
    <n v="1250000"/>
    <x v="0"/>
    <m/>
    <m/>
    <n v="65"/>
    <n v="75"/>
    <n v="45"/>
    <n v="35"/>
    <n v="45"/>
    <n v="55"/>
    <n v="320"/>
    <n v="0"/>
    <n v="1"/>
    <n v="0"/>
    <n v="0"/>
    <n v="0"/>
    <n v="0"/>
  </r>
  <r>
    <s v="Arctibax"/>
    <x v="1187"/>
    <n v="997"/>
    <s v="997_0"/>
    <x v="3"/>
    <n v="0.8"/>
    <n v="30"/>
    <x v="16"/>
    <s v="Ice"/>
    <s v="Thermal Exchange"/>
    <m/>
    <s v="Ice Body"/>
    <s v="Gray"/>
    <n v="50"/>
    <n v="50"/>
    <n v="0"/>
    <n v="40"/>
    <s v="Dragon"/>
    <s v="Mineral"/>
    <n v="25"/>
    <n v="148"/>
    <n v="1250000"/>
    <x v="0"/>
    <m/>
    <m/>
    <n v="90"/>
    <n v="95"/>
    <n v="66"/>
    <n v="45"/>
    <n v="65"/>
    <n v="62"/>
    <n v="423"/>
    <n v="0"/>
    <n v="2"/>
    <n v="0"/>
    <n v="0"/>
    <n v="0"/>
    <n v="0"/>
  </r>
  <r>
    <s v="Baxcalibur"/>
    <x v="1188"/>
    <n v="998"/>
    <s v="998_0"/>
    <x v="3"/>
    <n v="2.1"/>
    <n v="210"/>
    <x v="16"/>
    <s v="Ice"/>
    <s v="Thermal Exchange"/>
    <m/>
    <s v="Ice Body"/>
    <s v="Gray"/>
    <n v="50"/>
    <n v="50"/>
    <n v="0"/>
    <n v="40"/>
    <s v="Dragon"/>
    <s v="Mineral"/>
    <n v="10"/>
    <n v="300"/>
    <n v="1250000"/>
    <x v="0"/>
    <m/>
    <m/>
    <n v="115"/>
    <n v="145"/>
    <n v="92"/>
    <n v="75"/>
    <n v="86"/>
    <n v="87"/>
    <n v="600"/>
    <n v="0"/>
    <n v="3"/>
    <n v="0"/>
    <n v="0"/>
    <n v="0"/>
    <n v="0"/>
  </r>
  <r>
    <s v="Gimmighoul"/>
    <x v="1189"/>
    <n v="999"/>
    <s v="999_0"/>
    <x v="3"/>
    <n v="0.3"/>
    <n v="5"/>
    <x v="15"/>
    <m/>
    <s v="Rattled"/>
    <m/>
    <m/>
    <s v="Brown"/>
    <n v="0"/>
    <n v="0"/>
    <n v="100"/>
    <n v="50"/>
    <s v="Undiscovered"/>
    <m/>
    <n v="45"/>
    <n v="60"/>
    <n v="1250000"/>
    <x v="0"/>
    <m/>
    <m/>
    <n v="45"/>
    <n v="30"/>
    <n v="70"/>
    <n v="75"/>
    <n v="70"/>
    <n v="10"/>
    <n v="300"/>
    <n v="0"/>
    <n v="0"/>
    <n v="0"/>
    <n v="1"/>
    <n v="0"/>
    <n v="0"/>
  </r>
  <r>
    <s v="Gimmighoul"/>
    <x v="1190"/>
    <n v="999"/>
    <s v="999_1"/>
    <x v="3"/>
    <n v="0.1"/>
    <n v="0.1"/>
    <x v="15"/>
    <m/>
    <s v="Run Away"/>
    <m/>
    <m/>
    <s v="Blue"/>
    <n v="0"/>
    <n v="0"/>
    <n v="100"/>
    <n v="50"/>
    <s v="Undiscovered"/>
    <m/>
    <n v="45"/>
    <n v="60"/>
    <n v="1250000"/>
    <x v="0"/>
    <m/>
    <m/>
    <n v="45"/>
    <n v="30"/>
    <n v="25"/>
    <n v="75"/>
    <n v="45"/>
    <n v="80"/>
    <n v="300"/>
    <n v="0"/>
    <n v="0"/>
    <n v="0"/>
    <n v="1"/>
    <n v="0"/>
    <n v="0"/>
  </r>
  <r>
    <s v="Gholdengo"/>
    <x v="1191"/>
    <n v="1000"/>
    <s v="1000_0"/>
    <x v="3"/>
    <n v="1.2"/>
    <n v="30"/>
    <x v="11"/>
    <s v="Ghost"/>
    <s v="Good as Gold"/>
    <m/>
    <m/>
    <s v="Yellow"/>
    <n v="0"/>
    <n v="0"/>
    <n v="100"/>
    <n v="50"/>
    <s v="Undiscovered"/>
    <m/>
    <n v="45"/>
    <n v="275"/>
    <n v="1250000"/>
    <x v="0"/>
    <m/>
    <m/>
    <n v="87"/>
    <n v="60"/>
    <n v="95"/>
    <n v="133"/>
    <n v="91"/>
    <n v="84"/>
    <n v="550"/>
    <n v="0"/>
    <n v="0"/>
    <n v="0"/>
    <n v="2"/>
    <n v="0"/>
    <n v="0"/>
  </r>
  <r>
    <s v="Wo-Chien"/>
    <x v="1192"/>
    <n v="1001"/>
    <s v="1001_0"/>
    <x v="3"/>
    <n v="1.5"/>
    <n v="74.2"/>
    <x v="5"/>
    <s v="Grass"/>
    <s v="Tablets of Ruin"/>
    <m/>
    <m/>
    <s v="Brown"/>
    <n v="0"/>
    <n v="0"/>
    <n v="100"/>
    <n v="50"/>
    <s v="Undiscovered"/>
    <m/>
    <n v="6"/>
    <n v="285"/>
    <n v="1250000"/>
    <x v="1"/>
    <m/>
    <m/>
    <n v="85"/>
    <n v="85"/>
    <n v="100"/>
    <n v="95"/>
    <n v="135"/>
    <n v="70"/>
    <n v="570"/>
    <n v="0"/>
    <n v="0"/>
    <n v="0"/>
    <n v="0"/>
    <n v="3"/>
    <n v="0"/>
  </r>
  <r>
    <s v="Chien-Pao"/>
    <x v="1193"/>
    <n v="1002"/>
    <s v="1002_0"/>
    <x v="3"/>
    <n v="1.9"/>
    <n v="152.19999999999999"/>
    <x v="5"/>
    <s v="Ice"/>
    <s v="Sword of Ruin"/>
    <m/>
    <m/>
    <s v="White"/>
    <n v="0"/>
    <n v="0"/>
    <n v="100"/>
    <n v="50"/>
    <s v="Undiscovered"/>
    <m/>
    <n v="6"/>
    <n v="285"/>
    <n v="1250000"/>
    <x v="1"/>
    <m/>
    <m/>
    <n v="80"/>
    <n v="120"/>
    <n v="80"/>
    <n v="90"/>
    <n v="65"/>
    <n v="135"/>
    <n v="570"/>
    <n v="0"/>
    <n v="0"/>
    <n v="0"/>
    <n v="0"/>
    <n v="0"/>
    <n v="3"/>
  </r>
  <r>
    <s v="Ting-Lu"/>
    <x v="1194"/>
    <n v="1003"/>
    <s v="1003_0"/>
    <x v="3"/>
    <n v="2.7"/>
    <n v="699.7"/>
    <x v="5"/>
    <s v="Ground"/>
    <s v="Vessel of Ruin"/>
    <m/>
    <m/>
    <s v="Brown"/>
    <n v="0"/>
    <n v="0"/>
    <n v="100"/>
    <n v="50"/>
    <s v="Undiscovered"/>
    <m/>
    <n v="6"/>
    <n v="285"/>
    <n v="1250000"/>
    <x v="1"/>
    <m/>
    <m/>
    <n v="155"/>
    <n v="110"/>
    <n v="125"/>
    <n v="55"/>
    <n v="80"/>
    <n v="45"/>
    <n v="570"/>
    <n v="0"/>
    <n v="0"/>
    <n v="3"/>
    <n v="0"/>
    <n v="0"/>
    <n v="0"/>
  </r>
  <r>
    <s v="Chi-Yu"/>
    <x v="1195"/>
    <n v="1004"/>
    <s v="1004_0"/>
    <x v="3"/>
    <n v="0.4"/>
    <n v="4.9000000000000004"/>
    <x v="5"/>
    <s v="Fire"/>
    <s v="Beads of Ruin"/>
    <m/>
    <m/>
    <s v="Red"/>
    <n v="0"/>
    <n v="0"/>
    <n v="100"/>
    <n v="50"/>
    <s v="Undiscovered"/>
    <m/>
    <n v="6"/>
    <n v="285"/>
    <n v="1250000"/>
    <x v="1"/>
    <m/>
    <m/>
    <n v="55"/>
    <n v="80"/>
    <n v="80"/>
    <n v="135"/>
    <n v="120"/>
    <n v="100"/>
    <n v="570"/>
    <n v="0"/>
    <n v="0"/>
    <n v="0"/>
    <n v="3"/>
    <n v="0"/>
    <n v="0"/>
  </r>
  <r>
    <s v="Roaring Moon"/>
    <x v="1196"/>
    <n v="1005"/>
    <s v="1005_0"/>
    <x v="3"/>
    <n v="2"/>
    <n v="380"/>
    <x v="16"/>
    <s v="Dark"/>
    <s v="Protosynthesis"/>
    <m/>
    <m/>
    <s v="Green"/>
    <n v="0"/>
    <n v="0"/>
    <n v="100"/>
    <n v="50"/>
    <s v="Undiscovered"/>
    <m/>
    <n v="10"/>
    <n v="295"/>
    <n v="1250000"/>
    <x v="1"/>
    <m/>
    <m/>
    <n v="105"/>
    <n v="139"/>
    <n v="71"/>
    <n v="55"/>
    <n v="101"/>
    <n v="119"/>
    <n v="590"/>
    <n v="0"/>
    <n v="3"/>
    <n v="0"/>
    <n v="0"/>
    <n v="0"/>
    <n v="0"/>
  </r>
  <r>
    <s v="Iron Valiant"/>
    <x v="1197"/>
    <n v="1006"/>
    <s v="1006_0"/>
    <x v="3"/>
    <n v="1.4"/>
    <n v="35"/>
    <x v="10"/>
    <s v="Fighting"/>
    <s v="Quark Drive"/>
    <m/>
    <m/>
    <s v="White"/>
    <n v="0"/>
    <n v="0"/>
    <n v="100"/>
    <n v="50"/>
    <s v="Undiscovered"/>
    <m/>
    <n v="10"/>
    <n v="295"/>
    <n v="1250000"/>
    <x v="1"/>
    <m/>
    <m/>
    <n v="74"/>
    <n v="130"/>
    <n v="90"/>
    <n v="120"/>
    <n v="60"/>
    <n v="116"/>
    <n v="590"/>
    <n v="0"/>
    <n v="3"/>
    <n v="0"/>
    <n v="0"/>
    <n v="0"/>
    <n v="0"/>
  </r>
  <r>
    <s v="Koraidon"/>
    <x v="1198"/>
    <n v="1007"/>
    <s v="1007_0"/>
    <x v="3"/>
    <n v="2.5"/>
    <n v="303"/>
    <x v="12"/>
    <s v="Dragon"/>
    <s v="Orichalcum Pulse"/>
    <m/>
    <m/>
    <s v="Red"/>
    <n v="0"/>
    <n v="0"/>
    <n v="100"/>
    <n v="50"/>
    <s v="Undiscovered"/>
    <m/>
    <n v="3"/>
    <n v="335"/>
    <n v="1250000"/>
    <x v="2"/>
    <m/>
    <m/>
    <n v="100"/>
    <n v="135"/>
    <n v="115"/>
    <n v="85"/>
    <n v="100"/>
    <n v="135"/>
    <n v="670"/>
    <n v="0"/>
    <n v="3"/>
    <n v="0"/>
    <n v="0"/>
    <n v="0"/>
    <n v="0"/>
  </r>
  <r>
    <s v="Miraidon"/>
    <x v="1199"/>
    <n v="1008"/>
    <s v="1008_0"/>
    <x v="3"/>
    <n v="3.5"/>
    <n v="240"/>
    <x v="7"/>
    <s v="Dragon"/>
    <s v="Hadron Engine"/>
    <m/>
    <m/>
    <s v="Blue"/>
    <n v="0"/>
    <n v="0"/>
    <n v="100"/>
    <n v="50"/>
    <s v="Undiscovered"/>
    <m/>
    <n v="3"/>
    <n v="335"/>
    <n v="1250000"/>
    <x v="2"/>
    <m/>
    <m/>
    <n v="100"/>
    <n v="85"/>
    <n v="100"/>
    <n v="135"/>
    <n v="115"/>
    <n v="135"/>
    <n v="670"/>
    <n v="0"/>
    <n v="0"/>
    <n v="0"/>
    <n v="3"/>
    <n v="0"/>
    <n v="0"/>
  </r>
  <r>
    <s v="Walking Wake"/>
    <x v="1200"/>
    <n v="1009"/>
    <s v="1009_0"/>
    <x v="3"/>
    <n v="3.5"/>
    <n v="280"/>
    <x v="2"/>
    <s v="Dragon"/>
    <s v="Protosynthesis"/>
    <m/>
    <m/>
    <s v="Blue"/>
    <n v="0"/>
    <n v="0"/>
    <n v="100"/>
    <n v="50"/>
    <s v="Undiscovered"/>
    <m/>
    <n v="5"/>
    <n v="295"/>
    <n v="1250000"/>
    <x v="1"/>
    <m/>
    <m/>
    <n v="99"/>
    <n v="83"/>
    <n v="91"/>
    <n v="125"/>
    <n v="83"/>
    <n v="109"/>
    <n v="590"/>
    <n v="0"/>
    <n v="0"/>
    <n v="0"/>
    <n v="3"/>
    <n v="0"/>
    <n v="0"/>
  </r>
  <r>
    <s v="Iron Leaves"/>
    <x v="1201"/>
    <n v="1010"/>
    <s v="1010_0"/>
    <x v="3"/>
    <n v="1.5"/>
    <n v="125"/>
    <x v="0"/>
    <s v="Psychic"/>
    <s v="Quark Drive"/>
    <m/>
    <m/>
    <s v="Green"/>
    <n v="0"/>
    <n v="0"/>
    <n v="100"/>
    <n v="50"/>
    <s v="Undiscovered"/>
    <m/>
    <n v="5"/>
    <n v="295"/>
    <n v="1250000"/>
    <x v="1"/>
    <m/>
    <m/>
    <n v="90"/>
    <n v="130"/>
    <n v="88"/>
    <n v="70"/>
    <n v="108"/>
    <n v="104"/>
    <n v="590"/>
    <n v="0"/>
    <n v="3"/>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F2BA575-1FAA-492F-92A3-6C1D1F54ADF3}"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Generation">
  <location ref="N3:O13" firstHeaderRow="1" firstDataRow="1" firstDataCol="1"/>
  <pivotFields count="38">
    <pivotField showAll="0"/>
    <pivotField dataField="1" showAll="0"/>
    <pivotField showAll="0"/>
    <pivotField showAll="0"/>
    <pivotField axis="axisRow" showAll="0">
      <items count="10">
        <item x="0"/>
        <item x="4"/>
        <item x="5"/>
        <item x="6"/>
        <item x="7"/>
        <item x="8"/>
        <item x="1"/>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10">
    <i>
      <x/>
    </i>
    <i>
      <x v="1"/>
    </i>
    <i>
      <x v="2"/>
    </i>
    <i>
      <x v="3"/>
    </i>
    <i>
      <x v="4"/>
    </i>
    <i>
      <x v="5"/>
    </i>
    <i>
      <x v="6"/>
    </i>
    <i>
      <x v="7"/>
    </i>
    <i>
      <x v="8"/>
    </i>
    <i t="grand">
      <x/>
    </i>
  </rowItems>
  <colItems count="1">
    <i/>
  </colItems>
  <dataFields count="1">
    <dataField name="Total Pokemon" fld="1" subtotal="count" baseField="4" baseItem="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 chart="0" format="4">
      <pivotArea type="data" outline="0" fieldPosition="0">
        <references count="2">
          <reference field="4294967294" count="1" selected="0">
            <x v="0"/>
          </reference>
          <reference field="4" count="1" selected="0">
            <x v="3"/>
          </reference>
        </references>
      </pivotArea>
    </chartFormat>
    <chartFormat chart="0" format="5">
      <pivotArea type="data" outline="0" fieldPosition="0">
        <references count="2">
          <reference field="4294967294" count="1" selected="0">
            <x v="0"/>
          </reference>
          <reference field="4" count="1" selected="0">
            <x v="4"/>
          </reference>
        </references>
      </pivotArea>
    </chartFormat>
    <chartFormat chart="0" format="6">
      <pivotArea type="data" outline="0" fieldPosition="0">
        <references count="2">
          <reference field="4294967294" count="1" selected="0">
            <x v="0"/>
          </reference>
          <reference field="4" count="1" selected="0">
            <x v="5"/>
          </reference>
        </references>
      </pivotArea>
    </chartFormat>
    <chartFormat chart="0" format="7">
      <pivotArea type="data" outline="0" fieldPosition="0">
        <references count="2">
          <reference field="4294967294" count="1" selected="0">
            <x v="0"/>
          </reference>
          <reference field="4" count="1" selected="0">
            <x v="6"/>
          </reference>
        </references>
      </pivotArea>
    </chartFormat>
    <chartFormat chart="0" format="8">
      <pivotArea type="data" outline="0" fieldPosition="0">
        <references count="2">
          <reference field="4294967294" count="1" selected="0">
            <x v="0"/>
          </reference>
          <reference field="4" count="1" selected="0">
            <x v="7"/>
          </reference>
        </references>
      </pivotArea>
    </chartFormat>
    <chartFormat chart="0" format="9">
      <pivotArea type="data" outline="0" fieldPosition="0">
        <references count="2">
          <reference field="4294967294" count="1" selected="0">
            <x v="0"/>
          </reference>
          <reference field="4"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3934036-D819-4DCF-9C7C-4B955F8724FD}"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Type of Pokemon">
  <location ref="A3:B22" firstHeaderRow="1" firstDataRow="1" firstDataCol="1"/>
  <pivotFields count="38">
    <pivotField showAll="0"/>
    <pivotField axis="axisRow" showAll="0">
      <items count="1203">
        <item x="562"/>
        <item x="82"/>
        <item x="439"/>
        <item x="745"/>
        <item x="821"/>
        <item x="820"/>
        <item x="186"/>
        <item x="376"/>
        <item x="242"/>
        <item x="84"/>
        <item x="1040"/>
        <item x="63"/>
        <item x="65"/>
        <item x="138"/>
        <item x="95"/>
        <item x="99"/>
        <item x="97"/>
        <item x="118"/>
        <item x="141"/>
        <item x="67"/>
        <item x="120"/>
        <item x="50"/>
        <item x="70"/>
        <item x="34"/>
        <item x="27"/>
        <item x="25"/>
        <item x="36"/>
        <item x="38"/>
        <item x="48"/>
        <item x="722"/>
        <item x="409"/>
        <item x="838"/>
        <item x="523"/>
        <item x="719"/>
        <item x="232"/>
        <item x="1168"/>
        <item x="423"/>
        <item x="1012"/>
        <item x="1010"/>
        <item x="912"/>
        <item x="31"/>
        <item x="1113"/>
        <item x="77"/>
        <item x="606"/>
        <item x="689"/>
        <item x="690"/>
        <item x="1187"/>
        <item x="1057"/>
        <item x="1055"/>
        <item x="219"/>
        <item x="424"/>
        <item x="1122"/>
        <item x="823"/>
        <item x="374"/>
        <item x="1016"/>
        <item x="189"/>
        <item x="796"/>
        <item x="645"/>
        <item x="839"/>
        <item x="861"/>
        <item x="738"/>
        <item x="591"/>
        <item x="236"/>
        <item x="366"/>
        <item x="453"/>
        <item x="419"/>
        <item x="433"/>
        <item x="829"/>
        <item x="415"/>
        <item x="1017"/>
        <item x="1083"/>
        <item x="1082"/>
        <item x="667"/>
        <item x="666"/>
        <item x="503"/>
        <item x="1188"/>
        <item x="203"/>
        <item x="742"/>
        <item x="334"/>
        <item x="18"/>
        <item x="734"/>
        <item x="457"/>
        <item x="1125"/>
        <item x="234"/>
        <item x="89"/>
        <item x="860"/>
        <item x="920"/>
        <item x="492"/>
        <item x="491"/>
        <item x="828"/>
        <item x="754"/>
        <item x="976"/>
        <item x="781"/>
        <item x="11"/>
        <item x="320"/>
        <item x="994"/>
        <item x="303"/>
        <item x="636"/>
        <item x="639"/>
        <item x="1006"/>
        <item x="1148"/>
        <item x="538"/>
        <item x="755"/>
        <item x="921"/>
        <item x="791"/>
        <item x="1133"/>
        <item x="1132"/>
        <item x="757"/>
        <item x="354"/>
        <item x="883"/>
        <item x="537"/>
        <item x="536"/>
        <item x="1176"/>
        <item x="946"/>
        <item x="498"/>
        <item x="514"/>
        <item x="0"/>
        <item x="526"/>
        <item x="797"/>
        <item x="504"/>
        <item x="505"/>
        <item x="506"/>
        <item x="15"/>
        <item x="961"/>
        <item x="406"/>
        <item x="407"/>
        <item x="1076"/>
        <item x="1077"/>
        <item x="1078"/>
        <item x="397"/>
        <item x="1137"/>
        <item x="843"/>
        <item x="1008"/>
        <item x="557"/>
        <item x="688"/>
        <item x="391"/>
        <item x="335"/>
        <item x="427"/>
        <item x="429"/>
        <item x="430"/>
        <item x="428"/>
        <item x="13"/>
        <item x="313"/>
        <item x="964"/>
        <item x="1022"/>
        <item x="1123"/>
        <item x="1162"/>
        <item x="1161"/>
        <item x="737"/>
        <item x="150"/>
        <item x="1121"/>
        <item x="6"/>
        <item x="891"/>
        <item x="4"/>
        <item x="5"/>
        <item x="541"/>
        <item x="517"/>
        <item x="518"/>
        <item x="516"/>
        <item x="789"/>
        <item x="787"/>
        <item x="1003"/>
        <item x="1193"/>
        <item x="202"/>
        <item x="482"/>
        <item x="438"/>
        <item x="221"/>
        <item x="533"/>
        <item x="1195"/>
        <item x="698"/>
        <item x="985"/>
        <item x="448"/>
        <item x="832"/>
        <item x="833"/>
        <item x="420"/>
        <item x="46"/>
        <item x="45"/>
        <item x="224"/>
        <item x="1023"/>
        <item x="1169"/>
        <item x="122"/>
        <item x="1009"/>
        <item x="768"/>
        <item x="686"/>
        <item x="511"/>
        <item x="319"/>
        <item x="924"/>
        <item x="872"/>
        <item x="649"/>
        <item x="1053"/>
        <item x="417"/>
        <item x="281"/>
        <item x="993"/>
        <item x="992"/>
        <item x="957"/>
        <item x="956"/>
        <item x="661"/>
        <item x="894"/>
        <item x="893"/>
        <item x="422"/>
        <item x="1015"/>
        <item x="500"/>
        <item x="418"/>
        <item x="600"/>
        <item x="555"/>
        <item x="220"/>
        <item x="1092"/>
        <item x="210"/>
        <item x="680"/>
        <item x="743"/>
        <item x="741"/>
        <item x="139"/>
        <item x="1052"/>
        <item x="1035"/>
        <item x="899"/>
        <item x="1154"/>
        <item x="205"/>
        <item x="1110"/>
        <item x="603"/>
        <item x="674"/>
        <item x="675"/>
        <item x="876"/>
        <item x="672"/>
        <item x="969"/>
        <item x="877"/>
        <item x="842"/>
        <item x="712"/>
        <item x="710"/>
        <item x="711"/>
        <item x="713"/>
        <item x="763"/>
        <item x="369"/>
        <item x="285"/>
        <item x="792"/>
        <item x="475"/>
        <item x="476"/>
        <item x="477"/>
        <item x="478"/>
        <item x="116"/>
        <item x="615"/>
        <item x="911"/>
        <item x="948"/>
        <item x="592"/>
        <item x="593"/>
        <item x="870"/>
        <item x="798"/>
        <item x="62"/>
        <item x="176"/>
        <item x="114"/>
        <item x="113"/>
        <item x="1112"/>
        <item x="1164"/>
        <item x="293"/>
        <item x="995"/>
        <item x="819"/>
        <item x="1056"/>
        <item x="1054"/>
        <item x="831"/>
        <item x="1061"/>
        <item x="196"/>
        <item x="197"/>
        <item x="1060"/>
        <item x="947"/>
        <item x="554"/>
        <item x="195"/>
        <item x="1004"/>
        <item x="1059"/>
        <item x="525"/>
        <item x="524"/>
        <item x="643"/>
        <item x="987"/>
        <item x="128"/>
        <item x="750"/>
        <item x="1002"/>
        <item x="705"/>
        <item x="1172"/>
        <item x="1171"/>
        <item x="64"/>
        <item x="260"/>
        <item x="703"/>
        <item x="1058"/>
        <item x="762"/>
        <item x="436"/>
        <item x="968"/>
        <item x="581"/>
        <item x="435"/>
        <item x="336"/>
        <item x="679"/>
        <item x="731"/>
        <item x="732"/>
        <item x="177"/>
        <item x="1046"/>
        <item x="1047"/>
        <item x="30"/>
        <item x="1000"/>
        <item x="164"/>
        <item x="569"/>
        <item x="381"/>
        <item x="134"/>
        <item x="300"/>
        <item x="733"/>
        <item x="613"/>
        <item x="715"/>
        <item x="487"/>
        <item x="1086"/>
        <item x="1087"/>
        <item x="305"/>
        <item x="717"/>
        <item x="1142"/>
        <item x="249"/>
        <item x="815"/>
        <item x="1067"/>
        <item x="1066"/>
        <item x="644"/>
        <item x="136"/>
        <item x="137"/>
        <item x="363"/>
        <item x="1041"/>
        <item x="587"/>
        <item x="111"/>
        <item x="1170"/>
        <item x="29"/>
        <item x="425"/>
        <item x="790"/>
        <item x="211"/>
        <item x="725"/>
        <item x="726"/>
        <item x="1109"/>
        <item x="1149"/>
        <item x="558"/>
        <item x="231"/>
        <item x="807"/>
        <item x="1160"/>
        <item x="1011"/>
        <item x="180"/>
        <item x="800"/>
        <item x="799"/>
        <item x="1141"/>
        <item x="515"/>
        <item x="808"/>
        <item x="1089"/>
        <item x="809"/>
        <item x="1177"/>
        <item x="405"/>
        <item x="913"/>
        <item x="718"/>
        <item x="259"/>
        <item x="739"/>
        <item x="1186"/>
        <item x="720"/>
        <item x="793"/>
        <item x="794"/>
        <item x="582"/>
        <item x="1044"/>
        <item x="586"/>
        <item x="1091"/>
        <item x="814"/>
        <item x="213"/>
        <item x="544"/>
        <item x="190"/>
        <item x="282"/>
        <item x="676"/>
        <item x="677"/>
        <item x="673"/>
        <item x="112"/>
        <item x="331"/>
        <item x="68"/>
        <item x="194"/>
        <item x="161"/>
        <item x="101"/>
        <item x="103"/>
        <item x="107"/>
        <item x="253"/>
        <item x="105"/>
        <item x="747"/>
        <item x="147"/>
        <item x="685"/>
        <item x="192"/>
        <item x="329"/>
        <item x="578"/>
        <item x="724"/>
        <item x="692"/>
        <item x="545"/>
        <item x="349"/>
        <item x="1120"/>
        <item x="123"/>
        <item x="521"/>
        <item x="522"/>
        <item x="786"/>
        <item x="125"/>
        <item x="94"/>
        <item x="1191"/>
        <item x="543"/>
        <item x="640"/>
        <item x="1189"/>
        <item x="1190"/>
        <item x="257"/>
        <item x="598"/>
        <item x="599"/>
        <item x="574"/>
        <item x="443"/>
        <item x="531"/>
        <item x="1074"/>
        <item x="261"/>
        <item x="1156"/>
        <item x="1157"/>
        <item x="575"/>
        <item x="56"/>
        <item x="811"/>
        <item x="54"/>
        <item x="156"/>
        <item x="72"/>
        <item x="98"/>
        <item x="751"/>
        <item x="928"/>
        <item x="752"/>
        <item x="847"/>
        <item x="844"/>
        <item x="450"/>
        <item x="999"/>
        <item x="699"/>
        <item x="701"/>
        <item x="700"/>
        <item x="857"/>
        <item x="858"/>
        <item x="856"/>
        <item x="859"/>
        <item x="1131"/>
        <item x="265"/>
        <item x="1024"/>
        <item x="96"/>
        <item x="1174"/>
        <item x="1158"/>
        <item x="990"/>
        <item x="795"/>
        <item x="117"/>
        <item x="1032"/>
        <item x="980"/>
        <item x="480"/>
        <item x="470"/>
        <item x="315"/>
        <item x="75"/>
        <item x="890"/>
        <item x="401"/>
        <item x="389"/>
        <item x="889"/>
        <item x="648"/>
        <item x="966"/>
        <item x="173"/>
        <item x="950"/>
        <item x="540"/>
        <item x="365"/>
        <item x="1027"/>
        <item x="1029"/>
        <item x="1028"/>
        <item x="124"/>
        <item x="841"/>
        <item x="740"/>
        <item x="584"/>
        <item x="761"/>
        <item x="596"/>
        <item x="835"/>
        <item x="834"/>
        <item x="271"/>
        <item x="621"/>
        <item x="551"/>
        <item x="552"/>
        <item x="78"/>
        <item x="862"/>
        <item x="668"/>
        <item x="758"/>
        <item x="878"/>
        <item x="135"/>
        <item x="848"/>
        <item x="76"/>
        <item x="665"/>
        <item x="267"/>
        <item x="617"/>
        <item x="846"/>
        <item x="274"/>
        <item x="208"/>
        <item x="133"/>
        <item x="696"/>
        <item x="694"/>
        <item x="143"/>
        <item x="142"/>
        <item x="298"/>
        <item x="530"/>
        <item x="818"/>
        <item x="312"/>
        <item x="214"/>
        <item x="239"/>
        <item x="154"/>
        <item x="289"/>
        <item x="288"/>
        <item x="1159"/>
        <item x="449"/>
        <item x="765"/>
        <item x="129"/>
        <item x="225"/>
        <item x="387"/>
        <item x="1030"/>
        <item x="881"/>
        <item x="1049"/>
        <item x="1048"/>
        <item x="484"/>
        <item x="826"/>
        <item x="988"/>
        <item x="1181"/>
        <item x="1182"/>
        <item x="1183"/>
        <item x="1201"/>
        <item x="1184"/>
        <item x="1185"/>
        <item x="1180"/>
        <item x="1197"/>
        <item x="1"/>
        <item x="949"/>
        <item x="721"/>
        <item x="51"/>
        <item x="474"/>
        <item x="179"/>
        <item x="723"/>
        <item x="241"/>
        <item x="163"/>
        <item x="184"/>
        <item x="185"/>
        <item x="83"/>
        <item x="17"/>
        <item x="152"/>
        <item x="716"/>
        <item x="965"/>
        <item x="431"/>
        <item x="782"/>
        <item x="783"/>
        <item x="1127"/>
        <item x="1173"/>
        <item x="291"/>
        <item x="131"/>
        <item x="348"/>
        <item x="728"/>
        <item x="1136"/>
        <item x="1080"/>
        <item x="849"/>
        <item x="727"/>
        <item x="729"/>
        <item x="145"/>
        <item x="942"/>
        <item x="951"/>
        <item x="1198"/>
        <item x="130"/>
        <item x="493"/>
        <item x="494"/>
        <item x="670"/>
        <item x="671"/>
        <item x="1068"/>
        <item x="468"/>
        <item x="779"/>
        <item x="375"/>
        <item x="736"/>
        <item x="777"/>
        <item x="778"/>
        <item x="222"/>
        <item x="175"/>
        <item x="766"/>
        <item x="307"/>
        <item x="464"/>
        <item x="466"/>
        <item x="573"/>
        <item x="657"/>
        <item x="1097"/>
        <item x="217"/>
        <item x="216"/>
        <item x="566"/>
        <item x="144"/>
        <item x="624"/>
        <item x="421"/>
        <item x="664"/>
        <item x="620"/>
        <item x="330"/>
        <item x="805"/>
        <item x="879"/>
        <item x="735"/>
        <item x="1102"/>
        <item x="338"/>
        <item x="527"/>
        <item x="337"/>
        <item x="362"/>
        <item x="549"/>
        <item x="339"/>
        <item x="311"/>
        <item x="559"/>
        <item x="959"/>
        <item x="413"/>
        <item x="914"/>
        <item x="452"/>
        <item x="496"/>
        <item x="497"/>
        <item x="904"/>
        <item x="902"/>
        <item x="903"/>
        <item x="1129"/>
        <item x="88"/>
        <item x="87"/>
        <item x="86"/>
        <item x="301"/>
        <item x="278"/>
        <item x="971"/>
        <item x="172"/>
        <item x="165"/>
        <item x="570"/>
        <item x="109"/>
        <item x="110"/>
        <item x="565"/>
        <item x="364"/>
        <item x="827"/>
        <item x="576"/>
        <item x="602"/>
        <item x="760"/>
        <item x="382"/>
        <item x="73"/>
        <item x="286"/>
        <item x="560"/>
        <item x="678"/>
        <item x="907"/>
        <item x="230"/>
        <item x="235"/>
        <item x="140"/>
        <item x="972"/>
        <item x="323"/>
        <item x="1128"/>
        <item x="352"/>
        <item x="1108"/>
        <item x="1107"/>
        <item x="372"/>
        <item x="379"/>
        <item x="378"/>
        <item x="563"/>
        <item x="440"/>
        <item x="187"/>
        <item x="377"/>
        <item x="85"/>
        <item x="410"/>
        <item x="233"/>
        <item x="646"/>
        <item x="434"/>
        <item x="19"/>
        <item x="12"/>
        <item x="321"/>
        <item x="398"/>
        <item x="7"/>
        <item x="8"/>
        <item x="871"/>
        <item x="579"/>
        <item x="546"/>
        <item x="350"/>
        <item x="126"/>
        <item x="444"/>
        <item x="174"/>
        <item x="272"/>
        <item x="290"/>
        <item x="153"/>
        <item x="465"/>
        <item x="467"/>
        <item x="528"/>
        <item x="550"/>
        <item x="383"/>
        <item x="373"/>
        <item x="380"/>
        <item x="460"/>
        <item x="199"/>
        <item x="200"/>
        <item x="23"/>
        <item x="167"/>
        <item x="473"/>
        <item x="371"/>
        <item x="456"/>
        <item x="317"/>
        <item x="269"/>
        <item x="393"/>
        <item x="108"/>
        <item x="263"/>
        <item x="325"/>
        <item x="310"/>
        <item x="3"/>
        <item x="204"/>
        <item x="979"/>
        <item x="784"/>
        <item x="785"/>
        <item x="978"/>
        <item x="1090"/>
        <item x="817"/>
        <item x="816"/>
        <item x="66"/>
        <item x="590"/>
        <item x="459"/>
        <item x="458"/>
        <item x="14"/>
        <item x="201"/>
        <item x="198"/>
        <item x="748"/>
        <item x="749"/>
        <item x="327"/>
        <item x="1039"/>
        <item x="426"/>
        <item x="302"/>
        <item x="539"/>
        <item x="945"/>
        <item x="697"/>
        <item x="939"/>
        <item x="938"/>
        <item x="940"/>
        <item x="934"/>
        <item x="936"/>
        <item x="941"/>
        <item x="935"/>
        <item x="937"/>
        <item x="385"/>
        <item x="1199"/>
        <item x="254"/>
        <item x="529"/>
        <item x="193"/>
        <item x="483"/>
        <item x="915"/>
        <item x="1031"/>
        <item x="1050"/>
        <item x="1051"/>
        <item x="510"/>
        <item x="588"/>
        <item x="160"/>
        <item x="1037"/>
        <item x="909"/>
        <item x="322"/>
        <item x="910"/>
        <item x="119"/>
        <item x="547"/>
        <item x="631"/>
        <item x="251"/>
        <item x="632"/>
        <item x="1118"/>
        <item x="1119"/>
        <item x="974"/>
        <item x="228"/>
        <item x="967"/>
        <item x="997"/>
        <item x="44"/>
        <item x="41"/>
        <item x="39"/>
        <item x="42"/>
        <item x="40"/>
        <item x="43"/>
        <item x="960"/>
        <item x="358"/>
        <item x="49"/>
        <item x="359"/>
        <item x="215"/>
        <item x="863"/>
        <item x="864"/>
        <item x="367"/>
        <item x="396"/>
        <item x="341"/>
        <item x="1101"/>
        <item x="1033"/>
        <item x="284"/>
        <item x="55"/>
        <item x="1098"/>
        <item x="182"/>
        <item x="183"/>
        <item x="127"/>
        <item x="925"/>
        <item x="996"/>
        <item x="895"/>
        <item x="897"/>
        <item x="896"/>
        <item x="898"/>
        <item x="1155"/>
        <item x="614"/>
        <item x="1085"/>
        <item x="513"/>
        <item x="1151"/>
        <item x="1150"/>
        <item x="171"/>
        <item x="170"/>
        <item x="169"/>
        <item x="246"/>
        <item x="594"/>
        <item x="595"/>
        <item x="930"/>
        <item x="651"/>
        <item x="812"/>
        <item x="813"/>
        <item x="629"/>
        <item x="625"/>
        <item x="627"/>
        <item x="58"/>
        <item x="59"/>
        <item x="926"/>
        <item x="618"/>
        <item x="1103"/>
        <item x="1104"/>
        <item x="1105"/>
        <item x="753"/>
        <item x="346"/>
        <item x="1034"/>
        <item x="69"/>
        <item x="663"/>
        <item x="292"/>
        <item x="850"/>
        <item x="962"/>
        <item x="601"/>
        <item x="223"/>
        <item x="22"/>
        <item x="21"/>
        <item x="20"/>
        <item x="633"/>
        <item x="612"/>
        <item x="32"/>
        <item x="885"/>
        <item x="280"/>
        <item x="1042"/>
        <item x="258"/>
        <item x="166"/>
        <item x="485"/>
        <item x="384"/>
        <item x="973"/>
        <item x="238"/>
        <item x="79"/>
        <item x="80"/>
        <item x="81"/>
        <item x="1026"/>
        <item x="100"/>
        <item x="326"/>
        <item x="882"/>
        <item x="181"/>
        <item x="294"/>
        <item x="577"/>
        <item x="471"/>
        <item x="469"/>
        <item x="884"/>
        <item x="74"/>
        <item x="486"/>
        <item x="580"/>
        <item x="71"/>
        <item x="853"/>
        <item x="854"/>
        <item x="852"/>
        <item x="855"/>
        <item x="308"/>
        <item x="623"/>
        <item x="532"/>
        <item x="806"/>
        <item x="931"/>
        <item x="248"/>
        <item x="1096"/>
        <item x="1094"/>
        <item x="1095"/>
        <item x="206"/>
        <item x="788"/>
        <item x="266"/>
        <item x="984"/>
        <item x="1140"/>
        <item x="33"/>
        <item x="304"/>
        <item x="347"/>
        <item x="501"/>
        <item x="102"/>
        <item x="26"/>
        <item x="24"/>
        <item x="472"/>
        <item x="462"/>
        <item x="1073"/>
        <item x="1072"/>
        <item x="597"/>
        <item x="461"/>
        <item x="463"/>
        <item x="451"/>
        <item x="1139"/>
        <item x="283"/>
        <item x="775"/>
        <item x="704"/>
        <item x="1153"/>
        <item x="149"/>
        <item x="148"/>
        <item x="567"/>
        <item x="900"/>
        <item x="982"/>
        <item x="548"/>
        <item x="1196"/>
        <item x="901"/>
        <item x="638"/>
        <item x="1007"/>
        <item x="991"/>
        <item x="388"/>
        <item x="499"/>
        <item x="583"/>
        <item x="875"/>
        <item x="756"/>
        <item x="1038"/>
        <item x="370"/>
        <item x="455"/>
        <item x="917"/>
        <item x="918"/>
        <item x="616"/>
        <item x="1014"/>
        <item x="669"/>
        <item x="35"/>
        <item x="37"/>
        <item x="1179"/>
        <item x="929"/>
        <item x="654"/>
        <item x="714"/>
        <item x="802"/>
        <item x="316"/>
        <item x="268"/>
        <item x="660"/>
        <item x="983"/>
        <item x="1138"/>
        <item x="682"/>
        <item x="681"/>
        <item x="1175"/>
        <item x="162"/>
        <item x="155"/>
        <item x="157"/>
        <item x="446"/>
        <item x="340"/>
        <item x="115"/>
        <item x="652"/>
        <item x="212"/>
        <item x="610"/>
        <item x="609"/>
        <item x="412"/>
        <item x="655"/>
        <item x="392"/>
        <item x="604"/>
        <item x="605"/>
        <item x="360"/>
        <item x="454"/>
        <item x="121"/>
        <item x="519"/>
        <item x="520"/>
        <item x="744"/>
        <item x="502"/>
        <item x="342"/>
        <item x="916"/>
        <item x="495"/>
        <item x="1130"/>
        <item x="353"/>
        <item x="270"/>
        <item x="432"/>
        <item x="683"/>
        <item x="333"/>
        <item x="1013"/>
        <item x="933"/>
        <item x="630"/>
        <item x="626"/>
        <item x="628"/>
        <item x="1025"/>
        <item x="1036"/>
        <item x="1021"/>
        <item x="287"/>
        <item x="1093"/>
        <item x="810"/>
        <item x="240"/>
        <item x="368"/>
        <item x="553"/>
        <item x="830"/>
        <item x="535"/>
        <item x="989"/>
        <item x="357"/>
        <item x="355"/>
        <item x="845"/>
        <item x="1178"/>
        <item x="106"/>
        <item x="252"/>
        <item x="104"/>
        <item x="277"/>
        <item x="825"/>
        <item x="296"/>
        <item x="1111"/>
        <item x="299"/>
        <item x="273"/>
        <item x="1084"/>
        <item x="608"/>
        <item x="1043"/>
        <item x="188"/>
        <item x="442"/>
        <item x="561"/>
        <item x="264"/>
        <item x="986"/>
        <item x="958"/>
        <item x="702"/>
        <item x="414"/>
        <item x="28"/>
        <item x="1075"/>
        <item x="803"/>
        <item x="445"/>
        <item x="1100"/>
        <item x="218"/>
        <item x="402"/>
        <item x="542"/>
        <item x="400"/>
        <item x="1088"/>
        <item x="822"/>
        <item x="1115"/>
        <item x="1114"/>
        <item x="1117"/>
        <item x="1116"/>
        <item x="9"/>
        <item x="975"/>
        <item x="295"/>
        <item x="490"/>
        <item x="489"/>
        <item x="488"/>
        <item x="159"/>
        <item x="158"/>
        <item x="262"/>
        <item x="922"/>
        <item x="1045"/>
        <item x="622"/>
        <item x="919"/>
        <item x="746"/>
        <item x="534"/>
        <item x="237"/>
        <item x="306"/>
        <item x="244"/>
        <item x="243"/>
        <item x="351"/>
        <item x="408"/>
        <item x="656"/>
        <item x="390"/>
        <item x="324"/>
        <item x="706"/>
        <item x="344"/>
        <item x="279"/>
        <item x="824"/>
        <item x="642"/>
        <item x="840"/>
        <item x="1124"/>
        <item x="343"/>
        <item x="801"/>
        <item x="1106"/>
        <item x="151"/>
        <item x="568"/>
        <item x="954"/>
        <item x="955"/>
        <item x="952"/>
        <item x="953"/>
        <item x="1099"/>
        <item x="1165"/>
        <item x="1166"/>
        <item x="1167"/>
        <item x="168"/>
        <item x="275"/>
        <item x="92"/>
        <item x="93"/>
        <item x="611"/>
        <item x="769"/>
        <item x="998"/>
        <item x="653"/>
        <item x="773"/>
        <item x="774"/>
        <item x="981"/>
        <item x="647"/>
        <item x="1194"/>
        <item x="1143"/>
        <item x="1145"/>
        <item x="1144"/>
        <item x="687"/>
        <item x="1134"/>
        <item x="1135"/>
        <item x="944"/>
        <item x="571"/>
        <item x="226"/>
        <item x="227"/>
        <item x="318"/>
        <item x="399"/>
        <item x="771"/>
        <item x="772"/>
        <item x="880"/>
        <item x="481"/>
        <item x="209"/>
        <item x="887"/>
        <item x="908"/>
        <item x="1018"/>
        <item x="556"/>
        <item x="1019"/>
        <item x="1020"/>
        <item x="634"/>
        <item x="403"/>
        <item x="314"/>
        <item x="851"/>
        <item x="437"/>
        <item x="691"/>
        <item x="886"/>
        <item x="923"/>
        <item x="943"/>
        <item x="479"/>
        <item x="650"/>
        <item x="730"/>
        <item x="932"/>
        <item x="207"/>
        <item x="309"/>
        <item x="837"/>
        <item x="297"/>
        <item x="836"/>
        <item x="970"/>
        <item x="250"/>
        <item x="873"/>
        <item x="635"/>
        <item x="255"/>
        <item x="1081"/>
        <item x="276"/>
        <item x="1070"/>
        <item x="1069"/>
        <item x="589"/>
        <item x="708"/>
        <item x="707"/>
        <item x="709"/>
        <item x="178"/>
        <item x="1152"/>
        <item x="1163"/>
        <item x="658"/>
        <item x="61"/>
        <item x="60"/>
        <item x="2"/>
        <item x="512"/>
        <item x="404"/>
        <item x="607"/>
        <item x="91"/>
        <item x="356"/>
        <item x="892"/>
        <item x="57"/>
        <item x="770"/>
        <item x="804"/>
        <item x="386"/>
        <item x="874"/>
        <item x="767"/>
        <item x="132"/>
        <item x="759"/>
        <item x="47"/>
        <item x="394"/>
        <item x="395"/>
        <item x="1200"/>
        <item x="447"/>
        <item x="10"/>
        <item x="585"/>
        <item x="619"/>
        <item x="1126"/>
        <item x="564"/>
        <item x="16"/>
        <item x="90"/>
        <item x="146"/>
        <item x="662"/>
        <item x="659"/>
        <item x="416"/>
        <item x="361"/>
        <item x="780"/>
        <item x="52"/>
        <item x="1146"/>
        <item x="927"/>
        <item x="345"/>
        <item x="906"/>
        <item x="905"/>
        <item x="256"/>
        <item x="1192"/>
        <item x="641"/>
        <item x="1001"/>
        <item x="247"/>
        <item x="507"/>
        <item x="508"/>
        <item x="509"/>
        <item x="1147"/>
        <item x="332"/>
        <item x="441"/>
        <item x="1079"/>
        <item x="229"/>
        <item x="865"/>
        <item x="963"/>
        <item x="684"/>
        <item x="1005"/>
        <item x="245"/>
        <item x="572"/>
        <item x="888"/>
        <item x="866"/>
        <item x="1063"/>
        <item x="1062"/>
        <item x="1065"/>
        <item x="1064"/>
        <item x="411"/>
        <item x="191"/>
        <item x="1071"/>
        <item x="637"/>
        <item x="776"/>
        <item x="977"/>
        <item x="328"/>
        <item x="695"/>
        <item x="693"/>
        <item x="53"/>
        <item x="764"/>
        <item x="868"/>
        <item x="867"/>
        <item x="869"/>
        <item t="default"/>
      </items>
    </pivotField>
    <pivotField showAll="0"/>
    <pivotField showAll="0"/>
    <pivotField showAll="0"/>
    <pivotField showAll="0"/>
    <pivotField showAll="0"/>
    <pivotField axis="axisRow" showAll="0">
      <items count="19">
        <item sd="0" x="3"/>
        <item sd="0" x="5"/>
        <item sd="0" x="16"/>
        <item sd="0" x="7"/>
        <item sd="0" x="10"/>
        <item sd="0" x="12"/>
        <item sd="0" x="1"/>
        <item sd="0" x="17"/>
        <item sd="0" x="15"/>
        <item sd="0" x="0"/>
        <item sd="0" x="8"/>
        <item sd="0" x="9"/>
        <item sd="0" x="4"/>
        <item sd="0" x="6"/>
        <item sd="0" x="13"/>
        <item sd="0" x="14"/>
        <item sd="0" x="11"/>
        <item sd="0" x="2"/>
        <item t="default" sd="0"/>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2">
    <field x="7"/>
    <field x="1"/>
  </rowFields>
  <rowItems count="19">
    <i>
      <x/>
    </i>
    <i>
      <x v="1"/>
    </i>
    <i>
      <x v="2"/>
    </i>
    <i>
      <x v="3"/>
    </i>
    <i>
      <x v="4"/>
    </i>
    <i>
      <x v="5"/>
    </i>
    <i>
      <x v="6"/>
    </i>
    <i>
      <x v="7"/>
    </i>
    <i>
      <x v="8"/>
    </i>
    <i>
      <x v="9"/>
    </i>
    <i>
      <x v="10"/>
    </i>
    <i>
      <x v="11"/>
    </i>
    <i>
      <x v="12"/>
    </i>
    <i>
      <x v="13"/>
    </i>
    <i>
      <x v="14"/>
    </i>
    <i>
      <x v="15"/>
    </i>
    <i>
      <x v="16"/>
    </i>
    <i>
      <x v="17"/>
    </i>
    <i t="grand">
      <x/>
    </i>
  </rowItems>
  <colItems count="1">
    <i/>
  </colItems>
  <dataFields count="1">
    <dataField name="Average Attack" fld="26" subtotal="average" baseField="7" baseItem="0" numFmtId="2"/>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 xr10:uid="{78D70A75-FDBB-41CE-AC92-B61E86510983}" sourceName="Type1">
  <pivotTables>
    <pivotTable tabId="4" name="PivotTable1"/>
  </pivotTables>
  <data>
    <tabular pivotCacheId="1461547025">
      <items count="18">
        <i x="3" s="1"/>
        <i x="5" s="1"/>
        <i x="16" s="1"/>
        <i x="7" s="1"/>
        <i x="10" s="1"/>
        <i x="12" s="1"/>
        <i x="1" s="1"/>
        <i x="17" s="1"/>
        <i x="15" s="1"/>
        <i x="0" s="1"/>
        <i x="8" s="1"/>
        <i x="9" s="1"/>
        <i x="4" s="1"/>
        <i x="6" s="1"/>
        <i x="13" s="1"/>
        <i x="14" s="1"/>
        <i x="1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eration1" xr10:uid="{5CED5FE7-EE51-4B52-813A-D513E0FF0D04}" sourceName="Generation">
  <pivotTables>
    <pivotTable tabId="4" name="PivotTable2"/>
  </pivotTables>
  <data>
    <tabular pivotCacheId="1461547025">
      <items count="9">
        <i x="0" s="1"/>
        <i x="4" s="1"/>
        <i x="5" s="1"/>
        <i x="6" s="1"/>
        <i x="7" s="1"/>
        <i x="8"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1" xr10:uid="{09F20DB6-860D-4AA4-9126-DB4452F9A033}" cache="Slicer_Type1" caption="Type1" rowHeight="241300"/>
  <slicer name="Generation 1" xr10:uid="{7FB55AC6-088F-4E80-A0AD-8E60586E5CFC}" cache="Slicer_Generation1" caption="Generation"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BB2B08-5ACB-44F1-8CAA-2CBE0729FD5D}" name="Table1" displayName="Table1" ref="A1:AL1204" totalsRowShown="0">
  <autoFilter ref="A1:AL1204" xr:uid="{BDBB2B08-5ACB-44F1-8CAA-2CBE0729FD5D}"/>
  <tableColumns count="38">
    <tableColumn id="1" xr3:uid="{CFCBA1A8-0F19-4333-BDFD-AEA0DE638AF6}" name="Original_Name"/>
    <tableColumn id="2" xr3:uid="{1670D330-1CCE-4BB3-AAD2-CA432B3CD5DB}" name="Name"/>
    <tableColumn id="3" xr3:uid="{96F4BC2D-25FC-4D52-B5FE-DBDD763B0816}" name="No" dataDxfId="1"/>
    <tableColumn id="4" xr3:uid="{AA0D1DB8-68AE-4074-86FB-48259CFE2101}" name="Branch_Code" dataDxfId="0"/>
    <tableColumn id="5" xr3:uid="{77B50136-731F-4343-80B2-7AA74D732F6E}" name="Generation"/>
    <tableColumn id="6" xr3:uid="{1EE195F2-2C98-4041-B240-1C309125AF19}" name="Height"/>
    <tableColumn id="7" xr3:uid="{99060392-0777-4677-AD40-F84D1E86AB3D}" name="Weight"/>
    <tableColumn id="8" xr3:uid="{EA1F2619-EEC7-410A-AC02-BB609E5DD497}" name="Type1"/>
    <tableColumn id="9" xr3:uid="{C333FA78-5AC1-409E-BB70-1357C77B062E}" name="Type2"/>
    <tableColumn id="10" xr3:uid="{081A705B-5CE8-43D2-A07F-1E4C7825503E}" name="Ability1"/>
    <tableColumn id="11" xr3:uid="{D3065802-20C2-4EE6-89ED-B5C0B2271310}" name="Ability2"/>
    <tableColumn id="12" xr3:uid="{E7FCA4C8-6677-4896-94CD-918B5C89F2BE}" name="Ability_Hidden"/>
    <tableColumn id="13" xr3:uid="{098D024F-DAF9-4FE8-8F5D-F91FEF8DD1C9}" name="Color"/>
    <tableColumn id="14" xr3:uid="{0CBA1C38-D338-4CB2-AB1B-244708C4E32E}" name="Gender_Male"/>
    <tableColumn id="15" xr3:uid="{7FB5D160-F720-43AF-B260-F45167583B0C}" name="Gender_Female"/>
    <tableColumn id="16" xr3:uid="{B108DB8A-B2DA-4223-88BE-E4389C9B4D59}" name="Gender_Unknown"/>
    <tableColumn id="17" xr3:uid="{C4786F63-B20D-4D7B-8768-56AB72F44CDE}" name="Egg_Steps"/>
    <tableColumn id="18" xr3:uid="{EE4FE8C3-4009-4EAA-88B1-0EDE8C313EF6}" name="Egg_Group1"/>
    <tableColumn id="19" xr3:uid="{8193388E-EE2C-42B2-A333-04B4D113C6B4}" name="Egg_Group2"/>
    <tableColumn id="20" xr3:uid="{B9702035-83AC-47A6-BFC1-76D2D461758E}" name="Get_Rate"/>
    <tableColumn id="21" xr3:uid="{EF6C0FD7-C24B-43FA-B02D-1ABCB991F153}" name="Base_Experience"/>
    <tableColumn id="22" xr3:uid="{EED6403D-CA5F-444A-9EFE-BA3C927E608F}" name="Experience_Type"/>
    <tableColumn id="23" xr3:uid="{F9515D10-D839-4DE9-A5DA-C7A29DD1817F}" name="Category"/>
    <tableColumn id="24" xr3:uid="{8914D4C6-D6A5-4869-8299-2FA3957395CC}" name="Mega_Evolution_Flag"/>
    <tableColumn id="25" xr3:uid="{7E469677-F8AA-49CC-968A-4249E0024549}" name="Region_Form"/>
    <tableColumn id="26" xr3:uid="{75E213CD-97F2-4158-A473-B0A48C4244EB}" name="HP"/>
    <tableColumn id="27" xr3:uid="{80EDA7AF-DAE8-481B-83CB-5FDD0DCD6179}" name="Attack"/>
    <tableColumn id="28" xr3:uid="{8FF7F6C8-2640-49C3-85A3-7DC2FF816474}" name="Defense"/>
    <tableColumn id="29" xr3:uid="{383F500C-CB76-4797-82F6-2D769410564E}" name="SP_Attack"/>
    <tableColumn id="30" xr3:uid="{E389878A-B797-43E0-B661-F1B6A1CFB744}" name="SP_Defense"/>
    <tableColumn id="31" xr3:uid="{C8A165B2-4F11-4F02-95CC-47BBB77D769C}" name="Speed"/>
    <tableColumn id="32" xr3:uid="{296521F6-9807-4967-A1E6-150F72F91228}" name="Total"/>
    <tableColumn id="33" xr3:uid="{968AFF1C-E5B4-462E-B8E6-481B3BE354CF}" name="E_HP"/>
    <tableColumn id="34" xr3:uid="{A58E9B97-ACE4-4B9D-BBB4-BE1E4FE20134}" name="E_Attack"/>
    <tableColumn id="35" xr3:uid="{E309A3E6-C04A-4BA5-8EC4-ED14E9B7E3EE}" name="E_Defense"/>
    <tableColumn id="36" xr3:uid="{B5C22228-317D-4E85-876D-421ADA0E40CC}" name="E_SP_Attack"/>
    <tableColumn id="37" xr3:uid="{6F219887-AB58-47BA-B0DF-C5660DC5D000}" name="E_SP_Defense"/>
    <tableColumn id="38" xr3:uid="{06165CB3-78EC-42AC-B5B7-2E826B65D225}" name="E_Speed"/>
  </tableColumns>
  <tableStyleInfo name="TableStyleLight1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1133A76-111E-4536-BCE6-B27B3BC27E50}" name="Table2" displayName="Table2" ref="A1:G1206" totalsRowShown="0">
  <autoFilter ref="A1:G1206" xr:uid="{41133A76-111E-4536-BCE6-B27B3BC27E50}"/>
  <tableColumns count="7">
    <tableColumn id="1" xr3:uid="{12FF2B07-6C9F-452B-B4D4-A9F8625689B1}" name="Name"/>
    <tableColumn id="2" xr3:uid="{3BBC3CD0-415C-43DF-8A00-1904E7E4FC02}" name="Branch_Code"/>
    <tableColumn id="3" xr3:uid="{2C555DD3-A0F8-4555-9591-404E8C74298B}" name="Type1"/>
    <tableColumn id="4" xr3:uid="{A7B378F2-0175-47F0-908E-FD4B0B93B2F7}" name="Type2"/>
    <tableColumn id="5" xr3:uid="{2B101E2B-422E-46F9-A93D-384FE03CF2F4}" name="HP"/>
    <tableColumn id="6" xr3:uid="{7D40C15C-8600-4471-984E-5CD012CC0A2A}" name="Attack"/>
    <tableColumn id="7" xr3:uid="{DA7BA913-BABA-442A-B30B-9613EBEA0965}" name="Defense"/>
  </tableColumns>
  <tableStyleInfo name="TableStyleLight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E3F669E-C3D9-401C-9CFC-E2C4E605AEE2}" name="Table24" displayName="Table24" ref="A1:K1205" totalsRowShown="0">
  <autoFilter ref="A1:K1205" xr:uid="{4E3F669E-C3D9-401C-9CFC-E2C4E605AEE2}"/>
  <tableColumns count="11">
    <tableColumn id="1" xr3:uid="{EB30942E-763F-4AB4-8F6C-A12467A46E47}" name="Name"/>
    <tableColumn id="2" xr3:uid="{ECF3FA39-ACD2-4B2E-A003-9A9F35E42144}" name="Branch_Code"/>
    <tableColumn id="3" xr3:uid="{9852C363-52C2-4245-A9F1-D9F4E9FAFF1A}" name="Type1"/>
    <tableColumn id="4" xr3:uid="{6D5A4CFB-D082-4B34-A803-C5D3C0B59599}" name="Type2"/>
    <tableColumn id="5" xr3:uid="{8F934631-F3A4-44EF-8FD9-3ADFC7819494}" name="HP"/>
    <tableColumn id="6" xr3:uid="{0F0DA77C-317A-46F0-BB61-40C75FBE697F}" name="Attack"/>
    <tableColumn id="7" xr3:uid="{ECFBFD8A-7812-4C04-B985-D383620C48BC}" name="Defense"/>
    <tableColumn id="8" xr3:uid="{E46E0B71-F79B-40A8-87DD-90A9DBDEE816}" name="SP_Attack"/>
    <tableColumn id="9" xr3:uid="{FB5D057E-7C07-45C9-9251-3A169E30FBDC}" name="SP_Defense"/>
    <tableColumn id="10" xr3:uid="{FFAB96BC-5D76-4F4F-83E1-F368E2CCE0C8}" name="Speed"/>
    <tableColumn id="11" xr3:uid="{88878405-AE18-40C9-9F63-D1BBAB2F9DD8}" name="Total"/>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L1204"/>
  <sheetViews>
    <sheetView tabSelected="1" topLeftCell="A22" zoomScale="82" zoomScaleNormal="82" workbookViewId="0">
      <selection activeCell="H75" sqref="H75"/>
    </sheetView>
  </sheetViews>
  <sheetFormatPr defaultRowHeight="15" x14ac:dyDescent="0.25"/>
  <cols>
    <col min="1" max="1" width="15.7109375" customWidth="1"/>
    <col min="2" max="2" width="9" customWidth="1"/>
    <col min="3" max="3" width="8.7109375" customWidth="1"/>
    <col min="4" max="4" width="14.28515625" customWidth="1"/>
    <col min="5" max="5" width="12.7109375" customWidth="1"/>
    <col min="7" max="7" width="9.28515625" customWidth="1"/>
    <col min="8" max="8" width="9" customWidth="1"/>
    <col min="10" max="11" width="9.42578125" customWidth="1"/>
    <col min="12" max="12" width="15.28515625" customWidth="1"/>
    <col min="14" max="14" width="14.7109375" customWidth="1"/>
    <col min="15" max="15" width="16.5703125" customWidth="1"/>
    <col min="16" max="16" width="18.28515625" customWidth="1"/>
    <col min="17" max="17" width="11.7109375" customWidth="1"/>
    <col min="18" max="19" width="13.5703125" customWidth="1"/>
    <col min="20" max="20" width="11.28515625" customWidth="1"/>
    <col min="21" max="22" width="17.42578125" customWidth="1"/>
    <col min="23" max="23" width="10.7109375" customWidth="1"/>
    <col min="24" max="24" width="21.28515625" customWidth="1"/>
    <col min="25" max="25" width="14.28515625" customWidth="1"/>
    <col min="28" max="28" width="10" customWidth="1"/>
    <col min="29" max="29" width="11.5703125" customWidth="1"/>
    <col min="30" max="30" width="13" customWidth="1"/>
    <col min="34" max="34" width="10.7109375" customWidth="1"/>
    <col min="35" max="35" width="12" customWidth="1"/>
    <col min="36" max="36" width="13.7109375" customWidth="1"/>
    <col min="37" max="37" width="15" customWidth="1"/>
    <col min="38" max="38" width="10.28515625" customWidth="1"/>
  </cols>
  <sheetData>
    <row r="1" spans="1:38" x14ac:dyDescent="0.25">
      <c r="A1" t="s">
        <v>2</v>
      </c>
      <c r="B1" t="s">
        <v>3</v>
      </c>
      <c r="C1" s="1" t="s">
        <v>0</v>
      </c>
      <c r="D1" s="1" t="s">
        <v>1</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row>
    <row r="2" spans="1:38" x14ac:dyDescent="0.25">
      <c r="A2" t="s">
        <v>39</v>
      </c>
      <c r="B2" t="s">
        <v>39</v>
      </c>
      <c r="C2" s="1">
        <v>1</v>
      </c>
      <c r="D2" s="1" t="s">
        <v>38</v>
      </c>
      <c r="E2">
        <v>1</v>
      </c>
      <c r="F2">
        <v>0.7</v>
      </c>
      <c r="G2">
        <v>6.9</v>
      </c>
      <c r="H2" t="s">
        <v>40</v>
      </c>
      <c r="I2" t="s">
        <v>41</v>
      </c>
      <c r="J2" t="s">
        <v>42</v>
      </c>
      <c r="L2" t="s">
        <v>43</v>
      </c>
      <c r="M2" t="s">
        <v>44</v>
      </c>
      <c r="N2">
        <v>87.5</v>
      </c>
      <c r="O2">
        <v>12.5</v>
      </c>
      <c r="P2">
        <v>0</v>
      </c>
      <c r="Q2">
        <v>20</v>
      </c>
      <c r="R2" t="s">
        <v>45</v>
      </c>
      <c r="S2" t="s">
        <v>40</v>
      </c>
      <c r="T2">
        <v>45</v>
      </c>
      <c r="U2">
        <v>64</v>
      </c>
      <c r="V2">
        <v>1059860</v>
      </c>
      <c r="W2" t="s">
        <v>46</v>
      </c>
      <c r="Z2">
        <v>45</v>
      </c>
      <c r="AA2">
        <v>49</v>
      </c>
      <c r="AB2">
        <v>49</v>
      </c>
      <c r="AC2">
        <v>65</v>
      </c>
      <c r="AD2">
        <v>65</v>
      </c>
      <c r="AE2">
        <v>45</v>
      </c>
      <c r="AF2">
        <v>318</v>
      </c>
      <c r="AG2">
        <v>0</v>
      </c>
      <c r="AH2">
        <v>0</v>
      </c>
      <c r="AI2">
        <v>0</v>
      </c>
      <c r="AJ2">
        <v>1</v>
      </c>
      <c r="AK2">
        <v>0</v>
      </c>
      <c r="AL2">
        <v>0</v>
      </c>
    </row>
    <row r="3" spans="1:38" x14ac:dyDescent="0.25">
      <c r="A3" t="s">
        <v>48</v>
      </c>
      <c r="B3" t="s">
        <v>48</v>
      </c>
      <c r="C3" s="1">
        <v>2</v>
      </c>
      <c r="D3" s="1" t="s">
        <v>47</v>
      </c>
      <c r="E3">
        <v>1</v>
      </c>
      <c r="F3">
        <v>1</v>
      </c>
      <c r="G3">
        <v>13</v>
      </c>
      <c r="H3" t="s">
        <v>40</v>
      </c>
      <c r="I3" t="s">
        <v>41</v>
      </c>
      <c r="J3" t="s">
        <v>42</v>
      </c>
      <c r="L3" t="s">
        <v>43</v>
      </c>
      <c r="M3" t="s">
        <v>44</v>
      </c>
      <c r="N3">
        <v>87.5</v>
      </c>
      <c r="O3">
        <v>12.5</v>
      </c>
      <c r="P3">
        <v>0</v>
      </c>
      <c r="Q3">
        <v>20</v>
      </c>
      <c r="R3" t="s">
        <v>45</v>
      </c>
      <c r="S3" t="s">
        <v>40</v>
      </c>
      <c r="T3">
        <v>45</v>
      </c>
      <c r="U3">
        <v>142</v>
      </c>
      <c r="V3">
        <v>1059860</v>
      </c>
      <c r="W3" t="s">
        <v>46</v>
      </c>
      <c r="Z3">
        <v>60</v>
      </c>
      <c r="AA3">
        <v>62</v>
      </c>
      <c r="AB3">
        <v>63</v>
      </c>
      <c r="AC3">
        <v>80</v>
      </c>
      <c r="AD3">
        <v>80</v>
      </c>
      <c r="AE3">
        <v>60</v>
      </c>
      <c r="AF3">
        <v>405</v>
      </c>
      <c r="AG3">
        <v>0</v>
      </c>
      <c r="AH3">
        <v>0</v>
      </c>
      <c r="AI3">
        <v>0</v>
      </c>
      <c r="AJ3">
        <v>1</v>
      </c>
      <c r="AK3">
        <v>1</v>
      </c>
      <c r="AL3">
        <v>0</v>
      </c>
    </row>
    <row r="4" spans="1:38" x14ac:dyDescent="0.25">
      <c r="A4" t="s">
        <v>50</v>
      </c>
      <c r="B4" t="s">
        <v>50</v>
      </c>
      <c r="C4" s="1">
        <v>3</v>
      </c>
      <c r="D4" s="1" t="s">
        <v>49</v>
      </c>
      <c r="E4">
        <v>1</v>
      </c>
      <c r="F4">
        <v>2</v>
      </c>
      <c r="G4">
        <v>100</v>
      </c>
      <c r="H4" t="s">
        <v>40</v>
      </c>
      <c r="I4" t="s">
        <v>41</v>
      </c>
      <c r="J4" t="s">
        <v>42</v>
      </c>
      <c r="L4" t="s">
        <v>43</v>
      </c>
      <c r="M4" t="s">
        <v>44</v>
      </c>
      <c r="N4">
        <v>87.5</v>
      </c>
      <c r="O4">
        <v>12.5</v>
      </c>
      <c r="P4">
        <v>0</v>
      </c>
      <c r="Q4">
        <v>20</v>
      </c>
      <c r="R4" t="s">
        <v>45</v>
      </c>
      <c r="S4" t="s">
        <v>40</v>
      </c>
      <c r="T4">
        <v>45</v>
      </c>
      <c r="U4">
        <v>263</v>
      </c>
      <c r="V4">
        <v>1059860</v>
      </c>
      <c r="W4" t="s">
        <v>46</v>
      </c>
      <c r="Z4">
        <v>80</v>
      </c>
      <c r="AA4">
        <v>82</v>
      </c>
      <c r="AB4">
        <v>83</v>
      </c>
      <c r="AC4">
        <v>100</v>
      </c>
      <c r="AD4">
        <v>100</v>
      </c>
      <c r="AE4">
        <v>80</v>
      </c>
      <c r="AF4">
        <v>525</v>
      </c>
      <c r="AG4">
        <v>0</v>
      </c>
      <c r="AH4">
        <v>0</v>
      </c>
      <c r="AI4">
        <v>0</v>
      </c>
      <c r="AJ4">
        <v>2</v>
      </c>
      <c r="AK4">
        <v>1</v>
      </c>
      <c r="AL4">
        <v>0</v>
      </c>
    </row>
    <row r="5" spans="1:38" x14ac:dyDescent="0.25">
      <c r="A5" t="s">
        <v>50</v>
      </c>
      <c r="B5" t="s">
        <v>52</v>
      </c>
      <c r="C5" s="1">
        <v>3</v>
      </c>
      <c r="D5" s="1" t="s">
        <v>51</v>
      </c>
      <c r="E5">
        <v>1</v>
      </c>
      <c r="F5">
        <v>2.4</v>
      </c>
      <c r="G5">
        <v>155.5</v>
      </c>
      <c r="H5" t="s">
        <v>40</v>
      </c>
      <c r="I5" t="s">
        <v>41</v>
      </c>
      <c r="J5" t="s">
        <v>53</v>
      </c>
      <c r="M5" t="s">
        <v>44</v>
      </c>
      <c r="N5">
        <v>87.5</v>
      </c>
      <c r="O5">
        <v>12.5</v>
      </c>
      <c r="P5">
        <v>0</v>
      </c>
      <c r="Q5">
        <v>20</v>
      </c>
      <c r="R5" t="s">
        <v>45</v>
      </c>
      <c r="S5" t="s">
        <v>40</v>
      </c>
      <c r="T5">
        <v>45</v>
      </c>
      <c r="U5">
        <v>281</v>
      </c>
      <c r="V5">
        <v>1059860</v>
      </c>
      <c r="W5" t="s">
        <v>46</v>
      </c>
      <c r="X5" t="s">
        <v>54</v>
      </c>
      <c r="Z5">
        <v>80</v>
      </c>
      <c r="AA5">
        <v>100</v>
      </c>
      <c r="AB5">
        <v>123</v>
      </c>
      <c r="AC5">
        <v>122</v>
      </c>
      <c r="AD5">
        <v>120</v>
      </c>
      <c r="AE5">
        <v>80</v>
      </c>
      <c r="AF5">
        <v>625</v>
      </c>
      <c r="AG5">
        <v>0</v>
      </c>
      <c r="AH5">
        <v>0</v>
      </c>
      <c r="AI5">
        <v>0</v>
      </c>
      <c r="AJ5">
        <v>2</v>
      </c>
      <c r="AK5">
        <v>1</v>
      </c>
      <c r="AL5">
        <v>0</v>
      </c>
    </row>
    <row r="6" spans="1:38" x14ac:dyDescent="0.25">
      <c r="A6" t="s">
        <v>56</v>
      </c>
      <c r="B6" t="s">
        <v>56</v>
      </c>
      <c r="C6" s="1">
        <v>4</v>
      </c>
      <c r="D6" s="1" t="s">
        <v>55</v>
      </c>
      <c r="E6">
        <v>1</v>
      </c>
      <c r="F6">
        <v>0.6</v>
      </c>
      <c r="G6">
        <v>8.5</v>
      </c>
      <c r="H6" t="s">
        <v>57</v>
      </c>
      <c r="J6" t="s">
        <v>58</v>
      </c>
      <c r="L6" t="s">
        <v>59</v>
      </c>
      <c r="M6" t="s">
        <v>60</v>
      </c>
      <c r="N6">
        <v>87.5</v>
      </c>
      <c r="O6">
        <v>12.5</v>
      </c>
      <c r="P6">
        <v>0</v>
      </c>
      <c r="Q6">
        <v>20</v>
      </c>
      <c r="R6" t="s">
        <v>45</v>
      </c>
      <c r="S6" t="s">
        <v>61</v>
      </c>
      <c r="T6">
        <v>45</v>
      </c>
      <c r="U6">
        <v>62</v>
      </c>
      <c r="V6">
        <v>1059860</v>
      </c>
      <c r="W6" t="s">
        <v>46</v>
      </c>
      <c r="Z6">
        <v>39</v>
      </c>
      <c r="AA6">
        <v>52</v>
      </c>
      <c r="AB6">
        <v>43</v>
      </c>
      <c r="AC6">
        <v>60</v>
      </c>
      <c r="AD6">
        <v>50</v>
      </c>
      <c r="AE6">
        <v>65</v>
      </c>
      <c r="AF6">
        <v>309</v>
      </c>
      <c r="AG6">
        <v>0</v>
      </c>
      <c r="AH6">
        <v>0</v>
      </c>
      <c r="AI6">
        <v>0</v>
      </c>
      <c r="AJ6">
        <v>0</v>
      </c>
      <c r="AK6">
        <v>0</v>
      </c>
      <c r="AL6">
        <v>1</v>
      </c>
    </row>
    <row r="7" spans="1:38" x14ac:dyDescent="0.25">
      <c r="A7" t="s">
        <v>63</v>
      </c>
      <c r="B7" t="s">
        <v>63</v>
      </c>
      <c r="C7" s="1">
        <v>5</v>
      </c>
      <c r="D7" s="1" t="s">
        <v>62</v>
      </c>
      <c r="E7">
        <v>1</v>
      </c>
      <c r="F7">
        <v>1.1000000000000001</v>
      </c>
      <c r="G7">
        <v>19</v>
      </c>
      <c r="H7" t="s">
        <v>57</v>
      </c>
      <c r="J7" t="s">
        <v>58</v>
      </c>
      <c r="L7" t="s">
        <v>59</v>
      </c>
      <c r="M7" t="s">
        <v>60</v>
      </c>
      <c r="N7">
        <v>87.5</v>
      </c>
      <c r="O7">
        <v>12.5</v>
      </c>
      <c r="P7">
        <v>0</v>
      </c>
      <c r="Q7">
        <v>20</v>
      </c>
      <c r="R7" t="s">
        <v>45</v>
      </c>
      <c r="S7" t="s">
        <v>61</v>
      </c>
      <c r="T7">
        <v>45</v>
      </c>
      <c r="U7">
        <v>142</v>
      </c>
      <c r="V7">
        <v>1059860</v>
      </c>
      <c r="W7" t="s">
        <v>46</v>
      </c>
      <c r="Z7">
        <v>58</v>
      </c>
      <c r="AA7">
        <v>64</v>
      </c>
      <c r="AB7">
        <v>58</v>
      </c>
      <c r="AC7">
        <v>80</v>
      </c>
      <c r="AD7">
        <v>65</v>
      </c>
      <c r="AE7">
        <v>80</v>
      </c>
      <c r="AF7">
        <v>405</v>
      </c>
      <c r="AG7">
        <v>0</v>
      </c>
      <c r="AH7">
        <v>0</v>
      </c>
      <c r="AI7">
        <v>0</v>
      </c>
      <c r="AJ7">
        <v>1</v>
      </c>
      <c r="AK7">
        <v>0</v>
      </c>
      <c r="AL7">
        <v>1</v>
      </c>
    </row>
    <row r="8" spans="1:38" x14ac:dyDescent="0.25">
      <c r="A8" t="s">
        <v>65</v>
      </c>
      <c r="B8" t="s">
        <v>65</v>
      </c>
      <c r="C8" s="1">
        <v>6</v>
      </c>
      <c r="D8" s="1" t="s">
        <v>64</v>
      </c>
      <c r="E8">
        <v>1</v>
      </c>
      <c r="F8">
        <v>1.7</v>
      </c>
      <c r="G8">
        <v>90.5</v>
      </c>
      <c r="H8" t="s">
        <v>57</v>
      </c>
      <c r="I8" t="s">
        <v>66</v>
      </c>
      <c r="J8" t="s">
        <v>58</v>
      </c>
      <c r="L8" t="s">
        <v>59</v>
      </c>
      <c r="M8" t="s">
        <v>60</v>
      </c>
      <c r="N8">
        <v>87.5</v>
      </c>
      <c r="O8">
        <v>12.5</v>
      </c>
      <c r="P8">
        <v>0</v>
      </c>
      <c r="Q8">
        <v>20</v>
      </c>
      <c r="R8" t="s">
        <v>45</v>
      </c>
      <c r="S8" t="s">
        <v>61</v>
      </c>
      <c r="T8">
        <v>45</v>
      </c>
      <c r="U8">
        <v>267</v>
      </c>
      <c r="V8">
        <v>1059860</v>
      </c>
      <c r="W8" t="s">
        <v>46</v>
      </c>
      <c r="Z8">
        <v>78</v>
      </c>
      <c r="AA8">
        <v>84</v>
      </c>
      <c r="AB8">
        <v>78</v>
      </c>
      <c r="AC8">
        <v>109</v>
      </c>
      <c r="AD8">
        <v>85</v>
      </c>
      <c r="AE8">
        <v>100</v>
      </c>
      <c r="AF8">
        <v>534</v>
      </c>
      <c r="AG8">
        <v>0</v>
      </c>
      <c r="AH8">
        <v>0</v>
      </c>
      <c r="AI8">
        <v>0</v>
      </c>
      <c r="AJ8">
        <v>3</v>
      </c>
      <c r="AK8">
        <v>0</v>
      </c>
      <c r="AL8">
        <v>0</v>
      </c>
    </row>
    <row r="9" spans="1:38" x14ac:dyDescent="0.25">
      <c r="A9" t="s">
        <v>65</v>
      </c>
      <c r="B9" t="s">
        <v>68</v>
      </c>
      <c r="C9" s="1">
        <v>6</v>
      </c>
      <c r="D9" s="1" t="s">
        <v>67</v>
      </c>
      <c r="E9">
        <v>1</v>
      </c>
      <c r="F9">
        <v>1.7</v>
      </c>
      <c r="G9">
        <v>110.5</v>
      </c>
      <c r="H9" t="s">
        <v>57</v>
      </c>
      <c r="I9" t="s">
        <v>61</v>
      </c>
      <c r="J9" t="s">
        <v>69</v>
      </c>
      <c r="M9" t="s">
        <v>70</v>
      </c>
      <c r="N9">
        <v>87.5</v>
      </c>
      <c r="O9">
        <v>12.5</v>
      </c>
      <c r="P9">
        <v>0</v>
      </c>
      <c r="Q9">
        <v>20</v>
      </c>
      <c r="R9" t="s">
        <v>45</v>
      </c>
      <c r="S9" t="s">
        <v>61</v>
      </c>
      <c r="T9">
        <v>45</v>
      </c>
      <c r="U9">
        <v>285</v>
      </c>
      <c r="V9">
        <v>1059860</v>
      </c>
      <c r="W9" t="s">
        <v>46</v>
      </c>
      <c r="X9" t="s">
        <v>54</v>
      </c>
      <c r="Z9">
        <v>78</v>
      </c>
      <c r="AA9">
        <v>130</v>
      </c>
      <c r="AB9">
        <v>111</v>
      </c>
      <c r="AC9">
        <v>130</v>
      </c>
      <c r="AD9">
        <v>85</v>
      </c>
      <c r="AE9">
        <v>100</v>
      </c>
      <c r="AF9">
        <v>634</v>
      </c>
      <c r="AG9">
        <v>0</v>
      </c>
      <c r="AH9">
        <v>0</v>
      </c>
      <c r="AI9">
        <v>0</v>
      </c>
      <c r="AJ9">
        <v>3</v>
      </c>
      <c r="AK9">
        <v>0</v>
      </c>
      <c r="AL9">
        <v>0</v>
      </c>
    </row>
    <row r="10" spans="1:38" x14ac:dyDescent="0.25">
      <c r="A10" t="s">
        <v>65</v>
      </c>
      <c r="B10" t="s">
        <v>72</v>
      </c>
      <c r="C10" s="1">
        <v>6</v>
      </c>
      <c r="D10" s="1" t="s">
        <v>71</v>
      </c>
      <c r="E10">
        <v>1</v>
      </c>
      <c r="F10">
        <v>1.7</v>
      </c>
      <c r="G10">
        <v>100.5</v>
      </c>
      <c r="H10" t="s">
        <v>57</v>
      </c>
      <c r="I10" t="s">
        <v>66</v>
      </c>
      <c r="J10" t="s">
        <v>73</v>
      </c>
      <c r="M10" t="s">
        <v>60</v>
      </c>
      <c r="N10">
        <v>87.5</v>
      </c>
      <c r="O10">
        <v>12.5</v>
      </c>
      <c r="P10">
        <v>0</v>
      </c>
      <c r="Q10">
        <v>20</v>
      </c>
      <c r="R10" t="s">
        <v>45</v>
      </c>
      <c r="S10" t="s">
        <v>61</v>
      </c>
      <c r="T10">
        <v>45</v>
      </c>
      <c r="U10">
        <v>285</v>
      </c>
      <c r="V10">
        <v>1059860</v>
      </c>
      <c r="W10" t="s">
        <v>46</v>
      </c>
      <c r="X10" t="s">
        <v>54</v>
      </c>
      <c r="Z10">
        <v>78</v>
      </c>
      <c r="AA10">
        <v>104</v>
      </c>
      <c r="AB10">
        <v>78</v>
      </c>
      <c r="AC10">
        <v>159</v>
      </c>
      <c r="AD10">
        <v>115</v>
      </c>
      <c r="AE10">
        <v>100</v>
      </c>
      <c r="AF10">
        <v>634</v>
      </c>
      <c r="AG10">
        <v>0</v>
      </c>
      <c r="AH10">
        <v>0</v>
      </c>
      <c r="AI10">
        <v>0</v>
      </c>
      <c r="AJ10">
        <v>3</v>
      </c>
      <c r="AK10">
        <v>0</v>
      </c>
      <c r="AL10">
        <v>0</v>
      </c>
    </row>
    <row r="11" spans="1:38" x14ac:dyDescent="0.25">
      <c r="A11" t="s">
        <v>75</v>
      </c>
      <c r="B11" t="s">
        <v>75</v>
      </c>
      <c r="C11" s="1">
        <v>7</v>
      </c>
      <c r="D11" s="1" t="s">
        <v>74</v>
      </c>
      <c r="E11">
        <v>1</v>
      </c>
      <c r="F11">
        <v>0.5</v>
      </c>
      <c r="G11">
        <v>9</v>
      </c>
      <c r="H11" t="s">
        <v>76</v>
      </c>
      <c r="J11" t="s">
        <v>77</v>
      </c>
      <c r="L11" t="s">
        <v>78</v>
      </c>
      <c r="M11" t="s">
        <v>79</v>
      </c>
      <c r="N11">
        <v>87.5</v>
      </c>
      <c r="O11">
        <v>12.5</v>
      </c>
      <c r="P11">
        <v>0</v>
      </c>
      <c r="Q11">
        <v>20</v>
      </c>
      <c r="R11" t="s">
        <v>45</v>
      </c>
      <c r="S11" t="s">
        <v>80</v>
      </c>
      <c r="T11">
        <v>45</v>
      </c>
      <c r="U11">
        <v>63</v>
      </c>
      <c r="V11">
        <v>1059860</v>
      </c>
      <c r="W11" t="s">
        <v>46</v>
      </c>
      <c r="Z11">
        <v>44</v>
      </c>
      <c r="AA11">
        <v>48</v>
      </c>
      <c r="AB11">
        <v>65</v>
      </c>
      <c r="AC11">
        <v>50</v>
      </c>
      <c r="AD11">
        <v>64</v>
      </c>
      <c r="AE11">
        <v>43</v>
      </c>
      <c r="AF11">
        <v>314</v>
      </c>
      <c r="AG11">
        <v>0</v>
      </c>
      <c r="AH11">
        <v>0</v>
      </c>
      <c r="AI11">
        <v>1</v>
      </c>
      <c r="AJ11">
        <v>0</v>
      </c>
      <c r="AK11">
        <v>0</v>
      </c>
      <c r="AL11">
        <v>0</v>
      </c>
    </row>
    <row r="12" spans="1:38" x14ac:dyDescent="0.25">
      <c r="A12" t="s">
        <v>82</v>
      </c>
      <c r="B12" t="s">
        <v>82</v>
      </c>
      <c r="C12" s="1">
        <v>8</v>
      </c>
      <c r="D12" s="1" t="s">
        <v>81</v>
      </c>
      <c r="E12">
        <v>1</v>
      </c>
      <c r="F12">
        <v>1</v>
      </c>
      <c r="G12">
        <v>22.5</v>
      </c>
      <c r="H12" t="s">
        <v>76</v>
      </c>
      <c r="J12" t="s">
        <v>77</v>
      </c>
      <c r="L12" t="s">
        <v>78</v>
      </c>
      <c r="M12" t="s">
        <v>79</v>
      </c>
      <c r="N12">
        <v>87.5</v>
      </c>
      <c r="O12">
        <v>12.5</v>
      </c>
      <c r="P12">
        <v>0</v>
      </c>
      <c r="Q12">
        <v>20</v>
      </c>
      <c r="R12" t="s">
        <v>45</v>
      </c>
      <c r="S12" t="s">
        <v>80</v>
      </c>
      <c r="T12">
        <v>45</v>
      </c>
      <c r="U12">
        <v>142</v>
      </c>
      <c r="V12">
        <v>1059860</v>
      </c>
      <c r="W12" t="s">
        <v>46</v>
      </c>
      <c r="Z12">
        <v>59</v>
      </c>
      <c r="AA12">
        <v>63</v>
      </c>
      <c r="AB12">
        <v>80</v>
      </c>
      <c r="AC12">
        <v>65</v>
      </c>
      <c r="AD12">
        <v>80</v>
      </c>
      <c r="AE12">
        <v>58</v>
      </c>
      <c r="AF12">
        <v>405</v>
      </c>
      <c r="AG12">
        <v>0</v>
      </c>
      <c r="AH12">
        <v>0</v>
      </c>
      <c r="AI12">
        <v>1</v>
      </c>
      <c r="AJ12">
        <v>0</v>
      </c>
      <c r="AK12">
        <v>1</v>
      </c>
      <c r="AL12">
        <v>0</v>
      </c>
    </row>
    <row r="13" spans="1:38" x14ac:dyDescent="0.25">
      <c r="A13" t="s">
        <v>84</v>
      </c>
      <c r="B13" t="s">
        <v>84</v>
      </c>
      <c r="C13" s="1">
        <v>9</v>
      </c>
      <c r="D13" s="1" t="s">
        <v>83</v>
      </c>
      <c r="E13">
        <v>1</v>
      </c>
      <c r="F13">
        <v>1.6</v>
      </c>
      <c r="G13">
        <v>85.5</v>
      </c>
      <c r="H13" t="s">
        <v>76</v>
      </c>
      <c r="J13" t="s">
        <v>77</v>
      </c>
      <c r="L13" t="s">
        <v>78</v>
      </c>
      <c r="M13" t="s">
        <v>79</v>
      </c>
      <c r="N13">
        <v>87.5</v>
      </c>
      <c r="O13">
        <v>12.5</v>
      </c>
      <c r="P13">
        <v>0</v>
      </c>
      <c r="Q13">
        <v>20</v>
      </c>
      <c r="R13" t="s">
        <v>45</v>
      </c>
      <c r="S13" t="s">
        <v>80</v>
      </c>
      <c r="T13">
        <v>45</v>
      </c>
      <c r="U13">
        <v>265</v>
      </c>
      <c r="V13">
        <v>1059860</v>
      </c>
      <c r="W13" t="s">
        <v>46</v>
      </c>
      <c r="Z13">
        <v>79</v>
      </c>
      <c r="AA13">
        <v>83</v>
      </c>
      <c r="AB13">
        <v>100</v>
      </c>
      <c r="AC13">
        <v>85</v>
      </c>
      <c r="AD13">
        <v>105</v>
      </c>
      <c r="AE13">
        <v>78</v>
      </c>
      <c r="AF13">
        <v>530</v>
      </c>
      <c r="AG13">
        <v>0</v>
      </c>
      <c r="AH13">
        <v>0</v>
      </c>
      <c r="AI13">
        <v>0</v>
      </c>
      <c r="AJ13">
        <v>0</v>
      </c>
      <c r="AK13">
        <v>3</v>
      </c>
      <c r="AL13">
        <v>0</v>
      </c>
    </row>
    <row r="14" spans="1:38" x14ac:dyDescent="0.25">
      <c r="A14" t="s">
        <v>84</v>
      </c>
      <c r="B14" t="s">
        <v>86</v>
      </c>
      <c r="C14" s="1">
        <v>9</v>
      </c>
      <c r="D14" s="1" t="s">
        <v>85</v>
      </c>
      <c r="E14">
        <v>1</v>
      </c>
      <c r="F14">
        <v>1.6</v>
      </c>
      <c r="G14">
        <v>101.1</v>
      </c>
      <c r="H14" t="s">
        <v>76</v>
      </c>
      <c r="J14" t="s">
        <v>87</v>
      </c>
      <c r="M14" t="s">
        <v>79</v>
      </c>
      <c r="N14">
        <v>87.5</v>
      </c>
      <c r="O14">
        <v>12.5</v>
      </c>
      <c r="P14">
        <v>0</v>
      </c>
      <c r="Q14">
        <v>20</v>
      </c>
      <c r="R14" t="s">
        <v>45</v>
      </c>
      <c r="S14" t="s">
        <v>80</v>
      </c>
      <c r="T14">
        <v>45</v>
      </c>
      <c r="U14">
        <v>284</v>
      </c>
      <c r="V14">
        <v>1059860</v>
      </c>
      <c r="W14" t="s">
        <v>46</v>
      </c>
      <c r="X14" t="s">
        <v>54</v>
      </c>
      <c r="Z14">
        <v>79</v>
      </c>
      <c r="AA14">
        <v>103</v>
      </c>
      <c r="AB14">
        <v>120</v>
      </c>
      <c r="AC14">
        <v>135</v>
      </c>
      <c r="AD14">
        <v>115</v>
      </c>
      <c r="AE14">
        <v>78</v>
      </c>
      <c r="AF14">
        <v>630</v>
      </c>
      <c r="AG14">
        <v>0</v>
      </c>
      <c r="AH14">
        <v>0</v>
      </c>
      <c r="AI14">
        <v>0</v>
      </c>
      <c r="AJ14">
        <v>0</v>
      </c>
      <c r="AK14">
        <v>3</v>
      </c>
      <c r="AL14">
        <v>0</v>
      </c>
    </row>
    <row r="15" spans="1:38" x14ac:dyDescent="0.25">
      <c r="A15" t="s">
        <v>89</v>
      </c>
      <c r="B15" t="s">
        <v>89</v>
      </c>
      <c r="C15" s="1">
        <v>10</v>
      </c>
      <c r="D15" s="1" t="s">
        <v>88</v>
      </c>
      <c r="E15">
        <v>1</v>
      </c>
      <c r="F15">
        <v>0.3</v>
      </c>
      <c r="G15">
        <v>2.9</v>
      </c>
      <c r="H15" t="s">
        <v>90</v>
      </c>
      <c r="J15" t="s">
        <v>91</v>
      </c>
      <c r="L15" t="s">
        <v>92</v>
      </c>
      <c r="M15" t="s">
        <v>44</v>
      </c>
      <c r="N15">
        <v>50</v>
      </c>
      <c r="O15">
        <v>50</v>
      </c>
      <c r="P15">
        <v>0</v>
      </c>
      <c r="Q15">
        <v>15</v>
      </c>
      <c r="R15" t="s">
        <v>90</v>
      </c>
      <c r="T15">
        <v>255</v>
      </c>
      <c r="U15">
        <v>39</v>
      </c>
      <c r="V15">
        <v>1000000</v>
      </c>
      <c r="W15" t="s">
        <v>46</v>
      </c>
      <c r="Z15">
        <v>45</v>
      </c>
      <c r="AA15">
        <v>30</v>
      </c>
      <c r="AB15">
        <v>35</v>
      </c>
      <c r="AC15">
        <v>20</v>
      </c>
      <c r="AD15">
        <v>20</v>
      </c>
      <c r="AE15">
        <v>45</v>
      </c>
      <c r="AF15">
        <v>195</v>
      </c>
      <c r="AG15">
        <v>1</v>
      </c>
      <c r="AH15">
        <v>0</v>
      </c>
      <c r="AI15">
        <v>0</v>
      </c>
      <c r="AJ15">
        <v>0</v>
      </c>
      <c r="AK15">
        <v>0</v>
      </c>
      <c r="AL15">
        <v>0</v>
      </c>
    </row>
    <row r="16" spans="1:38" x14ac:dyDescent="0.25">
      <c r="A16" t="s">
        <v>94</v>
      </c>
      <c r="B16" t="s">
        <v>94</v>
      </c>
      <c r="C16" s="1">
        <v>11</v>
      </c>
      <c r="D16" s="1" t="s">
        <v>93</v>
      </c>
      <c r="E16">
        <v>1</v>
      </c>
      <c r="F16">
        <v>0.7</v>
      </c>
      <c r="G16">
        <v>9.9</v>
      </c>
      <c r="H16" t="s">
        <v>90</v>
      </c>
      <c r="J16" t="s">
        <v>95</v>
      </c>
      <c r="M16" t="s">
        <v>44</v>
      </c>
      <c r="N16">
        <v>50</v>
      </c>
      <c r="O16">
        <v>50</v>
      </c>
      <c r="P16">
        <v>0</v>
      </c>
      <c r="Q16">
        <v>15</v>
      </c>
      <c r="R16" t="s">
        <v>90</v>
      </c>
      <c r="T16">
        <v>120</v>
      </c>
      <c r="U16">
        <v>72</v>
      </c>
      <c r="V16">
        <v>1000000</v>
      </c>
      <c r="W16" t="s">
        <v>46</v>
      </c>
      <c r="Z16">
        <v>50</v>
      </c>
      <c r="AA16">
        <v>20</v>
      </c>
      <c r="AB16">
        <v>55</v>
      </c>
      <c r="AC16">
        <v>25</v>
      </c>
      <c r="AD16">
        <v>25</v>
      </c>
      <c r="AE16">
        <v>30</v>
      </c>
      <c r="AF16">
        <v>205</v>
      </c>
      <c r="AG16">
        <v>0</v>
      </c>
      <c r="AH16">
        <v>0</v>
      </c>
      <c r="AI16">
        <v>2</v>
      </c>
      <c r="AJ16">
        <v>0</v>
      </c>
      <c r="AK16">
        <v>0</v>
      </c>
      <c r="AL16">
        <v>0</v>
      </c>
    </row>
    <row r="17" spans="1:38" x14ac:dyDescent="0.25">
      <c r="A17" t="s">
        <v>97</v>
      </c>
      <c r="B17" t="s">
        <v>97</v>
      </c>
      <c r="C17" s="1">
        <v>12</v>
      </c>
      <c r="D17" s="1" t="s">
        <v>96</v>
      </c>
      <c r="E17">
        <v>1</v>
      </c>
      <c r="F17">
        <v>1.1000000000000001</v>
      </c>
      <c r="G17">
        <v>32</v>
      </c>
      <c r="H17" t="s">
        <v>90</v>
      </c>
      <c r="I17" t="s">
        <v>66</v>
      </c>
      <c r="J17" t="s">
        <v>98</v>
      </c>
      <c r="L17" t="s">
        <v>99</v>
      </c>
      <c r="M17" t="s">
        <v>100</v>
      </c>
      <c r="N17">
        <v>50</v>
      </c>
      <c r="O17">
        <v>50</v>
      </c>
      <c r="P17">
        <v>0</v>
      </c>
      <c r="Q17">
        <v>15</v>
      </c>
      <c r="R17" t="s">
        <v>90</v>
      </c>
      <c r="T17">
        <v>45</v>
      </c>
      <c r="U17">
        <v>198</v>
      </c>
      <c r="V17">
        <v>1000000</v>
      </c>
      <c r="W17" t="s">
        <v>46</v>
      </c>
      <c r="Z17">
        <v>60</v>
      </c>
      <c r="AA17">
        <v>45</v>
      </c>
      <c r="AB17">
        <v>50</v>
      </c>
      <c r="AC17">
        <v>90</v>
      </c>
      <c r="AD17">
        <v>80</v>
      </c>
      <c r="AE17">
        <v>70</v>
      </c>
      <c r="AF17">
        <v>395</v>
      </c>
      <c r="AG17">
        <v>0</v>
      </c>
      <c r="AH17">
        <v>0</v>
      </c>
      <c r="AI17">
        <v>0</v>
      </c>
      <c r="AJ17">
        <v>2</v>
      </c>
      <c r="AK17">
        <v>1</v>
      </c>
      <c r="AL17">
        <v>0</v>
      </c>
    </row>
    <row r="18" spans="1:38" x14ac:dyDescent="0.25">
      <c r="A18" t="s">
        <v>102</v>
      </c>
      <c r="B18" t="s">
        <v>102</v>
      </c>
      <c r="C18" s="1">
        <v>13</v>
      </c>
      <c r="D18" s="1" t="s">
        <v>101</v>
      </c>
      <c r="E18">
        <v>1</v>
      </c>
      <c r="F18">
        <v>0.3</v>
      </c>
      <c r="G18">
        <v>3.2</v>
      </c>
      <c r="H18" t="s">
        <v>90</v>
      </c>
      <c r="I18" t="s">
        <v>41</v>
      </c>
      <c r="J18" t="s">
        <v>91</v>
      </c>
      <c r="L18" t="s">
        <v>92</v>
      </c>
      <c r="M18" t="s">
        <v>103</v>
      </c>
      <c r="N18">
        <v>50</v>
      </c>
      <c r="O18">
        <v>50</v>
      </c>
      <c r="P18">
        <v>0</v>
      </c>
      <c r="Q18">
        <v>15</v>
      </c>
      <c r="R18" t="s">
        <v>90</v>
      </c>
      <c r="T18">
        <v>255</v>
      </c>
      <c r="U18">
        <v>39</v>
      </c>
      <c r="V18">
        <v>1000000</v>
      </c>
      <c r="W18" t="s">
        <v>46</v>
      </c>
      <c r="Z18">
        <v>40</v>
      </c>
      <c r="AA18">
        <v>35</v>
      </c>
      <c r="AB18">
        <v>30</v>
      </c>
      <c r="AC18">
        <v>20</v>
      </c>
      <c r="AD18">
        <v>20</v>
      </c>
      <c r="AE18">
        <v>50</v>
      </c>
      <c r="AF18">
        <v>195</v>
      </c>
      <c r="AG18">
        <v>0</v>
      </c>
      <c r="AH18">
        <v>0</v>
      </c>
      <c r="AI18">
        <v>0</v>
      </c>
      <c r="AJ18">
        <v>0</v>
      </c>
      <c r="AK18">
        <v>0</v>
      </c>
      <c r="AL18">
        <v>1</v>
      </c>
    </row>
    <row r="19" spans="1:38" x14ac:dyDescent="0.25">
      <c r="A19" t="s">
        <v>105</v>
      </c>
      <c r="B19" t="s">
        <v>105</v>
      </c>
      <c r="C19" s="1">
        <v>14</v>
      </c>
      <c r="D19" s="1" t="s">
        <v>104</v>
      </c>
      <c r="E19">
        <v>1</v>
      </c>
      <c r="F19">
        <v>0.6</v>
      </c>
      <c r="G19">
        <v>10</v>
      </c>
      <c r="H19" t="s">
        <v>90</v>
      </c>
      <c r="I19" t="s">
        <v>41</v>
      </c>
      <c r="J19" t="s">
        <v>95</v>
      </c>
      <c r="M19" t="s">
        <v>106</v>
      </c>
      <c r="N19">
        <v>50</v>
      </c>
      <c r="O19">
        <v>50</v>
      </c>
      <c r="P19">
        <v>0</v>
      </c>
      <c r="Q19">
        <v>15</v>
      </c>
      <c r="R19" t="s">
        <v>90</v>
      </c>
      <c r="T19">
        <v>120</v>
      </c>
      <c r="U19">
        <v>72</v>
      </c>
      <c r="V19">
        <v>1000000</v>
      </c>
      <c r="W19" t="s">
        <v>46</v>
      </c>
      <c r="Z19">
        <v>45</v>
      </c>
      <c r="AA19">
        <v>25</v>
      </c>
      <c r="AB19">
        <v>50</v>
      </c>
      <c r="AC19">
        <v>25</v>
      </c>
      <c r="AD19">
        <v>25</v>
      </c>
      <c r="AE19">
        <v>35</v>
      </c>
      <c r="AF19">
        <v>205</v>
      </c>
      <c r="AG19">
        <v>0</v>
      </c>
      <c r="AH19">
        <v>0</v>
      </c>
      <c r="AI19">
        <v>2</v>
      </c>
      <c r="AJ19">
        <v>0</v>
      </c>
      <c r="AK19">
        <v>0</v>
      </c>
      <c r="AL19">
        <v>0</v>
      </c>
    </row>
    <row r="20" spans="1:38" x14ac:dyDescent="0.25">
      <c r="A20" t="s">
        <v>108</v>
      </c>
      <c r="B20" t="s">
        <v>108</v>
      </c>
      <c r="C20" s="1">
        <v>15</v>
      </c>
      <c r="D20" s="1" t="s">
        <v>107</v>
      </c>
      <c r="E20">
        <v>1</v>
      </c>
      <c r="F20">
        <v>1</v>
      </c>
      <c r="G20">
        <v>29.5</v>
      </c>
      <c r="H20" t="s">
        <v>90</v>
      </c>
      <c r="I20" t="s">
        <v>41</v>
      </c>
      <c r="J20" t="s">
        <v>109</v>
      </c>
      <c r="L20" t="s">
        <v>110</v>
      </c>
      <c r="M20" t="s">
        <v>106</v>
      </c>
      <c r="N20">
        <v>50</v>
      </c>
      <c r="O20">
        <v>50</v>
      </c>
      <c r="P20">
        <v>0</v>
      </c>
      <c r="Q20">
        <v>15</v>
      </c>
      <c r="R20" t="s">
        <v>90</v>
      </c>
      <c r="T20">
        <v>45</v>
      </c>
      <c r="U20">
        <v>198</v>
      </c>
      <c r="V20">
        <v>1000000</v>
      </c>
      <c r="W20" t="s">
        <v>46</v>
      </c>
      <c r="Z20">
        <v>65</v>
      </c>
      <c r="AA20">
        <v>90</v>
      </c>
      <c r="AB20">
        <v>40</v>
      </c>
      <c r="AC20">
        <v>45</v>
      </c>
      <c r="AD20">
        <v>80</v>
      </c>
      <c r="AE20">
        <v>75</v>
      </c>
      <c r="AF20">
        <v>395</v>
      </c>
      <c r="AG20">
        <v>0</v>
      </c>
      <c r="AH20">
        <v>2</v>
      </c>
      <c r="AI20">
        <v>0</v>
      </c>
      <c r="AJ20">
        <v>0</v>
      </c>
      <c r="AK20">
        <v>1</v>
      </c>
      <c r="AL20">
        <v>0</v>
      </c>
    </row>
    <row r="21" spans="1:38" x14ac:dyDescent="0.25">
      <c r="A21" t="s">
        <v>108</v>
      </c>
      <c r="B21" t="s">
        <v>112</v>
      </c>
      <c r="C21" s="1">
        <v>15</v>
      </c>
      <c r="D21" s="1" t="s">
        <v>111</v>
      </c>
      <c r="E21">
        <v>1</v>
      </c>
      <c r="F21">
        <v>1.4</v>
      </c>
      <c r="G21">
        <v>40.5</v>
      </c>
      <c r="H21" t="s">
        <v>90</v>
      </c>
      <c r="I21" t="s">
        <v>41</v>
      </c>
      <c r="J21" t="s">
        <v>113</v>
      </c>
      <c r="M21" t="s">
        <v>106</v>
      </c>
      <c r="N21">
        <v>50</v>
      </c>
      <c r="O21">
        <v>50</v>
      </c>
      <c r="P21">
        <v>0</v>
      </c>
      <c r="Q21">
        <v>15</v>
      </c>
      <c r="R21" t="s">
        <v>90</v>
      </c>
      <c r="T21">
        <v>45</v>
      </c>
      <c r="U21">
        <v>223</v>
      </c>
      <c r="V21">
        <v>1000000</v>
      </c>
      <c r="W21" t="s">
        <v>46</v>
      </c>
      <c r="X21" t="s">
        <v>54</v>
      </c>
      <c r="Z21">
        <v>65</v>
      </c>
      <c r="AA21">
        <v>150</v>
      </c>
      <c r="AB21">
        <v>40</v>
      </c>
      <c r="AC21">
        <v>15</v>
      </c>
      <c r="AD21">
        <v>80</v>
      </c>
      <c r="AE21">
        <v>145</v>
      </c>
      <c r="AF21">
        <v>495</v>
      </c>
      <c r="AG21">
        <v>0</v>
      </c>
      <c r="AH21">
        <v>2</v>
      </c>
      <c r="AI21">
        <v>0</v>
      </c>
      <c r="AJ21">
        <v>0</v>
      </c>
      <c r="AK21">
        <v>1</v>
      </c>
      <c r="AL21">
        <v>0</v>
      </c>
    </row>
    <row r="22" spans="1:38" x14ac:dyDescent="0.25">
      <c r="A22" t="s">
        <v>115</v>
      </c>
      <c r="B22" t="s">
        <v>115</v>
      </c>
      <c r="C22" s="1">
        <v>16</v>
      </c>
      <c r="D22" s="1" t="s">
        <v>114</v>
      </c>
      <c r="E22">
        <v>1</v>
      </c>
      <c r="F22">
        <v>0.3</v>
      </c>
      <c r="G22">
        <v>1.8</v>
      </c>
      <c r="H22" t="s">
        <v>116</v>
      </c>
      <c r="I22" t="s">
        <v>66</v>
      </c>
      <c r="J22" t="s">
        <v>117</v>
      </c>
      <c r="K22" t="s">
        <v>118</v>
      </c>
      <c r="L22" t="s">
        <v>119</v>
      </c>
      <c r="M22" t="s">
        <v>103</v>
      </c>
      <c r="N22">
        <v>50</v>
      </c>
      <c r="O22">
        <v>50</v>
      </c>
      <c r="P22">
        <v>0</v>
      </c>
      <c r="Q22">
        <v>15</v>
      </c>
      <c r="R22" t="s">
        <v>66</v>
      </c>
      <c r="T22">
        <v>255</v>
      </c>
      <c r="U22">
        <v>50</v>
      </c>
      <c r="V22">
        <v>1059860</v>
      </c>
      <c r="W22" t="s">
        <v>46</v>
      </c>
      <c r="Z22">
        <v>40</v>
      </c>
      <c r="AA22">
        <v>45</v>
      </c>
      <c r="AB22">
        <v>40</v>
      </c>
      <c r="AC22">
        <v>35</v>
      </c>
      <c r="AD22">
        <v>35</v>
      </c>
      <c r="AE22">
        <v>56</v>
      </c>
      <c r="AF22">
        <v>251</v>
      </c>
      <c r="AG22">
        <v>0</v>
      </c>
      <c r="AH22">
        <v>0</v>
      </c>
      <c r="AI22">
        <v>0</v>
      </c>
      <c r="AJ22">
        <v>0</v>
      </c>
      <c r="AK22">
        <v>0</v>
      </c>
      <c r="AL22">
        <v>1</v>
      </c>
    </row>
    <row r="23" spans="1:38" x14ac:dyDescent="0.25">
      <c r="A23" t="s">
        <v>121</v>
      </c>
      <c r="B23" t="s">
        <v>121</v>
      </c>
      <c r="C23" s="1">
        <v>17</v>
      </c>
      <c r="D23" s="1" t="s">
        <v>120</v>
      </c>
      <c r="E23">
        <v>1</v>
      </c>
      <c r="F23">
        <v>1.1000000000000001</v>
      </c>
      <c r="G23">
        <v>30</v>
      </c>
      <c r="H23" t="s">
        <v>116</v>
      </c>
      <c r="I23" t="s">
        <v>66</v>
      </c>
      <c r="J23" t="s">
        <v>117</v>
      </c>
      <c r="K23" t="s">
        <v>118</v>
      </c>
      <c r="L23" t="s">
        <v>119</v>
      </c>
      <c r="M23" t="s">
        <v>103</v>
      </c>
      <c r="N23">
        <v>50</v>
      </c>
      <c r="O23">
        <v>50</v>
      </c>
      <c r="P23">
        <v>0</v>
      </c>
      <c r="Q23">
        <v>15</v>
      </c>
      <c r="R23" t="s">
        <v>66</v>
      </c>
      <c r="T23">
        <v>120</v>
      </c>
      <c r="U23">
        <v>122</v>
      </c>
      <c r="V23">
        <v>1059860</v>
      </c>
      <c r="W23" t="s">
        <v>46</v>
      </c>
      <c r="Z23">
        <v>63</v>
      </c>
      <c r="AA23">
        <v>60</v>
      </c>
      <c r="AB23">
        <v>55</v>
      </c>
      <c r="AC23">
        <v>50</v>
      </c>
      <c r="AD23">
        <v>50</v>
      </c>
      <c r="AE23">
        <v>71</v>
      </c>
      <c r="AF23">
        <v>349</v>
      </c>
      <c r="AG23">
        <v>0</v>
      </c>
      <c r="AH23">
        <v>0</v>
      </c>
      <c r="AI23">
        <v>0</v>
      </c>
      <c r="AJ23">
        <v>0</v>
      </c>
      <c r="AK23">
        <v>0</v>
      </c>
      <c r="AL23">
        <v>2</v>
      </c>
    </row>
    <row r="24" spans="1:38" x14ac:dyDescent="0.25">
      <c r="A24" t="s">
        <v>123</v>
      </c>
      <c r="B24" t="s">
        <v>123</v>
      </c>
      <c r="C24" s="1">
        <v>18</v>
      </c>
      <c r="D24" s="1" t="s">
        <v>122</v>
      </c>
      <c r="E24">
        <v>1</v>
      </c>
      <c r="F24">
        <v>1.5</v>
      </c>
      <c r="G24">
        <v>39.5</v>
      </c>
      <c r="H24" t="s">
        <v>116</v>
      </c>
      <c r="I24" t="s">
        <v>66</v>
      </c>
      <c r="J24" t="s">
        <v>117</v>
      </c>
      <c r="K24" t="s">
        <v>118</v>
      </c>
      <c r="L24" t="s">
        <v>119</v>
      </c>
      <c r="M24" t="s">
        <v>103</v>
      </c>
      <c r="N24">
        <v>50</v>
      </c>
      <c r="O24">
        <v>50</v>
      </c>
      <c r="P24">
        <v>0</v>
      </c>
      <c r="Q24">
        <v>15</v>
      </c>
      <c r="R24" t="s">
        <v>66</v>
      </c>
      <c r="T24">
        <v>45</v>
      </c>
      <c r="U24">
        <v>240</v>
      </c>
      <c r="V24">
        <v>1059860</v>
      </c>
      <c r="W24" t="s">
        <v>46</v>
      </c>
      <c r="Z24">
        <v>83</v>
      </c>
      <c r="AA24">
        <v>80</v>
      </c>
      <c r="AB24">
        <v>75</v>
      </c>
      <c r="AC24">
        <v>70</v>
      </c>
      <c r="AD24">
        <v>70</v>
      </c>
      <c r="AE24">
        <v>101</v>
      </c>
      <c r="AF24">
        <v>479</v>
      </c>
      <c r="AG24">
        <v>0</v>
      </c>
      <c r="AH24">
        <v>0</v>
      </c>
      <c r="AI24">
        <v>0</v>
      </c>
      <c r="AJ24">
        <v>0</v>
      </c>
      <c r="AK24">
        <v>0</v>
      </c>
      <c r="AL24">
        <v>3</v>
      </c>
    </row>
    <row r="25" spans="1:38" x14ac:dyDescent="0.25">
      <c r="A25" t="s">
        <v>123</v>
      </c>
      <c r="B25" t="s">
        <v>125</v>
      </c>
      <c r="C25" s="1">
        <v>18</v>
      </c>
      <c r="D25" s="1" t="s">
        <v>124</v>
      </c>
      <c r="E25">
        <v>1</v>
      </c>
      <c r="F25">
        <v>2.2000000000000002</v>
      </c>
      <c r="G25">
        <v>50.5</v>
      </c>
      <c r="H25" t="s">
        <v>116</v>
      </c>
      <c r="I25" t="s">
        <v>66</v>
      </c>
      <c r="J25" t="s">
        <v>126</v>
      </c>
      <c r="M25" t="s">
        <v>103</v>
      </c>
      <c r="N25">
        <v>50</v>
      </c>
      <c r="O25">
        <v>50</v>
      </c>
      <c r="P25">
        <v>0</v>
      </c>
      <c r="Q25">
        <v>15</v>
      </c>
      <c r="R25" t="s">
        <v>66</v>
      </c>
      <c r="T25">
        <v>45</v>
      </c>
      <c r="U25">
        <v>261</v>
      </c>
      <c r="V25">
        <v>1059860</v>
      </c>
      <c r="W25" t="s">
        <v>46</v>
      </c>
      <c r="X25" t="s">
        <v>54</v>
      </c>
      <c r="Z25">
        <v>83</v>
      </c>
      <c r="AA25">
        <v>80</v>
      </c>
      <c r="AB25">
        <v>80</v>
      </c>
      <c r="AC25">
        <v>135</v>
      </c>
      <c r="AD25">
        <v>80</v>
      </c>
      <c r="AE25">
        <v>121</v>
      </c>
      <c r="AF25">
        <v>579</v>
      </c>
      <c r="AG25">
        <v>0</v>
      </c>
      <c r="AH25">
        <v>0</v>
      </c>
      <c r="AI25">
        <v>0</v>
      </c>
      <c r="AJ25">
        <v>0</v>
      </c>
      <c r="AK25">
        <v>0</v>
      </c>
      <c r="AL25">
        <v>3</v>
      </c>
    </row>
    <row r="26" spans="1:38" x14ac:dyDescent="0.25">
      <c r="A26" t="s">
        <v>128</v>
      </c>
      <c r="B26" t="s">
        <v>128</v>
      </c>
      <c r="C26" s="1">
        <v>19</v>
      </c>
      <c r="D26" s="1" t="s">
        <v>127</v>
      </c>
      <c r="E26">
        <v>1</v>
      </c>
      <c r="F26">
        <v>0.3</v>
      </c>
      <c r="G26">
        <v>3.5</v>
      </c>
      <c r="H26" t="s">
        <v>116</v>
      </c>
      <c r="J26" t="s">
        <v>92</v>
      </c>
      <c r="K26" t="s">
        <v>129</v>
      </c>
      <c r="L26" t="s">
        <v>130</v>
      </c>
      <c r="M26" t="s">
        <v>131</v>
      </c>
      <c r="N26">
        <v>50</v>
      </c>
      <c r="O26">
        <v>50</v>
      </c>
      <c r="P26">
        <v>0</v>
      </c>
      <c r="Q26">
        <v>15</v>
      </c>
      <c r="R26" t="s">
        <v>132</v>
      </c>
      <c r="T26">
        <v>255</v>
      </c>
      <c r="U26">
        <v>51</v>
      </c>
      <c r="V26">
        <v>1000000</v>
      </c>
      <c r="W26" t="s">
        <v>46</v>
      </c>
      <c r="Z26">
        <v>30</v>
      </c>
      <c r="AA26">
        <v>56</v>
      </c>
      <c r="AB26">
        <v>35</v>
      </c>
      <c r="AC26">
        <v>25</v>
      </c>
      <c r="AD26">
        <v>35</v>
      </c>
      <c r="AE26">
        <v>72</v>
      </c>
      <c r="AF26">
        <v>253</v>
      </c>
      <c r="AG26">
        <v>0</v>
      </c>
      <c r="AH26">
        <v>0</v>
      </c>
      <c r="AI26">
        <v>0</v>
      </c>
      <c r="AJ26">
        <v>0</v>
      </c>
      <c r="AK26">
        <v>0</v>
      </c>
      <c r="AL26">
        <v>1</v>
      </c>
    </row>
    <row r="27" spans="1:38" x14ac:dyDescent="0.25">
      <c r="A27" t="s">
        <v>128</v>
      </c>
      <c r="B27" t="s">
        <v>134</v>
      </c>
      <c r="C27" s="1">
        <v>19</v>
      </c>
      <c r="D27" s="1" t="s">
        <v>133</v>
      </c>
      <c r="E27">
        <v>7</v>
      </c>
      <c r="F27">
        <v>0.3</v>
      </c>
      <c r="G27">
        <v>3.8</v>
      </c>
      <c r="H27" t="s">
        <v>135</v>
      </c>
      <c r="I27" t="s">
        <v>116</v>
      </c>
      <c r="J27" t="s">
        <v>136</v>
      </c>
      <c r="K27" t="s">
        <v>130</v>
      </c>
      <c r="L27" t="s">
        <v>53</v>
      </c>
      <c r="M27" t="s">
        <v>70</v>
      </c>
      <c r="N27">
        <v>50</v>
      </c>
      <c r="O27">
        <v>50</v>
      </c>
      <c r="P27">
        <v>0</v>
      </c>
      <c r="Q27">
        <v>15</v>
      </c>
      <c r="R27" t="s">
        <v>132</v>
      </c>
      <c r="T27">
        <v>255</v>
      </c>
      <c r="U27">
        <v>51</v>
      </c>
      <c r="V27">
        <v>1000000</v>
      </c>
      <c r="W27" t="s">
        <v>46</v>
      </c>
      <c r="Y27" t="s">
        <v>137</v>
      </c>
      <c r="Z27">
        <v>30</v>
      </c>
      <c r="AA27">
        <v>56</v>
      </c>
      <c r="AB27">
        <v>35</v>
      </c>
      <c r="AC27">
        <v>25</v>
      </c>
      <c r="AD27">
        <v>35</v>
      </c>
      <c r="AE27">
        <v>72</v>
      </c>
      <c r="AF27">
        <v>253</v>
      </c>
      <c r="AG27">
        <v>0</v>
      </c>
      <c r="AH27">
        <v>0</v>
      </c>
      <c r="AI27">
        <v>0</v>
      </c>
      <c r="AJ27">
        <v>0</v>
      </c>
      <c r="AK27">
        <v>0</v>
      </c>
      <c r="AL27">
        <v>1</v>
      </c>
    </row>
    <row r="28" spans="1:38" x14ac:dyDescent="0.25">
      <c r="A28" t="s">
        <v>139</v>
      </c>
      <c r="B28" t="s">
        <v>139</v>
      </c>
      <c r="C28" s="1">
        <v>20</v>
      </c>
      <c r="D28" s="1" t="s">
        <v>138</v>
      </c>
      <c r="E28">
        <v>1</v>
      </c>
      <c r="F28">
        <v>0.7</v>
      </c>
      <c r="G28">
        <v>18.5</v>
      </c>
      <c r="H28" t="s">
        <v>116</v>
      </c>
      <c r="J28" t="s">
        <v>92</v>
      </c>
      <c r="K28" t="s">
        <v>129</v>
      </c>
      <c r="L28" t="s">
        <v>130</v>
      </c>
      <c r="M28" t="s">
        <v>103</v>
      </c>
      <c r="N28">
        <v>50</v>
      </c>
      <c r="O28">
        <v>50</v>
      </c>
      <c r="P28">
        <v>0</v>
      </c>
      <c r="Q28">
        <v>15</v>
      </c>
      <c r="R28" t="s">
        <v>132</v>
      </c>
      <c r="T28">
        <v>127</v>
      </c>
      <c r="U28">
        <v>145</v>
      </c>
      <c r="V28">
        <v>1000000</v>
      </c>
      <c r="W28" t="s">
        <v>46</v>
      </c>
      <c r="Z28">
        <v>55</v>
      </c>
      <c r="AA28">
        <v>81</v>
      </c>
      <c r="AB28">
        <v>60</v>
      </c>
      <c r="AC28">
        <v>50</v>
      </c>
      <c r="AD28">
        <v>70</v>
      </c>
      <c r="AE28">
        <v>97</v>
      </c>
      <c r="AF28">
        <v>413</v>
      </c>
      <c r="AG28">
        <v>0</v>
      </c>
      <c r="AH28">
        <v>0</v>
      </c>
      <c r="AI28">
        <v>0</v>
      </c>
      <c r="AJ28">
        <v>0</v>
      </c>
      <c r="AK28">
        <v>0</v>
      </c>
      <c r="AL28">
        <v>2</v>
      </c>
    </row>
    <row r="29" spans="1:38" x14ac:dyDescent="0.25">
      <c r="A29" t="s">
        <v>139</v>
      </c>
      <c r="B29" t="s">
        <v>141</v>
      </c>
      <c r="C29" s="1">
        <v>20</v>
      </c>
      <c r="D29" s="1" t="s">
        <v>140</v>
      </c>
      <c r="E29">
        <v>7</v>
      </c>
      <c r="F29">
        <v>0.7</v>
      </c>
      <c r="G29">
        <v>25.5</v>
      </c>
      <c r="H29" t="s">
        <v>135</v>
      </c>
      <c r="I29" t="s">
        <v>116</v>
      </c>
      <c r="J29" t="s">
        <v>136</v>
      </c>
      <c r="K29" t="s">
        <v>130</v>
      </c>
      <c r="L29" t="s">
        <v>53</v>
      </c>
      <c r="M29" t="s">
        <v>70</v>
      </c>
      <c r="N29">
        <v>50</v>
      </c>
      <c r="O29">
        <v>50</v>
      </c>
      <c r="P29">
        <v>0</v>
      </c>
      <c r="Q29">
        <v>15</v>
      </c>
      <c r="R29" t="s">
        <v>132</v>
      </c>
      <c r="T29">
        <v>127</v>
      </c>
      <c r="U29">
        <v>145</v>
      </c>
      <c r="V29">
        <v>1000000</v>
      </c>
      <c r="W29" t="s">
        <v>46</v>
      </c>
      <c r="Y29" t="s">
        <v>137</v>
      </c>
      <c r="Z29">
        <v>75</v>
      </c>
      <c r="AA29">
        <v>71</v>
      </c>
      <c r="AB29">
        <v>70</v>
      </c>
      <c r="AC29">
        <v>40</v>
      </c>
      <c r="AD29">
        <v>80</v>
      </c>
      <c r="AE29">
        <v>77</v>
      </c>
      <c r="AF29">
        <v>413</v>
      </c>
      <c r="AG29">
        <v>0</v>
      </c>
      <c r="AH29">
        <v>0</v>
      </c>
      <c r="AI29">
        <v>0</v>
      </c>
      <c r="AJ29">
        <v>0</v>
      </c>
      <c r="AK29">
        <v>0</v>
      </c>
      <c r="AL29">
        <v>2</v>
      </c>
    </row>
    <row r="30" spans="1:38" x14ac:dyDescent="0.25">
      <c r="A30" t="s">
        <v>143</v>
      </c>
      <c r="B30" t="s">
        <v>143</v>
      </c>
      <c r="C30" s="1">
        <v>21</v>
      </c>
      <c r="D30" s="1" t="s">
        <v>142</v>
      </c>
      <c r="E30">
        <v>1</v>
      </c>
      <c r="F30">
        <v>0.3</v>
      </c>
      <c r="G30">
        <v>2</v>
      </c>
      <c r="H30" t="s">
        <v>116</v>
      </c>
      <c r="I30" t="s">
        <v>66</v>
      </c>
      <c r="J30" t="s">
        <v>117</v>
      </c>
      <c r="L30" t="s">
        <v>110</v>
      </c>
      <c r="M30" t="s">
        <v>103</v>
      </c>
      <c r="N30">
        <v>50</v>
      </c>
      <c r="O30">
        <v>50</v>
      </c>
      <c r="P30">
        <v>0</v>
      </c>
      <c r="Q30">
        <v>15</v>
      </c>
      <c r="R30" t="s">
        <v>66</v>
      </c>
      <c r="T30">
        <v>255</v>
      </c>
      <c r="U30">
        <v>52</v>
      </c>
      <c r="V30">
        <v>1000000</v>
      </c>
      <c r="W30" t="s">
        <v>46</v>
      </c>
      <c r="Z30">
        <v>40</v>
      </c>
      <c r="AA30">
        <v>60</v>
      </c>
      <c r="AB30">
        <v>30</v>
      </c>
      <c r="AC30">
        <v>31</v>
      </c>
      <c r="AD30">
        <v>31</v>
      </c>
      <c r="AE30">
        <v>70</v>
      </c>
      <c r="AF30">
        <v>262</v>
      </c>
      <c r="AG30">
        <v>0</v>
      </c>
      <c r="AH30">
        <v>0</v>
      </c>
      <c r="AI30">
        <v>0</v>
      </c>
      <c r="AJ30">
        <v>0</v>
      </c>
      <c r="AK30">
        <v>0</v>
      </c>
      <c r="AL30">
        <v>1</v>
      </c>
    </row>
    <row r="31" spans="1:38" x14ac:dyDescent="0.25">
      <c r="A31" t="s">
        <v>145</v>
      </c>
      <c r="B31" t="s">
        <v>145</v>
      </c>
      <c r="C31" s="1">
        <v>22</v>
      </c>
      <c r="D31" s="1" t="s">
        <v>144</v>
      </c>
      <c r="E31">
        <v>1</v>
      </c>
      <c r="F31">
        <v>1.2</v>
      </c>
      <c r="G31">
        <v>38</v>
      </c>
      <c r="H31" t="s">
        <v>116</v>
      </c>
      <c r="I31" t="s">
        <v>66</v>
      </c>
      <c r="J31" t="s">
        <v>117</v>
      </c>
      <c r="L31" t="s">
        <v>110</v>
      </c>
      <c r="M31" t="s">
        <v>103</v>
      </c>
      <c r="N31">
        <v>50</v>
      </c>
      <c r="O31">
        <v>50</v>
      </c>
      <c r="P31">
        <v>0</v>
      </c>
      <c r="Q31">
        <v>15</v>
      </c>
      <c r="R31" t="s">
        <v>66</v>
      </c>
      <c r="T31">
        <v>90</v>
      </c>
      <c r="U31">
        <v>155</v>
      </c>
      <c r="V31">
        <v>1000000</v>
      </c>
      <c r="W31" t="s">
        <v>46</v>
      </c>
      <c r="Z31">
        <v>65</v>
      </c>
      <c r="AA31">
        <v>90</v>
      </c>
      <c r="AB31">
        <v>65</v>
      </c>
      <c r="AC31">
        <v>61</v>
      </c>
      <c r="AD31">
        <v>61</v>
      </c>
      <c r="AE31">
        <v>100</v>
      </c>
      <c r="AF31">
        <v>442</v>
      </c>
      <c r="AG31">
        <v>0</v>
      </c>
      <c r="AH31">
        <v>0</v>
      </c>
      <c r="AI31">
        <v>0</v>
      </c>
      <c r="AJ31">
        <v>0</v>
      </c>
      <c r="AK31">
        <v>0</v>
      </c>
      <c r="AL31">
        <v>2</v>
      </c>
    </row>
    <row r="32" spans="1:38" x14ac:dyDescent="0.25">
      <c r="A32" t="s">
        <v>147</v>
      </c>
      <c r="B32" t="s">
        <v>147</v>
      </c>
      <c r="C32" s="1">
        <v>23</v>
      </c>
      <c r="D32" s="1" t="s">
        <v>146</v>
      </c>
      <c r="E32">
        <v>1</v>
      </c>
      <c r="F32">
        <v>2</v>
      </c>
      <c r="G32">
        <v>6.9</v>
      </c>
      <c r="H32" t="s">
        <v>41</v>
      </c>
      <c r="J32" t="s">
        <v>148</v>
      </c>
      <c r="K32" t="s">
        <v>95</v>
      </c>
      <c r="L32" t="s">
        <v>149</v>
      </c>
      <c r="M32" t="s">
        <v>131</v>
      </c>
      <c r="N32">
        <v>50</v>
      </c>
      <c r="O32">
        <v>50</v>
      </c>
      <c r="P32">
        <v>0</v>
      </c>
      <c r="Q32">
        <v>20</v>
      </c>
      <c r="R32" t="s">
        <v>132</v>
      </c>
      <c r="S32" t="s">
        <v>61</v>
      </c>
      <c r="T32">
        <v>255</v>
      </c>
      <c r="U32">
        <v>58</v>
      </c>
      <c r="V32">
        <v>1000000</v>
      </c>
      <c r="W32" t="s">
        <v>46</v>
      </c>
      <c r="Z32">
        <v>35</v>
      </c>
      <c r="AA32">
        <v>60</v>
      </c>
      <c r="AB32">
        <v>44</v>
      </c>
      <c r="AC32">
        <v>40</v>
      </c>
      <c r="AD32">
        <v>54</v>
      </c>
      <c r="AE32">
        <v>55</v>
      </c>
      <c r="AF32">
        <v>288</v>
      </c>
      <c r="AG32">
        <v>0</v>
      </c>
      <c r="AH32">
        <v>1</v>
      </c>
      <c r="AI32">
        <v>0</v>
      </c>
      <c r="AJ32">
        <v>0</v>
      </c>
      <c r="AK32">
        <v>0</v>
      </c>
      <c r="AL32">
        <v>0</v>
      </c>
    </row>
    <row r="33" spans="1:38" x14ac:dyDescent="0.25">
      <c r="A33" t="s">
        <v>151</v>
      </c>
      <c r="B33" t="s">
        <v>151</v>
      </c>
      <c r="C33" s="1">
        <v>24</v>
      </c>
      <c r="D33" s="1" t="s">
        <v>150</v>
      </c>
      <c r="E33">
        <v>1</v>
      </c>
      <c r="F33">
        <v>3.5</v>
      </c>
      <c r="G33">
        <v>65</v>
      </c>
      <c r="H33" t="s">
        <v>41</v>
      </c>
      <c r="J33" t="s">
        <v>148</v>
      </c>
      <c r="K33" t="s">
        <v>95</v>
      </c>
      <c r="L33" t="s">
        <v>149</v>
      </c>
      <c r="M33" t="s">
        <v>131</v>
      </c>
      <c r="N33">
        <v>50</v>
      </c>
      <c r="O33">
        <v>50</v>
      </c>
      <c r="P33">
        <v>0</v>
      </c>
      <c r="Q33">
        <v>20</v>
      </c>
      <c r="R33" t="s">
        <v>132</v>
      </c>
      <c r="S33" t="s">
        <v>61</v>
      </c>
      <c r="T33">
        <v>90</v>
      </c>
      <c r="U33">
        <v>157</v>
      </c>
      <c r="V33">
        <v>1000000</v>
      </c>
      <c r="W33" t="s">
        <v>46</v>
      </c>
      <c r="Z33">
        <v>60</v>
      </c>
      <c r="AA33">
        <v>95</v>
      </c>
      <c r="AB33">
        <v>69</v>
      </c>
      <c r="AC33">
        <v>65</v>
      </c>
      <c r="AD33">
        <v>79</v>
      </c>
      <c r="AE33">
        <v>80</v>
      </c>
      <c r="AF33">
        <v>448</v>
      </c>
      <c r="AG33">
        <v>0</v>
      </c>
      <c r="AH33">
        <v>2</v>
      </c>
      <c r="AI33">
        <v>0</v>
      </c>
      <c r="AJ33">
        <v>0</v>
      </c>
      <c r="AK33">
        <v>0</v>
      </c>
      <c r="AL33">
        <v>0</v>
      </c>
    </row>
    <row r="34" spans="1:38" x14ac:dyDescent="0.25">
      <c r="A34" t="s">
        <v>153</v>
      </c>
      <c r="B34" t="s">
        <v>153</v>
      </c>
      <c r="C34" s="1">
        <v>25</v>
      </c>
      <c r="D34" s="1" t="s">
        <v>152</v>
      </c>
      <c r="E34">
        <v>1</v>
      </c>
      <c r="F34">
        <v>0.4</v>
      </c>
      <c r="G34">
        <v>6</v>
      </c>
      <c r="H34" t="s">
        <v>154</v>
      </c>
      <c r="J34" t="s">
        <v>155</v>
      </c>
      <c r="L34" t="s">
        <v>156</v>
      </c>
      <c r="M34" t="s">
        <v>106</v>
      </c>
      <c r="N34">
        <v>50</v>
      </c>
      <c r="O34">
        <v>50</v>
      </c>
      <c r="P34">
        <v>0</v>
      </c>
      <c r="Q34">
        <v>10</v>
      </c>
      <c r="R34" t="s">
        <v>132</v>
      </c>
      <c r="S34" t="s">
        <v>157</v>
      </c>
      <c r="T34">
        <v>190</v>
      </c>
      <c r="U34">
        <v>112</v>
      </c>
      <c r="V34">
        <v>1000000</v>
      </c>
      <c r="W34" t="s">
        <v>46</v>
      </c>
      <c r="Z34">
        <v>35</v>
      </c>
      <c r="AA34">
        <v>55</v>
      </c>
      <c r="AB34">
        <v>40</v>
      </c>
      <c r="AC34">
        <v>50</v>
      </c>
      <c r="AD34">
        <v>50</v>
      </c>
      <c r="AE34">
        <v>90</v>
      </c>
      <c r="AF34">
        <v>320</v>
      </c>
      <c r="AG34">
        <v>0</v>
      </c>
      <c r="AH34">
        <v>0</v>
      </c>
      <c r="AI34">
        <v>0</v>
      </c>
      <c r="AJ34">
        <v>0</v>
      </c>
      <c r="AK34">
        <v>0</v>
      </c>
      <c r="AL34">
        <v>2</v>
      </c>
    </row>
    <row r="35" spans="1:38" x14ac:dyDescent="0.25">
      <c r="A35" t="s">
        <v>159</v>
      </c>
      <c r="B35" t="s">
        <v>159</v>
      </c>
      <c r="C35" s="1">
        <v>26</v>
      </c>
      <c r="D35" s="1" t="s">
        <v>158</v>
      </c>
      <c r="E35">
        <v>1</v>
      </c>
      <c r="F35">
        <v>0.8</v>
      </c>
      <c r="G35">
        <v>30</v>
      </c>
      <c r="H35" t="s">
        <v>154</v>
      </c>
      <c r="J35" t="s">
        <v>155</v>
      </c>
      <c r="L35" t="s">
        <v>156</v>
      </c>
      <c r="M35" t="s">
        <v>106</v>
      </c>
      <c r="N35">
        <v>50</v>
      </c>
      <c r="O35">
        <v>50</v>
      </c>
      <c r="P35">
        <v>0</v>
      </c>
      <c r="Q35">
        <v>10</v>
      </c>
      <c r="R35" t="s">
        <v>132</v>
      </c>
      <c r="S35" t="s">
        <v>157</v>
      </c>
      <c r="T35">
        <v>75</v>
      </c>
      <c r="U35">
        <v>243</v>
      </c>
      <c r="V35">
        <v>1000000</v>
      </c>
      <c r="W35" t="s">
        <v>46</v>
      </c>
      <c r="Z35">
        <v>60</v>
      </c>
      <c r="AA35">
        <v>90</v>
      </c>
      <c r="AB35">
        <v>55</v>
      </c>
      <c r="AC35">
        <v>90</v>
      </c>
      <c r="AD35">
        <v>80</v>
      </c>
      <c r="AE35">
        <v>110</v>
      </c>
      <c r="AF35">
        <v>485</v>
      </c>
      <c r="AG35">
        <v>0</v>
      </c>
      <c r="AH35">
        <v>0</v>
      </c>
      <c r="AI35">
        <v>0</v>
      </c>
      <c r="AJ35">
        <v>0</v>
      </c>
      <c r="AK35">
        <v>0</v>
      </c>
      <c r="AL35">
        <v>3</v>
      </c>
    </row>
    <row r="36" spans="1:38" x14ac:dyDescent="0.25">
      <c r="A36" t="s">
        <v>159</v>
      </c>
      <c r="B36" t="s">
        <v>161</v>
      </c>
      <c r="C36" s="1">
        <v>26</v>
      </c>
      <c r="D36" s="1" t="s">
        <v>160</v>
      </c>
      <c r="E36">
        <v>7</v>
      </c>
      <c r="F36">
        <v>0.7</v>
      </c>
      <c r="G36">
        <v>21</v>
      </c>
      <c r="H36" t="s">
        <v>154</v>
      </c>
      <c r="I36" t="s">
        <v>162</v>
      </c>
      <c r="J36" t="s">
        <v>163</v>
      </c>
      <c r="M36" t="s">
        <v>103</v>
      </c>
      <c r="N36">
        <v>50</v>
      </c>
      <c r="O36">
        <v>50</v>
      </c>
      <c r="P36">
        <v>0</v>
      </c>
      <c r="Q36">
        <v>10</v>
      </c>
      <c r="R36" t="s">
        <v>132</v>
      </c>
      <c r="S36" t="s">
        <v>157</v>
      </c>
      <c r="T36">
        <v>75</v>
      </c>
      <c r="U36">
        <v>243</v>
      </c>
      <c r="V36">
        <v>1000000</v>
      </c>
      <c r="W36" t="s">
        <v>46</v>
      </c>
      <c r="Y36" t="s">
        <v>137</v>
      </c>
      <c r="Z36">
        <v>60</v>
      </c>
      <c r="AA36">
        <v>85</v>
      </c>
      <c r="AB36">
        <v>50</v>
      </c>
      <c r="AC36">
        <v>95</v>
      </c>
      <c r="AD36">
        <v>85</v>
      </c>
      <c r="AE36">
        <v>110</v>
      </c>
      <c r="AF36">
        <v>485</v>
      </c>
      <c r="AG36">
        <v>0</v>
      </c>
      <c r="AH36">
        <v>0</v>
      </c>
      <c r="AI36">
        <v>0</v>
      </c>
      <c r="AJ36">
        <v>0</v>
      </c>
      <c r="AK36">
        <v>0</v>
      </c>
      <c r="AL36">
        <v>3</v>
      </c>
    </row>
    <row r="37" spans="1:38" x14ac:dyDescent="0.25">
      <c r="A37" t="s">
        <v>165</v>
      </c>
      <c r="B37" t="s">
        <v>165</v>
      </c>
      <c r="C37" s="1">
        <v>27</v>
      </c>
      <c r="D37" s="1" t="s">
        <v>164</v>
      </c>
      <c r="E37">
        <v>1</v>
      </c>
      <c r="F37">
        <v>0.6</v>
      </c>
      <c r="G37">
        <v>12</v>
      </c>
      <c r="H37" t="s">
        <v>132</v>
      </c>
      <c r="J37" t="s">
        <v>166</v>
      </c>
      <c r="L37" t="s">
        <v>167</v>
      </c>
      <c r="M37" t="s">
        <v>106</v>
      </c>
      <c r="N37">
        <v>50</v>
      </c>
      <c r="O37">
        <v>50</v>
      </c>
      <c r="P37">
        <v>0</v>
      </c>
      <c r="Q37">
        <v>20</v>
      </c>
      <c r="R37" t="s">
        <v>132</v>
      </c>
      <c r="T37">
        <v>255</v>
      </c>
      <c r="U37">
        <v>60</v>
      </c>
      <c r="V37">
        <v>1000000</v>
      </c>
      <c r="W37" t="s">
        <v>46</v>
      </c>
      <c r="Z37">
        <v>50</v>
      </c>
      <c r="AA37">
        <v>75</v>
      </c>
      <c r="AB37">
        <v>85</v>
      </c>
      <c r="AC37">
        <v>20</v>
      </c>
      <c r="AD37">
        <v>30</v>
      </c>
      <c r="AE37">
        <v>40</v>
      </c>
      <c r="AF37">
        <v>300</v>
      </c>
      <c r="AG37">
        <v>0</v>
      </c>
      <c r="AH37">
        <v>0</v>
      </c>
      <c r="AI37">
        <v>1</v>
      </c>
      <c r="AJ37">
        <v>0</v>
      </c>
      <c r="AK37">
        <v>0</v>
      </c>
      <c r="AL37">
        <v>0</v>
      </c>
    </row>
    <row r="38" spans="1:38" x14ac:dyDescent="0.25">
      <c r="A38" t="s">
        <v>165</v>
      </c>
      <c r="B38" t="s">
        <v>169</v>
      </c>
      <c r="C38" s="1">
        <v>27</v>
      </c>
      <c r="D38" s="1" t="s">
        <v>168</v>
      </c>
      <c r="E38">
        <v>7</v>
      </c>
      <c r="F38">
        <v>0.7</v>
      </c>
      <c r="G38">
        <v>40</v>
      </c>
      <c r="H38" t="s">
        <v>170</v>
      </c>
      <c r="I38" t="s">
        <v>171</v>
      </c>
      <c r="J38" t="s">
        <v>172</v>
      </c>
      <c r="L38" t="s">
        <v>173</v>
      </c>
      <c r="M38" t="s">
        <v>100</v>
      </c>
      <c r="N38">
        <v>50</v>
      </c>
      <c r="O38">
        <v>50</v>
      </c>
      <c r="P38">
        <v>0</v>
      </c>
      <c r="Q38">
        <v>20</v>
      </c>
      <c r="R38" t="s">
        <v>132</v>
      </c>
      <c r="T38">
        <v>255</v>
      </c>
      <c r="U38">
        <v>60</v>
      </c>
      <c r="V38">
        <v>1000000</v>
      </c>
      <c r="W38" t="s">
        <v>46</v>
      </c>
      <c r="Y38" t="s">
        <v>137</v>
      </c>
      <c r="Z38">
        <v>50</v>
      </c>
      <c r="AA38">
        <v>75</v>
      </c>
      <c r="AB38">
        <v>90</v>
      </c>
      <c r="AC38">
        <v>10</v>
      </c>
      <c r="AD38">
        <v>35</v>
      </c>
      <c r="AE38">
        <v>40</v>
      </c>
      <c r="AF38">
        <v>300</v>
      </c>
      <c r="AG38">
        <v>0</v>
      </c>
      <c r="AH38">
        <v>0</v>
      </c>
      <c r="AI38">
        <v>1</v>
      </c>
      <c r="AJ38">
        <v>0</v>
      </c>
      <c r="AK38">
        <v>0</v>
      </c>
      <c r="AL38">
        <v>0</v>
      </c>
    </row>
    <row r="39" spans="1:38" x14ac:dyDescent="0.25">
      <c r="A39" t="s">
        <v>175</v>
      </c>
      <c r="B39" t="s">
        <v>175</v>
      </c>
      <c r="C39" s="1">
        <v>28</v>
      </c>
      <c r="D39" s="1" t="s">
        <v>174</v>
      </c>
      <c r="E39">
        <v>1</v>
      </c>
      <c r="F39">
        <v>1</v>
      </c>
      <c r="G39">
        <v>29.5</v>
      </c>
      <c r="H39" t="s">
        <v>132</v>
      </c>
      <c r="J39" t="s">
        <v>166</v>
      </c>
      <c r="L39" t="s">
        <v>167</v>
      </c>
      <c r="M39" t="s">
        <v>106</v>
      </c>
      <c r="N39">
        <v>50</v>
      </c>
      <c r="O39">
        <v>50</v>
      </c>
      <c r="P39">
        <v>0</v>
      </c>
      <c r="Q39">
        <v>20</v>
      </c>
      <c r="R39" t="s">
        <v>132</v>
      </c>
      <c r="T39">
        <v>90</v>
      </c>
      <c r="U39">
        <v>158</v>
      </c>
      <c r="V39">
        <v>1000000</v>
      </c>
      <c r="W39" t="s">
        <v>46</v>
      </c>
      <c r="Z39">
        <v>75</v>
      </c>
      <c r="AA39">
        <v>100</v>
      </c>
      <c r="AB39">
        <v>110</v>
      </c>
      <c r="AC39">
        <v>45</v>
      </c>
      <c r="AD39">
        <v>55</v>
      </c>
      <c r="AE39">
        <v>65</v>
      </c>
      <c r="AF39">
        <v>450</v>
      </c>
      <c r="AG39">
        <v>0</v>
      </c>
      <c r="AH39">
        <v>0</v>
      </c>
      <c r="AI39">
        <v>2</v>
      </c>
      <c r="AJ39">
        <v>0</v>
      </c>
      <c r="AK39">
        <v>0</v>
      </c>
      <c r="AL39">
        <v>0</v>
      </c>
    </row>
    <row r="40" spans="1:38" x14ac:dyDescent="0.25">
      <c r="A40" t="s">
        <v>175</v>
      </c>
      <c r="B40" t="s">
        <v>177</v>
      </c>
      <c r="C40" s="1">
        <v>28</v>
      </c>
      <c r="D40" s="1" t="s">
        <v>176</v>
      </c>
      <c r="E40">
        <v>7</v>
      </c>
      <c r="F40">
        <v>1.2</v>
      </c>
      <c r="G40">
        <v>55</v>
      </c>
      <c r="H40" t="s">
        <v>170</v>
      </c>
      <c r="I40" t="s">
        <v>171</v>
      </c>
      <c r="J40" t="s">
        <v>172</v>
      </c>
      <c r="L40" t="s">
        <v>173</v>
      </c>
      <c r="M40" t="s">
        <v>79</v>
      </c>
      <c r="N40">
        <v>50</v>
      </c>
      <c r="O40">
        <v>50</v>
      </c>
      <c r="P40">
        <v>0</v>
      </c>
      <c r="Q40">
        <v>20</v>
      </c>
      <c r="R40" t="s">
        <v>132</v>
      </c>
      <c r="T40">
        <v>90</v>
      </c>
      <c r="U40">
        <v>158</v>
      </c>
      <c r="V40">
        <v>1000000</v>
      </c>
      <c r="W40" t="s">
        <v>46</v>
      </c>
      <c r="Y40" t="s">
        <v>137</v>
      </c>
      <c r="Z40">
        <v>75</v>
      </c>
      <c r="AA40">
        <v>100</v>
      </c>
      <c r="AB40">
        <v>120</v>
      </c>
      <c r="AC40">
        <v>25</v>
      </c>
      <c r="AD40">
        <v>65</v>
      </c>
      <c r="AE40">
        <v>65</v>
      </c>
      <c r="AF40">
        <v>450</v>
      </c>
      <c r="AG40">
        <v>0</v>
      </c>
      <c r="AH40">
        <v>0</v>
      </c>
      <c r="AI40">
        <v>2</v>
      </c>
      <c r="AJ40">
        <v>0</v>
      </c>
      <c r="AK40">
        <v>0</v>
      </c>
      <c r="AL40">
        <v>0</v>
      </c>
    </row>
    <row r="41" spans="1:38" x14ac:dyDescent="0.25">
      <c r="A41" t="s">
        <v>179</v>
      </c>
      <c r="B41" t="s">
        <v>179</v>
      </c>
      <c r="C41" s="1">
        <v>29</v>
      </c>
      <c r="D41" s="1" t="s">
        <v>178</v>
      </c>
      <c r="E41">
        <v>1</v>
      </c>
      <c r="F41">
        <v>0.4</v>
      </c>
      <c r="G41">
        <v>7</v>
      </c>
      <c r="H41" t="s">
        <v>41</v>
      </c>
      <c r="J41" t="s">
        <v>180</v>
      </c>
      <c r="K41" t="s">
        <v>181</v>
      </c>
      <c r="L41" t="s">
        <v>130</v>
      </c>
      <c r="M41" t="s">
        <v>79</v>
      </c>
      <c r="N41">
        <v>0</v>
      </c>
      <c r="O41">
        <v>100</v>
      </c>
      <c r="P41">
        <v>0</v>
      </c>
      <c r="Q41">
        <v>20</v>
      </c>
      <c r="R41" t="s">
        <v>45</v>
      </c>
      <c r="S41" t="s">
        <v>132</v>
      </c>
      <c r="T41">
        <v>235</v>
      </c>
      <c r="U41">
        <v>55</v>
      </c>
      <c r="V41">
        <v>1059860</v>
      </c>
      <c r="W41" t="s">
        <v>46</v>
      </c>
      <c r="Z41">
        <v>55</v>
      </c>
      <c r="AA41">
        <v>47</v>
      </c>
      <c r="AB41">
        <v>52</v>
      </c>
      <c r="AC41">
        <v>40</v>
      </c>
      <c r="AD41">
        <v>40</v>
      </c>
      <c r="AE41">
        <v>41</v>
      </c>
      <c r="AF41">
        <v>275</v>
      </c>
      <c r="AG41">
        <v>1</v>
      </c>
      <c r="AH41">
        <v>0</v>
      </c>
      <c r="AI41">
        <v>0</v>
      </c>
      <c r="AJ41">
        <v>0</v>
      </c>
      <c r="AK41">
        <v>0</v>
      </c>
      <c r="AL41">
        <v>0</v>
      </c>
    </row>
    <row r="42" spans="1:38" x14ac:dyDescent="0.25">
      <c r="A42" t="s">
        <v>183</v>
      </c>
      <c r="B42" t="s">
        <v>183</v>
      </c>
      <c r="C42" s="1">
        <v>30</v>
      </c>
      <c r="D42" s="1" t="s">
        <v>182</v>
      </c>
      <c r="E42">
        <v>1</v>
      </c>
      <c r="F42">
        <v>0.8</v>
      </c>
      <c r="G42">
        <v>20</v>
      </c>
      <c r="H42" t="s">
        <v>41</v>
      </c>
      <c r="J42" t="s">
        <v>180</v>
      </c>
      <c r="K42" t="s">
        <v>181</v>
      </c>
      <c r="L42" t="s">
        <v>130</v>
      </c>
      <c r="M42" t="s">
        <v>79</v>
      </c>
      <c r="N42">
        <v>0</v>
      </c>
      <c r="O42">
        <v>100</v>
      </c>
      <c r="P42">
        <v>0</v>
      </c>
      <c r="Q42">
        <v>20</v>
      </c>
      <c r="R42" t="s">
        <v>184</v>
      </c>
      <c r="T42">
        <v>120</v>
      </c>
      <c r="U42">
        <v>128</v>
      </c>
      <c r="V42">
        <v>1059860</v>
      </c>
      <c r="W42" t="s">
        <v>46</v>
      </c>
      <c r="Z42">
        <v>70</v>
      </c>
      <c r="AA42">
        <v>62</v>
      </c>
      <c r="AB42">
        <v>67</v>
      </c>
      <c r="AC42">
        <v>55</v>
      </c>
      <c r="AD42">
        <v>55</v>
      </c>
      <c r="AE42">
        <v>56</v>
      </c>
      <c r="AF42">
        <v>365</v>
      </c>
      <c r="AG42">
        <v>2</v>
      </c>
      <c r="AH42">
        <v>0</v>
      </c>
      <c r="AI42">
        <v>0</v>
      </c>
      <c r="AJ42">
        <v>0</v>
      </c>
      <c r="AK42">
        <v>0</v>
      </c>
      <c r="AL42">
        <v>0</v>
      </c>
    </row>
    <row r="43" spans="1:38" x14ac:dyDescent="0.25">
      <c r="A43" t="s">
        <v>186</v>
      </c>
      <c r="B43" t="s">
        <v>186</v>
      </c>
      <c r="C43" s="1">
        <v>31</v>
      </c>
      <c r="D43" s="1" t="s">
        <v>185</v>
      </c>
      <c r="E43">
        <v>1</v>
      </c>
      <c r="F43">
        <v>1.3</v>
      </c>
      <c r="G43">
        <v>60</v>
      </c>
      <c r="H43" t="s">
        <v>41</v>
      </c>
      <c r="I43" t="s">
        <v>132</v>
      </c>
      <c r="J43" t="s">
        <v>180</v>
      </c>
      <c r="K43" t="s">
        <v>181</v>
      </c>
      <c r="L43" t="s">
        <v>187</v>
      </c>
      <c r="M43" t="s">
        <v>79</v>
      </c>
      <c r="N43">
        <v>0</v>
      </c>
      <c r="O43">
        <v>100</v>
      </c>
      <c r="P43">
        <v>0</v>
      </c>
      <c r="Q43">
        <v>20</v>
      </c>
      <c r="R43" t="s">
        <v>184</v>
      </c>
      <c r="T43">
        <v>45</v>
      </c>
      <c r="U43">
        <v>253</v>
      </c>
      <c r="V43">
        <v>1059860</v>
      </c>
      <c r="W43" t="s">
        <v>46</v>
      </c>
      <c r="Z43">
        <v>90</v>
      </c>
      <c r="AA43">
        <v>92</v>
      </c>
      <c r="AB43">
        <v>87</v>
      </c>
      <c r="AC43">
        <v>75</v>
      </c>
      <c r="AD43">
        <v>85</v>
      </c>
      <c r="AE43">
        <v>76</v>
      </c>
      <c r="AF43">
        <v>505</v>
      </c>
      <c r="AG43">
        <v>3</v>
      </c>
      <c r="AH43">
        <v>0</v>
      </c>
      <c r="AI43">
        <v>0</v>
      </c>
      <c r="AJ43">
        <v>0</v>
      </c>
      <c r="AK43">
        <v>0</v>
      </c>
      <c r="AL43">
        <v>0</v>
      </c>
    </row>
    <row r="44" spans="1:38" x14ac:dyDescent="0.25">
      <c r="A44" t="s">
        <v>189</v>
      </c>
      <c r="B44" t="s">
        <v>189</v>
      </c>
      <c r="C44" s="1">
        <v>32</v>
      </c>
      <c r="D44" s="1" t="s">
        <v>188</v>
      </c>
      <c r="E44">
        <v>1</v>
      </c>
      <c r="F44">
        <v>0.5</v>
      </c>
      <c r="G44">
        <v>9</v>
      </c>
      <c r="H44" t="s">
        <v>41</v>
      </c>
      <c r="J44" t="s">
        <v>180</v>
      </c>
      <c r="K44" t="s">
        <v>181</v>
      </c>
      <c r="L44" t="s">
        <v>130</v>
      </c>
      <c r="M44" t="s">
        <v>131</v>
      </c>
      <c r="N44">
        <v>100</v>
      </c>
      <c r="O44">
        <v>0</v>
      </c>
      <c r="P44">
        <v>0</v>
      </c>
      <c r="Q44">
        <v>20</v>
      </c>
      <c r="R44" t="s">
        <v>45</v>
      </c>
      <c r="S44" t="s">
        <v>132</v>
      </c>
      <c r="T44">
        <v>235</v>
      </c>
      <c r="U44">
        <v>55</v>
      </c>
      <c r="V44">
        <v>1059860</v>
      </c>
      <c r="W44" t="s">
        <v>46</v>
      </c>
      <c r="Z44">
        <v>46</v>
      </c>
      <c r="AA44">
        <v>57</v>
      </c>
      <c r="AB44">
        <v>40</v>
      </c>
      <c r="AC44">
        <v>40</v>
      </c>
      <c r="AD44">
        <v>40</v>
      </c>
      <c r="AE44">
        <v>50</v>
      </c>
      <c r="AF44">
        <v>273</v>
      </c>
      <c r="AG44">
        <v>0</v>
      </c>
      <c r="AH44">
        <v>1</v>
      </c>
      <c r="AI44">
        <v>0</v>
      </c>
      <c r="AJ44">
        <v>0</v>
      </c>
      <c r="AK44">
        <v>0</v>
      </c>
      <c r="AL44">
        <v>0</v>
      </c>
    </row>
    <row r="45" spans="1:38" x14ac:dyDescent="0.25">
      <c r="A45" t="s">
        <v>191</v>
      </c>
      <c r="B45" t="s">
        <v>191</v>
      </c>
      <c r="C45" s="1">
        <v>33</v>
      </c>
      <c r="D45" s="1" t="s">
        <v>190</v>
      </c>
      <c r="E45">
        <v>1</v>
      </c>
      <c r="F45">
        <v>0.9</v>
      </c>
      <c r="G45">
        <v>19.5</v>
      </c>
      <c r="H45" t="s">
        <v>41</v>
      </c>
      <c r="J45" t="s">
        <v>180</v>
      </c>
      <c r="K45" t="s">
        <v>181</v>
      </c>
      <c r="L45" t="s">
        <v>130</v>
      </c>
      <c r="M45" t="s">
        <v>131</v>
      </c>
      <c r="N45">
        <v>100</v>
      </c>
      <c r="O45">
        <v>0</v>
      </c>
      <c r="P45">
        <v>0</v>
      </c>
      <c r="Q45">
        <v>20</v>
      </c>
      <c r="R45" t="s">
        <v>45</v>
      </c>
      <c r="S45" t="s">
        <v>132</v>
      </c>
      <c r="T45">
        <v>120</v>
      </c>
      <c r="U45">
        <v>128</v>
      </c>
      <c r="V45">
        <v>1059860</v>
      </c>
      <c r="W45" t="s">
        <v>46</v>
      </c>
      <c r="Z45">
        <v>61</v>
      </c>
      <c r="AA45">
        <v>72</v>
      </c>
      <c r="AB45">
        <v>57</v>
      </c>
      <c r="AC45">
        <v>55</v>
      </c>
      <c r="AD45">
        <v>55</v>
      </c>
      <c r="AE45">
        <v>65</v>
      </c>
      <c r="AF45">
        <v>365</v>
      </c>
      <c r="AG45">
        <v>0</v>
      </c>
      <c r="AH45">
        <v>2</v>
      </c>
      <c r="AI45">
        <v>0</v>
      </c>
      <c r="AJ45">
        <v>0</v>
      </c>
      <c r="AK45">
        <v>0</v>
      </c>
      <c r="AL45">
        <v>0</v>
      </c>
    </row>
    <row r="46" spans="1:38" x14ac:dyDescent="0.25">
      <c r="A46" t="s">
        <v>193</v>
      </c>
      <c r="B46" t="s">
        <v>193</v>
      </c>
      <c r="C46" s="1">
        <v>34</v>
      </c>
      <c r="D46" s="1" t="s">
        <v>192</v>
      </c>
      <c r="E46">
        <v>1</v>
      </c>
      <c r="F46">
        <v>1.4</v>
      </c>
      <c r="G46">
        <v>62</v>
      </c>
      <c r="H46" t="s">
        <v>41</v>
      </c>
      <c r="I46" t="s">
        <v>132</v>
      </c>
      <c r="J46" t="s">
        <v>180</v>
      </c>
      <c r="K46" t="s">
        <v>181</v>
      </c>
      <c r="L46" t="s">
        <v>187</v>
      </c>
      <c r="M46" t="s">
        <v>131</v>
      </c>
      <c r="N46">
        <v>100</v>
      </c>
      <c r="O46">
        <v>0</v>
      </c>
      <c r="P46">
        <v>0</v>
      </c>
      <c r="Q46">
        <v>20</v>
      </c>
      <c r="R46" t="s">
        <v>45</v>
      </c>
      <c r="S46" t="s">
        <v>132</v>
      </c>
      <c r="T46">
        <v>45</v>
      </c>
      <c r="U46">
        <v>253</v>
      </c>
      <c r="V46">
        <v>1059860</v>
      </c>
      <c r="W46" t="s">
        <v>46</v>
      </c>
      <c r="Z46">
        <v>81</v>
      </c>
      <c r="AA46">
        <v>102</v>
      </c>
      <c r="AB46">
        <v>77</v>
      </c>
      <c r="AC46">
        <v>85</v>
      </c>
      <c r="AD46">
        <v>75</v>
      </c>
      <c r="AE46">
        <v>85</v>
      </c>
      <c r="AF46">
        <v>505</v>
      </c>
      <c r="AG46">
        <v>0</v>
      </c>
      <c r="AH46">
        <v>3</v>
      </c>
      <c r="AI46">
        <v>0</v>
      </c>
      <c r="AJ46">
        <v>0</v>
      </c>
      <c r="AK46">
        <v>0</v>
      </c>
      <c r="AL46">
        <v>0</v>
      </c>
    </row>
    <row r="47" spans="1:38" x14ac:dyDescent="0.25">
      <c r="A47" t="s">
        <v>195</v>
      </c>
      <c r="B47" t="s">
        <v>195</v>
      </c>
      <c r="C47" s="1">
        <v>35</v>
      </c>
      <c r="D47" s="1" t="s">
        <v>194</v>
      </c>
      <c r="E47">
        <v>1</v>
      </c>
      <c r="F47">
        <v>0.6</v>
      </c>
      <c r="G47">
        <v>7.5</v>
      </c>
      <c r="H47" t="s">
        <v>157</v>
      </c>
      <c r="J47" t="s">
        <v>196</v>
      </c>
      <c r="K47" t="s">
        <v>197</v>
      </c>
      <c r="L47" t="s">
        <v>198</v>
      </c>
      <c r="M47" t="s">
        <v>199</v>
      </c>
      <c r="N47">
        <v>25</v>
      </c>
      <c r="O47">
        <v>75</v>
      </c>
      <c r="P47">
        <v>0</v>
      </c>
      <c r="Q47">
        <v>10</v>
      </c>
      <c r="R47" t="s">
        <v>157</v>
      </c>
      <c r="T47">
        <v>150</v>
      </c>
      <c r="U47">
        <v>113</v>
      </c>
      <c r="V47">
        <v>800000</v>
      </c>
      <c r="W47" t="s">
        <v>46</v>
      </c>
      <c r="Z47">
        <v>70</v>
      </c>
      <c r="AA47">
        <v>45</v>
      </c>
      <c r="AB47">
        <v>48</v>
      </c>
      <c r="AC47">
        <v>60</v>
      </c>
      <c r="AD47">
        <v>65</v>
      </c>
      <c r="AE47">
        <v>35</v>
      </c>
      <c r="AF47">
        <v>323</v>
      </c>
      <c r="AG47">
        <v>2</v>
      </c>
      <c r="AH47">
        <v>0</v>
      </c>
      <c r="AI47">
        <v>0</v>
      </c>
      <c r="AJ47">
        <v>0</v>
      </c>
      <c r="AK47">
        <v>0</v>
      </c>
      <c r="AL47">
        <v>0</v>
      </c>
    </row>
    <row r="48" spans="1:38" x14ac:dyDescent="0.25">
      <c r="A48" t="s">
        <v>201</v>
      </c>
      <c r="B48" t="s">
        <v>201</v>
      </c>
      <c r="C48" s="1">
        <v>36</v>
      </c>
      <c r="D48" s="1" t="s">
        <v>200</v>
      </c>
      <c r="E48">
        <v>1</v>
      </c>
      <c r="F48">
        <v>1.3</v>
      </c>
      <c r="G48">
        <v>40</v>
      </c>
      <c r="H48" t="s">
        <v>157</v>
      </c>
      <c r="J48" t="s">
        <v>196</v>
      </c>
      <c r="K48" t="s">
        <v>197</v>
      </c>
      <c r="L48" t="s">
        <v>202</v>
      </c>
      <c r="M48" t="s">
        <v>199</v>
      </c>
      <c r="N48">
        <v>25</v>
      </c>
      <c r="O48">
        <v>75</v>
      </c>
      <c r="P48">
        <v>0</v>
      </c>
      <c r="Q48">
        <v>10</v>
      </c>
      <c r="R48" t="s">
        <v>157</v>
      </c>
      <c r="T48">
        <v>25</v>
      </c>
      <c r="U48">
        <v>242</v>
      </c>
      <c r="V48">
        <v>800000</v>
      </c>
      <c r="W48" t="s">
        <v>46</v>
      </c>
      <c r="Z48">
        <v>95</v>
      </c>
      <c r="AA48">
        <v>70</v>
      </c>
      <c r="AB48">
        <v>73</v>
      </c>
      <c r="AC48">
        <v>95</v>
      </c>
      <c r="AD48">
        <v>90</v>
      </c>
      <c r="AE48">
        <v>60</v>
      </c>
      <c r="AF48">
        <v>483</v>
      </c>
      <c r="AG48">
        <v>3</v>
      </c>
      <c r="AH48">
        <v>0</v>
      </c>
      <c r="AI48">
        <v>0</v>
      </c>
      <c r="AJ48">
        <v>0</v>
      </c>
      <c r="AK48">
        <v>0</v>
      </c>
      <c r="AL48">
        <v>0</v>
      </c>
    </row>
    <row r="49" spans="1:38" x14ac:dyDescent="0.25">
      <c r="A49" t="s">
        <v>204</v>
      </c>
      <c r="B49" t="s">
        <v>204</v>
      </c>
      <c r="C49" s="1">
        <v>37</v>
      </c>
      <c r="D49" s="1" t="s">
        <v>203</v>
      </c>
      <c r="E49">
        <v>1</v>
      </c>
      <c r="F49">
        <v>0.6</v>
      </c>
      <c r="G49">
        <v>9.9</v>
      </c>
      <c r="H49" t="s">
        <v>57</v>
      </c>
      <c r="J49" t="s">
        <v>205</v>
      </c>
      <c r="L49" t="s">
        <v>73</v>
      </c>
      <c r="M49" t="s">
        <v>103</v>
      </c>
      <c r="N49">
        <v>25</v>
      </c>
      <c r="O49">
        <v>75</v>
      </c>
      <c r="P49">
        <v>0</v>
      </c>
      <c r="Q49">
        <v>20</v>
      </c>
      <c r="R49" t="s">
        <v>132</v>
      </c>
      <c r="T49">
        <v>190</v>
      </c>
      <c r="U49">
        <v>60</v>
      </c>
      <c r="V49">
        <v>1000000</v>
      </c>
      <c r="W49" t="s">
        <v>46</v>
      </c>
      <c r="Z49">
        <v>38</v>
      </c>
      <c r="AA49">
        <v>41</v>
      </c>
      <c r="AB49">
        <v>40</v>
      </c>
      <c r="AC49">
        <v>50</v>
      </c>
      <c r="AD49">
        <v>65</v>
      </c>
      <c r="AE49">
        <v>65</v>
      </c>
      <c r="AF49">
        <v>299</v>
      </c>
      <c r="AG49">
        <v>0</v>
      </c>
      <c r="AH49">
        <v>0</v>
      </c>
      <c r="AI49">
        <v>0</v>
      </c>
      <c r="AJ49">
        <v>0</v>
      </c>
      <c r="AK49">
        <v>0</v>
      </c>
      <c r="AL49">
        <v>1</v>
      </c>
    </row>
    <row r="50" spans="1:38" x14ac:dyDescent="0.25">
      <c r="A50" t="s">
        <v>204</v>
      </c>
      <c r="B50" t="s">
        <v>207</v>
      </c>
      <c r="C50" s="1">
        <v>37</v>
      </c>
      <c r="D50" s="1" t="s">
        <v>206</v>
      </c>
      <c r="E50">
        <v>7</v>
      </c>
      <c r="F50">
        <v>0.6</v>
      </c>
      <c r="G50">
        <v>9.9</v>
      </c>
      <c r="H50" t="s">
        <v>170</v>
      </c>
      <c r="J50" t="s">
        <v>172</v>
      </c>
      <c r="L50" t="s">
        <v>208</v>
      </c>
      <c r="M50" t="s">
        <v>100</v>
      </c>
      <c r="N50">
        <v>25</v>
      </c>
      <c r="O50">
        <v>75</v>
      </c>
      <c r="P50">
        <v>0</v>
      </c>
      <c r="Q50">
        <v>20</v>
      </c>
      <c r="R50" t="s">
        <v>132</v>
      </c>
      <c r="T50">
        <v>190</v>
      </c>
      <c r="U50">
        <v>60</v>
      </c>
      <c r="V50">
        <v>1000000</v>
      </c>
      <c r="W50" t="s">
        <v>46</v>
      </c>
      <c r="Y50" t="s">
        <v>137</v>
      </c>
      <c r="Z50">
        <v>38</v>
      </c>
      <c r="AA50">
        <v>41</v>
      </c>
      <c r="AB50">
        <v>40</v>
      </c>
      <c r="AC50">
        <v>50</v>
      </c>
      <c r="AD50">
        <v>65</v>
      </c>
      <c r="AE50">
        <v>65</v>
      </c>
      <c r="AF50">
        <v>299</v>
      </c>
      <c r="AG50">
        <v>0</v>
      </c>
      <c r="AH50">
        <v>0</v>
      </c>
      <c r="AI50">
        <v>0</v>
      </c>
      <c r="AJ50">
        <v>0</v>
      </c>
      <c r="AK50">
        <v>0</v>
      </c>
      <c r="AL50">
        <v>1</v>
      </c>
    </row>
    <row r="51" spans="1:38" x14ac:dyDescent="0.25">
      <c r="A51" t="s">
        <v>210</v>
      </c>
      <c r="B51" t="s">
        <v>210</v>
      </c>
      <c r="C51" s="1">
        <v>38</v>
      </c>
      <c r="D51" s="1" t="s">
        <v>209</v>
      </c>
      <c r="E51">
        <v>1</v>
      </c>
      <c r="F51">
        <v>1.1000000000000001</v>
      </c>
      <c r="G51">
        <v>19.899999999999999</v>
      </c>
      <c r="H51" t="s">
        <v>57</v>
      </c>
      <c r="J51" t="s">
        <v>205</v>
      </c>
      <c r="L51" t="s">
        <v>73</v>
      </c>
      <c r="M51" t="s">
        <v>106</v>
      </c>
      <c r="N51">
        <v>25</v>
      </c>
      <c r="O51">
        <v>75</v>
      </c>
      <c r="P51">
        <v>0</v>
      </c>
      <c r="Q51">
        <v>20</v>
      </c>
      <c r="R51" t="s">
        <v>132</v>
      </c>
      <c r="T51">
        <v>75</v>
      </c>
      <c r="U51">
        <v>177</v>
      </c>
      <c r="V51">
        <v>1000000</v>
      </c>
      <c r="W51" t="s">
        <v>46</v>
      </c>
      <c r="Z51">
        <v>73</v>
      </c>
      <c r="AA51">
        <v>76</v>
      </c>
      <c r="AB51">
        <v>75</v>
      </c>
      <c r="AC51">
        <v>81</v>
      </c>
      <c r="AD51">
        <v>100</v>
      </c>
      <c r="AE51">
        <v>100</v>
      </c>
      <c r="AF51">
        <v>505</v>
      </c>
      <c r="AG51">
        <v>0</v>
      </c>
      <c r="AH51">
        <v>0</v>
      </c>
      <c r="AI51">
        <v>0</v>
      </c>
      <c r="AJ51">
        <v>0</v>
      </c>
      <c r="AK51">
        <v>1</v>
      </c>
      <c r="AL51">
        <v>1</v>
      </c>
    </row>
    <row r="52" spans="1:38" x14ac:dyDescent="0.25">
      <c r="A52" t="s">
        <v>210</v>
      </c>
      <c r="B52" t="s">
        <v>212</v>
      </c>
      <c r="C52" s="1">
        <v>38</v>
      </c>
      <c r="D52" s="1" t="s">
        <v>211</v>
      </c>
      <c r="E52">
        <v>7</v>
      </c>
      <c r="F52">
        <v>1.1000000000000001</v>
      </c>
      <c r="G52">
        <v>19.899999999999999</v>
      </c>
      <c r="H52" t="s">
        <v>170</v>
      </c>
      <c r="I52" t="s">
        <v>157</v>
      </c>
      <c r="J52" t="s">
        <v>172</v>
      </c>
      <c r="L52" t="s">
        <v>208</v>
      </c>
      <c r="M52" t="s">
        <v>79</v>
      </c>
      <c r="N52">
        <v>25</v>
      </c>
      <c r="O52">
        <v>75</v>
      </c>
      <c r="P52">
        <v>0</v>
      </c>
      <c r="Q52">
        <v>20</v>
      </c>
      <c r="R52" t="s">
        <v>132</v>
      </c>
      <c r="T52">
        <v>75</v>
      </c>
      <c r="U52">
        <v>177</v>
      </c>
      <c r="V52">
        <v>1000000</v>
      </c>
      <c r="W52" t="s">
        <v>46</v>
      </c>
      <c r="Y52" t="s">
        <v>137</v>
      </c>
      <c r="Z52">
        <v>73</v>
      </c>
      <c r="AA52">
        <v>67</v>
      </c>
      <c r="AB52">
        <v>75</v>
      </c>
      <c r="AC52">
        <v>81</v>
      </c>
      <c r="AD52">
        <v>100</v>
      </c>
      <c r="AE52">
        <v>109</v>
      </c>
      <c r="AF52">
        <v>505</v>
      </c>
      <c r="AG52">
        <v>0</v>
      </c>
      <c r="AH52">
        <v>0</v>
      </c>
      <c r="AI52">
        <v>0</v>
      </c>
      <c r="AJ52">
        <v>0</v>
      </c>
      <c r="AK52">
        <v>0</v>
      </c>
      <c r="AL52">
        <v>2</v>
      </c>
    </row>
    <row r="53" spans="1:38" x14ac:dyDescent="0.25">
      <c r="A53" t="s">
        <v>214</v>
      </c>
      <c r="B53" t="s">
        <v>214</v>
      </c>
      <c r="C53" s="1">
        <v>39</v>
      </c>
      <c r="D53" s="1" t="s">
        <v>213</v>
      </c>
      <c r="E53">
        <v>1</v>
      </c>
      <c r="F53">
        <v>0.5</v>
      </c>
      <c r="G53">
        <v>5.5</v>
      </c>
      <c r="H53" t="s">
        <v>116</v>
      </c>
      <c r="I53" t="s">
        <v>157</v>
      </c>
      <c r="J53" t="s">
        <v>196</v>
      </c>
      <c r="K53" t="s">
        <v>215</v>
      </c>
      <c r="L53" t="s">
        <v>198</v>
      </c>
      <c r="M53" t="s">
        <v>199</v>
      </c>
      <c r="N53">
        <v>25</v>
      </c>
      <c r="O53">
        <v>75</v>
      </c>
      <c r="P53">
        <v>0</v>
      </c>
      <c r="Q53">
        <v>10</v>
      </c>
      <c r="R53" t="s">
        <v>157</v>
      </c>
      <c r="T53">
        <v>170</v>
      </c>
      <c r="U53">
        <v>95</v>
      </c>
      <c r="V53">
        <v>800000</v>
      </c>
      <c r="W53" t="s">
        <v>46</v>
      </c>
      <c r="Z53">
        <v>115</v>
      </c>
      <c r="AA53">
        <v>45</v>
      </c>
      <c r="AB53">
        <v>20</v>
      </c>
      <c r="AC53">
        <v>45</v>
      </c>
      <c r="AD53">
        <v>25</v>
      </c>
      <c r="AE53">
        <v>20</v>
      </c>
      <c r="AF53">
        <v>270</v>
      </c>
      <c r="AG53">
        <v>2</v>
      </c>
      <c r="AH53">
        <v>0</v>
      </c>
      <c r="AI53">
        <v>0</v>
      </c>
      <c r="AJ53">
        <v>0</v>
      </c>
      <c r="AK53">
        <v>0</v>
      </c>
      <c r="AL53">
        <v>0</v>
      </c>
    </row>
    <row r="54" spans="1:38" x14ac:dyDescent="0.25">
      <c r="A54" t="s">
        <v>217</v>
      </c>
      <c r="B54" t="s">
        <v>217</v>
      </c>
      <c r="C54" s="1">
        <v>40</v>
      </c>
      <c r="D54" s="1" t="s">
        <v>216</v>
      </c>
      <c r="E54">
        <v>1</v>
      </c>
      <c r="F54">
        <v>1</v>
      </c>
      <c r="G54">
        <v>12</v>
      </c>
      <c r="H54" t="s">
        <v>116</v>
      </c>
      <c r="I54" t="s">
        <v>157</v>
      </c>
      <c r="J54" t="s">
        <v>196</v>
      </c>
      <c r="K54" t="s">
        <v>215</v>
      </c>
      <c r="L54" t="s">
        <v>218</v>
      </c>
      <c r="M54" t="s">
        <v>199</v>
      </c>
      <c r="N54">
        <v>25</v>
      </c>
      <c r="O54">
        <v>75</v>
      </c>
      <c r="P54">
        <v>0</v>
      </c>
      <c r="Q54">
        <v>10</v>
      </c>
      <c r="R54" t="s">
        <v>157</v>
      </c>
      <c r="T54">
        <v>50</v>
      </c>
      <c r="U54">
        <v>218</v>
      </c>
      <c r="V54">
        <v>800000</v>
      </c>
      <c r="W54" t="s">
        <v>46</v>
      </c>
      <c r="Z54">
        <v>140</v>
      </c>
      <c r="AA54">
        <v>70</v>
      </c>
      <c r="AB54">
        <v>45</v>
      </c>
      <c r="AC54">
        <v>85</v>
      </c>
      <c r="AD54">
        <v>50</v>
      </c>
      <c r="AE54">
        <v>45</v>
      </c>
      <c r="AF54">
        <v>435</v>
      </c>
      <c r="AG54">
        <v>3</v>
      </c>
      <c r="AH54">
        <v>0</v>
      </c>
      <c r="AI54">
        <v>0</v>
      </c>
      <c r="AJ54">
        <v>0</v>
      </c>
      <c r="AK54">
        <v>0</v>
      </c>
      <c r="AL54">
        <v>0</v>
      </c>
    </row>
    <row r="55" spans="1:38" x14ac:dyDescent="0.25">
      <c r="A55" t="s">
        <v>220</v>
      </c>
      <c r="B55" t="s">
        <v>220</v>
      </c>
      <c r="C55" s="1">
        <v>41</v>
      </c>
      <c r="D55" s="1" t="s">
        <v>219</v>
      </c>
      <c r="E55">
        <v>1</v>
      </c>
      <c r="F55">
        <v>0.8</v>
      </c>
      <c r="G55">
        <v>7.5</v>
      </c>
      <c r="H55" t="s">
        <v>41</v>
      </c>
      <c r="I55" t="s">
        <v>66</v>
      </c>
      <c r="J55" t="s">
        <v>221</v>
      </c>
      <c r="L55" t="s">
        <v>222</v>
      </c>
      <c r="M55" t="s">
        <v>131</v>
      </c>
      <c r="N55">
        <v>50</v>
      </c>
      <c r="O55">
        <v>50</v>
      </c>
      <c r="P55">
        <v>0</v>
      </c>
      <c r="Q55">
        <v>15</v>
      </c>
      <c r="R55" t="s">
        <v>66</v>
      </c>
      <c r="T55">
        <v>255</v>
      </c>
      <c r="U55">
        <v>49</v>
      </c>
      <c r="V55">
        <v>1000000</v>
      </c>
      <c r="W55" t="s">
        <v>46</v>
      </c>
      <c r="Z55">
        <v>40</v>
      </c>
      <c r="AA55">
        <v>45</v>
      </c>
      <c r="AB55">
        <v>35</v>
      </c>
      <c r="AC55">
        <v>30</v>
      </c>
      <c r="AD55">
        <v>40</v>
      </c>
      <c r="AE55">
        <v>55</v>
      </c>
      <c r="AF55">
        <v>245</v>
      </c>
      <c r="AG55">
        <v>0</v>
      </c>
      <c r="AH55">
        <v>0</v>
      </c>
      <c r="AI55">
        <v>0</v>
      </c>
      <c r="AJ55">
        <v>0</v>
      </c>
      <c r="AK55">
        <v>0</v>
      </c>
      <c r="AL55">
        <v>1</v>
      </c>
    </row>
    <row r="56" spans="1:38" x14ac:dyDescent="0.25">
      <c r="A56" t="s">
        <v>224</v>
      </c>
      <c r="B56" t="s">
        <v>224</v>
      </c>
      <c r="C56" s="1">
        <v>42</v>
      </c>
      <c r="D56" s="1" t="s">
        <v>223</v>
      </c>
      <c r="E56">
        <v>1</v>
      </c>
      <c r="F56">
        <v>1.6</v>
      </c>
      <c r="G56">
        <v>55</v>
      </c>
      <c r="H56" t="s">
        <v>41</v>
      </c>
      <c r="I56" t="s">
        <v>66</v>
      </c>
      <c r="J56" t="s">
        <v>221</v>
      </c>
      <c r="L56" t="s">
        <v>222</v>
      </c>
      <c r="M56" t="s">
        <v>131</v>
      </c>
      <c r="N56">
        <v>50</v>
      </c>
      <c r="O56">
        <v>50</v>
      </c>
      <c r="P56">
        <v>0</v>
      </c>
      <c r="Q56">
        <v>15</v>
      </c>
      <c r="R56" t="s">
        <v>66</v>
      </c>
      <c r="T56">
        <v>90</v>
      </c>
      <c r="U56">
        <v>159</v>
      </c>
      <c r="V56">
        <v>1000000</v>
      </c>
      <c r="W56" t="s">
        <v>46</v>
      </c>
      <c r="Z56">
        <v>75</v>
      </c>
      <c r="AA56">
        <v>80</v>
      </c>
      <c r="AB56">
        <v>70</v>
      </c>
      <c r="AC56">
        <v>65</v>
      </c>
      <c r="AD56">
        <v>75</v>
      </c>
      <c r="AE56">
        <v>90</v>
      </c>
      <c r="AF56">
        <v>455</v>
      </c>
      <c r="AG56">
        <v>0</v>
      </c>
      <c r="AH56">
        <v>0</v>
      </c>
      <c r="AI56">
        <v>0</v>
      </c>
      <c r="AJ56">
        <v>0</v>
      </c>
      <c r="AK56">
        <v>0</v>
      </c>
      <c r="AL56">
        <v>2</v>
      </c>
    </row>
    <row r="57" spans="1:38" x14ac:dyDescent="0.25">
      <c r="A57" t="s">
        <v>226</v>
      </c>
      <c r="B57" t="s">
        <v>226</v>
      </c>
      <c r="C57" s="1">
        <v>43</v>
      </c>
      <c r="D57" s="1" t="s">
        <v>225</v>
      </c>
      <c r="E57">
        <v>1</v>
      </c>
      <c r="F57">
        <v>0.5</v>
      </c>
      <c r="G57">
        <v>5.4</v>
      </c>
      <c r="H57" t="s">
        <v>40</v>
      </c>
      <c r="I57" t="s">
        <v>41</v>
      </c>
      <c r="J57" t="s">
        <v>43</v>
      </c>
      <c r="L57" t="s">
        <v>92</v>
      </c>
      <c r="M57" t="s">
        <v>79</v>
      </c>
      <c r="N57">
        <v>50</v>
      </c>
      <c r="O57">
        <v>50</v>
      </c>
      <c r="P57">
        <v>0</v>
      </c>
      <c r="Q57">
        <v>20</v>
      </c>
      <c r="R57" t="s">
        <v>40</v>
      </c>
      <c r="T57">
        <v>255</v>
      </c>
      <c r="U57">
        <v>64</v>
      </c>
      <c r="V57">
        <v>1059860</v>
      </c>
      <c r="W57" t="s">
        <v>46</v>
      </c>
      <c r="Z57">
        <v>45</v>
      </c>
      <c r="AA57">
        <v>50</v>
      </c>
      <c r="AB57">
        <v>55</v>
      </c>
      <c r="AC57">
        <v>75</v>
      </c>
      <c r="AD57">
        <v>65</v>
      </c>
      <c r="AE57">
        <v>30</v>
      </c>
      <c r="AF57">
        <v>320</v>
      </c>
      <c r="AG57">
        <v>0</v>
      </c>
      <c r="AH57">
        <v>0</v>
      </c>
      <c r="AI57">
        <v>0</v>
      </c>
      <c r="AJ57">
        <v>1</v>
      </c>
      <c r="AK57">
        <v>0</v>
      </c>
      <c r="AL57">
        <v>0</v>
      </c>
    </row>
    <row r="58" spans="1:38" x14ac:dyDescent="0.25">
      <c r="A58" t="s">
        <v>228</v>
      </c>
      <c r="B58" t="s">
        <v>228</v>
      </c>
      <c r="C58" s="1">
        <v>44</v>
      </c>
      <c r="D58" s="1" t="s">
        <v>227</v>
      </c>
      <c r="E58">
        <v>1</v>
      </c>
      <c r="F58">
        <v>0.8</v>
      </c>
      <c r="G58">
        <v>8.6</v>
      </c>
      <c r="H58" t="s">
        <v>40</v>
      </c>
      <c r="I58" t="s">
        <v>41</v>
      </c>
      <c r="J58" t="s">
        <v>43</v>
      </c>
      <c r="L58" t="s">
        <v>229</v>
      </c>
      <c r="M58" t="s">
        <v>79</v>
      </c>
      <c r="N58">
        <v>50</v>
      </c>
      <c r="O58">
        <v>50</v>
      </c>
      <c r="P58">
        <v>0</v>
      </c>
      <c r="Q58">
        <v>20</v>
      </c>
      <c r="R58" t="s">
        <v>40</v>
      </c>
      <c r="T58">
        <v>120</v>
      </c>
      <c r="U58">
        <v>138</v>
      </c>
      <c r="V58">
        <v>1059860</v>
      </c>
      <c r="W58" t="s">
        <v>46</v>
      </c>
      <c r="Z58">
        <v>60</v>
      </c>
      <c r="AA58">
        <v>65</v>
      </c>
      <c r="AB58">
        <v>70</v>
      </c>
      <c r="AC58">
        <v>85</v>
      </c>
      <c r="AD58">
        <v>75</v>
      </c>
      <c r="AE58">
        <v>40</v>
      </c>
      <c r="AF58">
        <v>395</v>
      </c>
      <c r="AG58">
        <v>0</v>
      </c>
      <c r="AH58">
        <v>0</v>
      </c>
      <c r="AI58">
        <v>0</v>
      </c>
      <c r="AJ58">
        <v>2</v>
      </c>
      <c r="AK58">
        <v>0</v>
      </c>
      <c r="AL58">
        <v>0</v>
      </c>
    </row>
    <row r="59" spans="1:38" x14ac:dyDescent="0.25">
      <c r="A59" t="s">
        <v>231</v>
      </c>
      <c r="B59" t="s">
        <v>231</v>
      </c>
      <c r="C59" s="1">
        <v>45</v>
      </c>
      <c r="D59" s="1" t="s">
        <v>230</v>
      </c>
      <c r="E59">
        <v>1</v>
      </c>
      <c r="F59">
        <v>1.2</v>
      </c>
      <c r="G59">
        <v>18.600000000000001</v>
      </c>
      <c r="H59" t="s">
        <v>40</v>
      </c>
      <c r="I59" t="s">
        <v>41</v>
      </c>
      <c r="J59" t="s">
        <v>43</v>
      </c>
      <c r="L59" t="s">
        <v>232</v>
      </c>
      <c r="M59" t="s">
        <v>60</v>
      </c>
      <c r="N59">
        <v>50</v>
      </c>
      <c r="O59">
        <v>50</v>
      </c>
      <c r="P59">
        <v>0</v>
      </c>
      <c r="Q59">
        <v>20</v>
      </c>
      <c r="R59" t="s">
        <v>40</v>
      </c>
      <c r="T59">
        <v>45</v>
      </c>
      <c r="U59">
        <v>245</v>
      </c>
      <c r="V59">
        <v>1059860</v>
      </c>
      <c r="W59" t="s">
        <v>46</v>
      </c>
      <c r="Z59">
        <v>75</v>
      </c>
      <c r="AA59">
        <v>80</v>
      </c>
      <c r="AB59">
        <v>85</v>
      </c>
      <c r="AC59">
        <v>110</v>
      </c>
      <c r="AD59">
        <v>90</v>
      </c>
      <c r="AE59">
        <v>50</v>
      </c>
      <c r="AF59">
        <v>490</v>
      </c>
      <c r="AG59">
        <v>0</v>
      </c>
      <c r="AH59">
        <v>0</v>
      </c>
      <c r="AI59">
        <v>0</v>
      </c>
      <c r="AJ59">
        <v>3</v>
      </c>
      <c r="AK59">
        <v>0</v>
      </c>
      <c r="AL59">
        <v>0</v>
      </c>
    </row>
    <row r="60" spans="1:38" x14ac:dyDescent="0.25">
      <c r="A60" t="s">
        <v>234</v>
      </c>
      <c r="B60" t="s">
        <v>234</v>
      </c>
      <c r="C60" s="1">
        <v>46</v>
      </c>
      <c r="D60" s="1" t="s">
        <v>233</v>
      </c>
      <c r="E60">
        <v>1</v>
      </c>
      <c r="F60">
        <v>0.3</v>
      </c>
      <c r="G60">
        <v>5.4</v>
      </c>
      <c r="H60" t="s">
        <v>90</v>
      </c>
      <c r="I60" t="s">
        <v>40</v>
      </c>
      <c r="J60" t="s">
        <v>232</v>
      </c>
      <c r="K60" t="s">
        <v>235</v>
      </c>
      <c r="L60" t="s">
        <v>236</v>
      </c>
      <c r="M60" t="s">
        <v>60</v>
      </c>
      <c r="N60">
        <v>50</v>
      </c>
      <c r="O60">
        <v>50</v>
      </c>
      <c r="P60">
        <v>0</v>
      </c>
      <c r="Q60">
        <v>20</v>
      </c>
      <c r="R60" t="s">
        <v>90</v>
      </c>
      <c r="S60" t="s">
        <v>40</v>
      </c>
      <c r="T60">
        <v>190</v>
      </c>
      <c r="U60">
        <v>57</v>
      </c>
      <c r="V60">
        <v>1000000</v>
      </c>
      <c r="W60" t="s">
        <v>46</v>
      </c>
      <c r="Z60">
        <v>35</v>
      </c>
      <c r="AA60">
        <v>70</v>
      </c>
      <c r="AB60">
        <v>55</v>
      </c>
      <c r="AC60">
        <v>45</v>
      </c>
      <c r="AD60">
        <v>55</v>
      </c>
      <c r="AE60">
        <v>25</v>
      </c>
      <c r="AF60">
        <v>285</v>
      </c>
      <c r="AG60">
        <v>0</v>
      </c>
      <c r="AH60">
        <v>1</v>
      </c>
      <c r="AI60">
        <v>0</v>
      </c>
      <c r="AJ60">
        <v>0</v>
      </c>
      <c r="AK60">
        <v>0</v>
      </c>
      <c r="AL60">
        <v>0</v>
      </c>
    </row>
    <row r="61" spans="1:38" x14ac:dyDescent="0.25">
      <c r="A61" t="s">
        <v>238</v>
      </c>
      <c r="B61" t="s">
        <v>238</v>
      </c>
      <c r="C61" s="1">
        <v>47</v>
      </c>
      <c r="D61" s="1" t="s">
        <v>237</v>
      </c>
      <c r="E61">
        <v>1</v>
      </c>
      <c r="F61">
        <v>1</v>
      </c>
      <c r="G61">
        <v>29.5</v>
      </c>
      <c r="H61" t="s">
        <v>90</v>
      </c>
      <c r="I61" t="s">
        <v>40</v>
      </c>
      <c r="J61" t="s">
        <v>232</v>
      </c>
      <c r="K61" t="s">
        <v>235</v>
      </c>
      <c r="L61" t="s">
        <v>236</v>
      </c>
      <c r="M61" t="s">
        <v>60</v>
      </c>
      <c r="N61">
        <v>50</v>
      </c>
      <c r="O61">
        <v>50</v>
      </c>
      <c r="P61">
        <v>0</v>
      </c>
      <c r="Q61">
        <v>20</v>
      </c>
      <c r="R61" t="s">
        <v>90</v>
      </c>
      <c r="S61" t="s">
        <v>40</v>
      </c>
      <c r="T61">
        <v>75</v>
      </c>
      <c r="U61">
        <v>142</v>
      </c>
      <c r="V61">
        <v>1000000</v>
      </c>
      <c r="W61" t="s">
        <v>46</v>
      </c>
      <c r="Z61">
        <v>60</v>
      </c>
      <c r="AA61">
        <v>95</v>
      </c>
      <c r="AB61">
        <v>80</v>
      </c>
      <c r="AC61">
        <v>60</v>
      </c>
      <c r="AD61">
        <v>80</v>
      </c>
      <c r="AE61">
        <v>30</v>
      </c>
      <c r="AF61">
        <v>405</v>
      </c>
      <c r="AG61">
        <v>0</v>
      </c>
      <c r="AH61">
        <v>2</v>
      </c>
      <c r="AI61">
        <v>1</v>
      </c>
      <c r="AJ61">
        <v>0</v>
      </c>
      <c r="AK61">
        <v>0</v>
      </c>
      <c r="AL61">
        <v>0</v>
      </c>
    </row>
    <row r="62" spans="1:38" x14ac:dyDescent="0.25">
      <c r="A62" t="s">
        <v>240</v>
      </c>
      <c r="B62" t="s">
        <v>240</v>
      </c>
      <c r="C62" s="1">
        <v>48</v>
      </c>
      <c r="D62" s="1" t="s">
        <v>239</v>
      </c>
      <c r="E62">
        <v>1</v>
      </c>
      <c r="F62">
        <v>1</v>
      </c>
      <c r="G62">
        <v>30</v>
      </c>
      <c r="H62" t="s">
        <v>90</v>
      </c>
      <c r="I62" t="s">
        <v>41</v>
      </c>
      <c r="J62" t="s">
        <v>98</v>
      </c>
      <c r="K62" t="s">
        <v>99</v>
      </c>
      <c r="L62" t="s">
        <v>92</v>
      </c>
      <c r="M62" t="s">
        <v>131</v>
      </c>
      <c r="N62">
        <v>50</v>
      </c>
      <c r="O62">
        <v>50</v>
      </c>
      <c r="P62">
        <v>0</v>
      </c>
      <c r="Q62">
        <v>20</v>
      </c>
      <c r="R62" t="s">
        <v>90</v>
      </c>
      <c r="T62">
        <v>190</v>
      </c>
      <c r="U62">
        <v>61</v>
      </c>
      <c r="V62">
        <v>1000000</v>
      </c>
      <c r="W62" t="s">
        <v>46</v>
      </c>
      <c r="Z62">
        <v>60</v>
      </c>
      <c r="AA62">
        <v>55</v>
      </c>
      <c r="AB62">
        <v>50</v>
      </c>
      <c r="AC62">
        <v>40</v>
      </c>
      <c r="AD62">
        <v>55</v>
      </c>
      <c r="AE62">
        <v>45</v>
      </c>
      <c r="AF62">
        <v>305</v>
      </c>
      <c r="AG62">
        <v>0</v>
      </c>
      <c r="AH62">
        <v>0</v>
      </c>
      <c r="AI62">
        <v>0</v>
      </c>
      <c r="AJ62">
        <v>0</v>
      </c>
      <c r="AK62">
        <v>1</v>
      </c>
      <c r="AL62">
        <v>0</v>
      </c>
    </row>
    <row r="63" spans="1:38" x14ac:dyDescent="0.25">
      <c r="A63" t="s">
        <v>242</v>
      </c>
      <c r="B63" t="s">
        <v>242</v>
      </c>
      <c r="C63" s="1">
        <v>49</v>
      </c>
      <c r="D63" s="1" t="s">
        <v>241</v>
      </c>
      <c r="E63">
        <v>1</v>
      </c>
      <c r="F63">
        <v>1.5</v>
      </c>
      <c r="G63">
        <v>12.5</v>
      </c>
      <c r="H63" t="s">
        <v>90</v>
      </c>
      <c r="I63" t="s">
        <v>41</v>
      </c>
      <c r="J63" t="s">
        <v>91</v>
      </c>
      <c r="K63" t="s">
        <v>99</v>
      </c>
      <c r="L63" t="s">
        <v>243</v>
      </c>
      <c r="M63" t="s">
        <v>131</v>
      </c>
      <c r="N63">
        <v>50</v>
      </c>
      <c r="O63">
        <v>50</v>
      </c>
      <c r="P63">
        <v>0</v>
      </c>
      <c r="Q63">
        <v>20</v>
      </c>
      <c r="R63" t="s">
        <v>90</v>
      </c>
      <c r="T63">
        <v>75</v>
      </c>
      <c r="U63">
        <v>158</v>
      </c>
      <c r="V63">
        <v>1000000</v>
      </c>
      <c r="W63" t="s">
        <v>46</v>
      </c>
      <c r="Z63">
        <v>70</v>
      </c>
      <c r="AA63">
        <v>65</v>
      </c>
      <c r="AB63">
        <v>60</v>
      </c>
      <c r="AC63">
        <v>90</v>
      </c>
      <c r="AD63">
        <v>75</v>
      </c>
      <c r="AE63">
        <v>90</v>
      </c>
      <c r="AF63">
        <v>450</v>
      </c>
      <c r="AG63">
        <v>0</v>
      </c>
      <c r="AH63">
        <v>0</v>
      </c>
      <c r="AI63">
        <v>0</v>
      </c>
      <c r="AJ63">
        <v>1</v>
      </c>
      <c r="AK63">
        <v>0</v>
      </c>
      <c r="AL63">
        <v>1</v>
      </c>
    </row>
    <row r="64" spans="1:38" x14ac:dyDescent="0.25">
      <c r="A64" t="s">
        <v>245</v>
      </c>
      <c r="B64" t="s">
        <v>245</v>
      </c>
      <c r="C64" s="1">
        <v>50</v>
      </c>
      <c r="D64" s="1" t="s">
        <v>244</v>
      </c>
      <c r="E64">
        <v>1</v>
      </c>
      <c r="F64">
        <v>0.2</v>
      </c>
      <c r="G64">
        <v>0.8</v>
      </c>
      <c r="H64" t="s">
        <v>132</v>
      </c>
      <c r="J64" t="s">
        <v>166</v>
      </c>
      <c r="K64" t="s">
        <v>246</v>
      </c>
      <c r="L64" t="s">
        <v>247</v>
      </c>
      <c r="M64" t="s">
        <v>103</v>
      </c>
      <c r="N64">
        <v>50</v>
      </c>
      <c r="O64">
        <v>50</v>
      </c>
      <c r="P64">
        <v>0</v>
      </c>
      <c r="Q64">
        <v>20</v>
      </c>
      <c r="R64" t="s">
        <v>132</v>
      </c>
      <c r="T64">
        <v>255</v>
      </c>
      <c r="U64">
        <v>53</v>
      </c>
      <c r="V64">
        <v>1000000</v>
      </c>
      <c r="W64" t="s">
        <v>46</v>
      </c>
      <c r="Z64">
        <v>10</v>
      </c>
      <c r="AA64">
        <v>55</v>
      </c>
      <c r="AB64">
        <v>25</v>
      </c>
      <c r="AC64">
        <v>35</v>
      </c>
      <c r="AD64">
        <v>45</v>
      </c>
      <c r="AE64">
        <v>95</v>
      </c>
      <c r="AF64">
        <v>265</v>
      </c>
      <c r="AG64">
        <v>0</v>
      </c>
      <c r="AH64">
        <v>0</v>
      </c>
      <c r="AI64">
        <v>0</v>
      </c>
      <c r="AJ64">
        <v>0</v>
      </c>
      <c r="AK64">
        <v>0</v>
      </c>
      <c r="AL64">
        <v>1</v>
      </c>
    </row>
    <row r="65" spans="1:38" x14ac:dyDescent="0.25">
      <c r="A65" t="s">
        <v>245</v>
      </c>
      <c r="B65" t="s">
        <v>249</v>
      </c>
      <c r="C65" s="1">
        <v>50</v>
      </c>
      <c r="D65" s="1" t="s">
        <v>248</v>
      </c>
      <c r="E65">
        <v>7</v>
      </c>
      <c r="F65">
        <v>0.2</v>
      </c>
      <c r="G65">
        <v>1</v>
      </c>
      <c r="H65" t="s">
        <v>132</v>
      </c>
      <c r="I65" t="s">
        <v>171</v>
      </c>
      <c r="J65" t="s">
        <v>166</v>
      </c>
      <c r="K65" t="s">
        <v>250</v>
      </c>
      <c r="L65" t="s">
        <v>247</v>
      </c>
      <c r="M65" t="s">
        <v>103</v>
      </c>
      <c r="N65">
        <v>50</v>
      </c>
      <c r="O65">
        <v>50</v>
      </c>
      <c r="P65">
        <v>0</v>
      </c>
      <c r="Q65">
        <v>20</v>
      </c>
      <c r="R65" t="s">
        <v>132</v>
      </c>
      <c r="T65">
        <v>255</v>
      </c>
      <c r="U65">
        <v>53</v>
      </c>
      <c r="V65">
        <v>1000000</v>
      </c>
      <c r="W65" t="s">
        <v>46</v>
      </c>
      <c r="Y65" t="s">
        <v>137</v>
      </c>
      <c r="Z65">
        <v>10</v>
      </c>
      <c r="AA65">
        <v>55</v>
      </c>
      <c r="AB65">
        <v>30</v>
      </c>
      <c r="AC65">
        <v>35</v>
      </c>
      <c r="AD65">
        <v>45</v>
      </c>
      <c r="AE65">
        <v>90</v>
      </c>
      <c r="AF65">
        <v>265</v>
      </c>
      <c r="AG65">
        <v>0</v>
      </c>
      <c r="AH65">
        <v>0</v>
      </c>
      <c r="AI65">
        <v>0</v>
      </c>
      <c r="AJ65">
        <v>0</v>
      </c>
      <c r="AK65">
        <v>0</v>
      </c>
      <c r="AL65">
        <v>1</v>
      </c>
    </row>
    <row r="66" spans="1:38" x14ac:dyDescent="0.25">
      <c r="A66" t="s">
        <v>252</v>
      </c>
      <c r="B66" t="s">
        <v>252</v>
      </c>
      <c r="C66" s="1">
        <v>51</v>
      </c>
      <c r="D66" s="1" t="s">
        <v>251</v>
      </c>
      <c r="E66">
        <v>1</v>
      </c>
      <c r="F66">
        <v>0.7</v>
      </c>
      <c r="G66">
        <v>33.299999999999997</v>
      </c>
      <c r="H66" t="s">
        <v>132</v>
      </c>
      <c r="J66" t="s">
        <v>166</v>
      </c>
      <c r="K66" t="s">
        <v>246</v>
      </c>
      <c r="L66" t="s">
        <v>247</v>
      </c>
      <c r="M66" t="s">
        <v>103</v>
      </c>
      <c r="N66">
        <v>50</v>
      </c>
      <c r="O66">
        <v>50</v>
      </c>
      <c r="P66">
        <v>0</v>
      </c>
      <c r="Q66">
        <v>20</v>
      </c>
      <c r="R66" t="s">
        <v>132</v>
      </c>
      <c r="T66">
        <v>50</v>
      </c>
      <c r="U66">
        <v>149</v>
      </c>
      <c r="V66">
        <v>1000000</v>
      </c>
      <c r="W66" t="s">
        <v>46</v>
      </c>
      <c r="Z66">
        <v>35</v>
      </c>
      <c r="AA66">
        <v>100</v>
      </c>
      <c r="AB66">
        <v>50</v>
      </c>
      <c r="AC66">
        <v>50</v>
      </c>
      <c r="AD66">
        <v>70</v>
      </c>
      <c r="AE66">
        <v>120</v>
      </c>
      <c r="AF66">
        <v>425</v>
      </c>
      <c r="AG66">
        <v>0</v>
      </c>
      <c r="AH66">
        <v>0</v>
      </c>
      <c r="AI66">
        <v>0</v>
      </c>
      <c r="AJ66">
        <v>0</v>
      </c>
      <c r="AK66">
        <v>0</v>
      </c>
      <c r="AL66">
        <v>2</v>
      </c>
    </row>
    <row r="67" spans="1:38" x14ac:dyDescent="0.25">
      <c r="A67" t="s">
        <v>252</v>
      </c>
      <c r="B67" t="s">
        <v>254</v>
      </c>
      <c r="C67" s="1">
        <v>51</v>
      </c>
      <c r="D67" s="1" t="s">
        <v>253</v>
      </c>
      <c r="E67">
        <v>7</v>
      </c>
      <c r="F67">
        <v>0.7</v>
      </c>
      <c r="G67">
        <v>66.599999999999994</v>
      </c>
      <c r="H67" t="s">
        <v>132</v>
      </c>
      <c r="I67" t="s">
        <v>171</v>
      </c>
      <c r="J67" t="s">
        <v>166</v>
      </c>
      <c r="K67" t="s">
        <v>250</v>
      </c>
      <c r="L67" t="s">
        <v>247</v>
      </c>
      <c r="M67" t="s">
        <v>103</v>
      </c>
      <c r="N67">
        <v>50</v>
      </c>
      <c r="O67">
        <v>50</v>
      </c>
      <c r="P67">
        <v>0</v>
      </c>
      <c r="Q67">
        <v>20</v>
      </c>
      <c r="R67" t="s">
        <v>132</v>
      </c>
      <c r="T67">
        <v>50</v>
      </c>
      <c r="U67">
        <v>149</v>
      </c>
      <c r="V67">
        <v>1000000</v>
      </c>
      <c r="W67" t="s">
        <v>46</v>
      </c>
      <c r="Y67" t="s">
        <v>137</v>
      </c>
      <c r="Z67">
        <v>35</v>
      </c>
      <c r="AA67">
        <v>100</v>
      </c>
      <c r="AB67">
        <v>60</v>
      </c>
      <c r="AC67">
        <v>50</v>
      </c>
      <c r="AD67">
        <v>70</v>
      </c>
      <c r="AE67">
        <v>110</v>
      </c>
      <c r="AF67">
        <v>425</v>
      </c>
      <c r="AG67">
        <v>0</v>
      </c>
      <c r="AH67">
        <v>2</v>
      </c>
      <c r="AI67">
        <v>0</v>
      </c>
      <c r="AJ67">
        <v>0</v>
      </c>
      <c r="AK67">
        <v>0</v>
      </c>
      <c r="AL67">
        <v>0</v>
      </c>
    </row>
    <row r="68" spans="1:38" x14ac:dyDescent="0.25">
      <c r="A68" t="s">
        <v>256</v>
      </c>
      <c r="B68" t="s">
        <v>256</v>
      </c>
      <c r="C68" s="1">
        <v>52</v>
      </c>
      <c r="D68" s="1" t="s">
        <v>255</v>
      </c>
      <c r="E68">
        <v>1</v>
      </c>
      <c r="F68">
        <v>0.4</v>
      </c>
      <c r="G68">
        <v>4.2</v>
      </c>
      <c r="H68" t="s">
        <v>116</v>
      </c>
      <c r="J68" t="s">
        <v>257</v>
      </c>
      <c r="K68" t="s">
        <v>258</v>
      </c>
      <c r="L68" t="s">
        <v>149</v>
      </c>
      <c r="M68" t="s">
        <v>106</v>
      </c>
      <c r="N68">
        <v>50</v>
      </c>
      <c r="O68">
        <v>50</v>
      </c>
      <c r="P68">
        <v>0</v>
      </c>
      <c r="Q68">
        <v>20</v>
      </c>
      <c r="R68" t="s">
        <v>132</v>
      </c>
      <c r="T68">
        <v>255</v>
      </c>
      <c r="U68">
        <v>58</v>
      </c>
      <c r="V68">
        <v>1000000</v>
      </c>
      <c r="W68" t="s">
        <v>46</v>
      </c>
      <c r="Z68">
        <v>40</v>
      </c>
      <c r="AA68">
        <v>45</v>
      </c>
      <c r="AB68">
        <v>35</v>
      </c>
      <c r="AC68">
        <v>40</v>
      </c>
      <c r="AD68">
        <v>40</v>
      </c>
      <c r="AE68">
        <v>90</v>
      </c>
      <c r="AF68">
        <v>290</v>
      </c>
      <c r="AG68">
        <v>0</v>
      </c>
      <c r="AH68">
        <v>0</v>
      </c>
      <c r="AI68">
        <v>0</v>
      </c>
      <c r="AJ68">
        <v>0</v>
      </c>
      <c r="AK68">
        <v>0</v>
      </c>
      <c r="AL68">
        <v>1</v>
      </c>
    </row>
    <row r="69" spans="1:38" x14ac:dyDescent="0.25">
      <c r="A69" t="s">
        <v>256</v>
      </c>
      <c r="B69" t="s">
        <v>260</v>
      </c>
      <c r="C69" s="1">
        <v>52</v>
      </c>
      <c r="D69" s="1" t="s">
        <v>259</v>
      </c>
      <c r="E69">
        <v>7</v>
      </c>
      <c r="F69">
        <v>0.4</v>
      </c>
      <c r="G69">
        <v>4.2</v>
      </c>
      <c r="H69" t="s">
        <v>135</v>
      </c>
      <c r="J69" t="s">
        <v>257</v>
      </c>
      <c r="K69" t="s">
        <v>258</v>
      </c>
      <c r="L69" t="s">
        <v>261</v>
      </c>
      <c r="M69" t="s">
        <v>79</v>
      </c>
      <c r="N69">
        <v>50</v>
      </c>
      <c r="O69">
        <v>50</v>
      </c>
      <c r="P69">
        <v>0</v>
      </c>
      <c r="Q69">
        <v>20</v>
      </c>
      <c r="R69" t="s">
        <v>132</v>
      </c>
      <c r="T69">
        <v>255</v>
      </c>
      <c r="U69">
        <v>58</v>
      </c>
      <c r="V69">
        <v>1000000</v>
      </c>
      <c r="W69" t="s">
        <v>46</v>
      </c>
      <c r="Y69" t="s">
        <v>137</v>
      </c>
      <c r="Z69">
        <v>40</v>
      </c>
      <c r="AA69">
        <v>35</v>
      </c>
      <c r="AB69">
        <v>35</v>
      </c>
      <c r="AC69">
        <v>50</v>
      </c>
      <c r="AD69">
        <v>40</v>
      </c>
      <c r="AE69">
        <v>90</v>
      </c>
      <c r="AF69">
        <v>290</v>
      </c>
      <c r="AG69">
        <v>0</v>
      </c>
      <c r="AH69">
        <v>0</v>
      </c>
      <c r="AI69">
        <v>0</v>
      </c>
      <c r="AJ69">
        <v>0</v>
      </c>
      <c r="AK69">
        <v>0</v>
      </c>
      <c r="AL69">
        <v>1</v>
      </c>
    </row>
    <row r="70" spans="1:38" x14ac:dyDescent="0.25">
      <c r="A70" t="s">
        <v>256</v>
      </c>
      <c r="B70" t="s">
        <v>263</v>
      </c>
      <c r="C70" s="1">
        <v>52</v>
      </c>
      <c r="D70" s="1" t="s">
        <v>262</v>
      </c>
      <c r="E70">
        <v>8</v>
      </c>
      <c r="F70">
        <v>0.4</v>
      </c>
      <c r="G70">
        <v>7.5</v>
      </c>
      <c r="H70" t="s">
        <v>171</v>
      </c>
      <c r="J70" t="s">
        <v>257</v>
      </c>
      <c r="K70" t="s">
        <v>69</v>
      </c>
      <c r="L70" t="s">
        <v>149</v>
      </c>
      <c r="M70" t="s">
        <v>103</v>
      </c>
      <c r="N70">
        <v>50</v>
      </c>
      <c r="O70">
        <v>50</v>
      </c>
      <c r="P70">
        <v>0</v>
      </c>
      <c r="Q70">
        <v>20</v>
      </c>
      <c r="R70" t="s">
        <v>132</v>
      </c>
      <c r="T70">
        <v>255</v>
      </c>
      <c r="U70">
        <v>58</v>
      </c>
      <c r="V70">
        <v>1000000</v>
      </c>
      <c r="W70" t="s">
        <v>46</v>
      </c>
      <c r="Y70" t="s">
        <v>264</v>
      </c>
      <c r="Z70">
        <v>50</v>
      </c>
      <c r="AA70">
        <v>65</v>
      </c>
      <c r="AB70">
        <v>55</v>
      </c>
      <c r="AC70">
        <v>40</v>
      </c>
      <c r="AD70">
        <v>40</v>
      </c>
      <c r="AE70">
        <v>40</v>
      </c>
      <c r="AF70">
        <v>290</v>
      </c>
      <c r="AG70">
        <v>0</v>
      </c>
      <c r="AH70">
        <v>1</v>
      </c>
      <c r="AI70">
        <v>0</v>
      </c>
      <c r="AJ70">
        <v>0</v>
      </c>
      <c r="AK70">
        <v>0</v>
      </c>
      <c r="AL70">
        <v>0</v>
      </c>
    </row>
    <row r="71" spans="1:38" x14ac:dyDescent="0.25">
      <c r="A71" t="s">
        <v>266</v>
      </c>
      <c r="B71" t="s">
        <v>266</v>
      </c>
      <c r="C71" s="1">
        <v>53</v>
      </c>
      <c r="D71" s="1" t="s">
        <v>265</v>
      </c>
      <c r="E71">
        <v>1</v>
      </c>
      <c r="F71">
        <v>1</v>
      </c>
      <c r="G71">
        <v>32</v>
      </c>
      <c r="H71" t="s">
        <v>116</v>
      </c>
      <c r="J71" t="s">
        <v>267</v>
      </c>
      <c r="K71" t="s">
        <v>258</v>
      </c>
      <c r="L71" t="s">
        <v>149</v>
      </c>
      <c r="M71" t="s">
        <v>106</v>
      </c>
      <c r="N71">
        <v>50</v>
      </c>
      <c r="O71">
        <v>50</v>
      </c>
      <c r="P71">
        <v>0</v>
      </c>
      <c r="Q71">
        <v>20</v>
      </c>
      <c r="R71" t="s">
        <v>132</v>
      </c>
      <c r="T71">
        <v>90</v>
      </c>
      <c r="U71">
        <v>154</v>
      </c>
      <c r="V71">
        <v>1000000</v>
      </c>
      <c r="W71" t="s">
        <v>46</v>
      </c>
      <c r="Z71">
        <v>65</v>
      </c>
      <c r="AA71">
        <v>70</v>
      </c>
      <c r="AB71">
        <v>60</v>
      </c>
      <c r="AC71">
        <v>65</v>
      </c>
      <c r="AD71">
        <v>65</v>
      </c>
      <c r="AE71">
        <v>115</v>
      </c>
      <c r="AF71">
        <v>440</v>
      </c>
      <c r="AG71">
        <v>0</v>
      </c>
      <c r="AH71">
        <v>0</v>
      </c>
      <c r="AI71">
        <v>0</v>
      </c>
      <c r="AJ71">
        <v>0</v>
      </c>
      <c r="AK71">
        <v>0</v>
      </c>
      <c r="AL71">
        <v>2</v>
      </c>
    </row>
    <row r="72" spans="1:38" x14ac:dyDescent="0.25">
      <c r="A72" t="s">
        <v>266</v>
      </c>
      <c r="B72" t="s">
        <v>269</v>
      </c>
      <c r="C72" s="1">
        <v>53</v>
      </c>
      <c r="D72" s="1" t="s">
        <v>268</v>
      </c>
      <c r="E72">
        <v>7</v>
      </c>
      <c r="F72">
        <v>1.1000000000000001</v>
      </c>
      <c r="G72">
        <v>33</v>
      </c>
      <c r="H72" t="s">
        <v>135</v>
      </c>
      <c r="J72" t="s">
        <v>270</v>
      </c>
      <c r="K72" t="s">
        <v>258</v>
      </c>
      <c r="L72" t="s">
        <v>261</v>
      </c>
      <c r="M72" t="s">
        <v>79</v>
      </c>
      <c r="N72">
        <v>50</v>
      </c>
      <c r="O72">
        <v>50</v>
      </c>
      <c r="P72">
        <v>0</v>
      </c>
      <c r="Q72">
        <v>20</v>
      </c>
      <c r="R72" t="s">
        <v>132</v>
      </c>
      <c r="T72">
        <v>90</v>
      </c>
      <c r="U72">
        <v>154</v>
      </c>
      <c r="V72">
        <v>1000000</v>
      </c>
      <c r="W72" t="s">
        <v>46</v>
      </c>
      <c r="Y72" t="s">
        <v>137</v>
      </c>
      <c r="Z72">
        <v>65</v>
      </c>
      <c r="AA72">
        <v>60</v>
      </c>
      <c r="AB72">
        <v>60</v>
      </c>
      <c r="AC72">
        <v>75</v>
      </c>
      <c r="AD72">
        <v>65</v>
      </c>
      <c r="AE72">
        <v>115</v>
      </c>
      <c r="AF72">
        <v>440</v>
      </c>
      <c r="AG72">
        <v>0</v>
      </c>
      <c r="AH72">
        <v>0</v>
      </c>
      <c r="AI72">
        <v>0</v>
      </c>
      <c r="AJ72">
        <v>0</v>
      </c>
      <c r="AK72">
        <v>0</v>
      </c>
      <c r="AL72">
        <v>2</v>
      </c>
    </row>
    <row r="73" spans="1:38" x14ac:dyDescent="0.25">
      <c r="A73" t="s">
        <v>272</v>
      </c>
      <c r="B73" t="s">
        <v>272</v>
      </c>
      <c r="C73" s="1">
        <v>54</v>
      </c>
      <c r="D73" s="1" t="s">
        <v>271</v>
      </c>
      <c r="E73">
        <v>1</v>
      </c>
      <c r="F73">
        <v>0.8</v>
      </c>
      <c r="G73">
        <v>19.600000000000001</v>
      </c>
      <c r="H73" t="s">
        <v>76</v>
      </c>
      <c r="J73" t="s">
        <v>236</v>
      </c>
      <c r="K73" t="s">
        <v>273</v>
      </c>
      <c r="L73" t="s">
        <v>274</v>
      </c>
      <c r="M73" t="s">
        <v>106</v>
      </c>
      <c r="N73">
        <v>50</v>
      </c>
      <c r="O73">
        <v>50</v>
      </c>
      <c r="P73">
        <v>0</v>
      </c>
      <c r="Q73">
        <v>20</v>
      </c>
      <c r="R73" t="s">
        <v>80</v>
      </c>
      <c r="S73" t="s">
        <v>132</v>
      </c>
      <c r="T73">
        <v>190</v>
      </c>
      <c r="U73">
        <v>64</v>
      </c>
      <c r="V73">
        <v>1000000</v>
      </c>
      <c r="W73" t="s">
        <v>46</v>
      </c>
      <c r="Z73">
        <v>50</v>
      </c>
      <c r="AA73">
        <v>52</v>
      </c>
      <c r="AB73">
        <v>48</v>
      </c>
      <c r="AC73">
        <v>65</v>
      </c>
      <c r="AD73">
        <v>50</v>
      </c>
      <c r="AE73">
        <v>55</v>
      </c>
      <c r="AF73">
        <v>320</v>
      </c>
      <c r="AG73">
        <v>0</v>
      </c>
      <c r="AH73">
        <v>0</v>
      </c>
      <c r="AI73">
        <v>0</v>
      </c>
      <c r="AJ73">
        <v>1</v>
      </c>
      <c r="AK73">
        <v>0</v>
      </c>
      <c r="AL73">
        <v>0</v>
      </c>
    </row>
    <row r="74" spans="1:38" x14ac:dyDescent="0.25">
      <c r="A74" t="s">
        <v>276</v>
      </c>
      <c r="B74" t="s">
        <v>276</v>
      </c>
      <c r="C74" s="1">
        <v>55</v>
      </c>
      <c r="D74" s="1" t="s">
        <v>275</v>
      </c>
      <c r="E74">
        <v>1</v>
      </c>
      <c r="F74">
        <v>1.7</v>
      </c>
      <c r="G74">
        <v>76.599999999999994</v>
      </c>
      <c r="H74" t="s">
        <v>76</v>
      </c>
      <c r="J74" t="s">
        <v>236</v>
      </c>
      <c r="K74" t="s">
        <v>273</v>
      </c>
      <c r="L74" t="s">
        <v>274</v>
      </c>
      <c r="M74" t="s">
        <v>79</v>
      </c>
      <c r="N74">
        <v>50</v>
      </c>
      <c r="O74">
        <v>50</v>
      </c>
      <c r="P74">
        <v>0</v>
      </c>
      <c r="Q74">
        <v>20</v>
      </c>
      <c r="R74" t="s">
        <v>80</v>
      </c>
      <c r="S74" t="s">
        <v>132</v>
      </c>
      <c r="T74">
        <v>75</v>
      </c>
      <c r="U74">
        <v>175</v>
      </c>
      <c r="V74">
        <v>1000000</v>
      </c>
      <c r="W74" t="s">
        <v>46</v>
      </c>
      <c r="Z74">
        <v>80</v>
      </c>
      <c r="AA74">
        <v>82</v>
      </c>
      <c r="AB74">
        <v>78</v>
      </c>
      <c r="AC74">
        <v>95</v>
      </c>
      <c r="AD74">
        <v>80</v>
      </c>
      <c r="AE74">
        <v>85</v>
      </c>
      <c r="AF74">
        <v>500</v>
      </c>
      <c r="AG74">
        <v>0</v>
      </c>
      <c r="AH74">
        <v>0</v>
      </c>
      <c r="AI74">
        <v>0</v>
      </c>
      <c r="AJ74">
        <v>2</v>
      </c>
      <c r="AK74">
        <v>0</v>
      </c>
      <c r="AL74">
        <v>0</v>
      </c>
    </row>
    <row r="75" spans="1:38" x14ac:dyDescent="0.25">
      <c r="A75" t="s">
        <v>278</v>
      </c>
      <c r="B75" t="s">
        <v>278</v>
      </c>
      <c r="C75" s="1">
        <v>56</v>
      </c>
      <c r="D75" s="1" t="s">
        <v>277</v>
      </c>
      <c r="E75">
        <v>1</v>
      </c>
      <c r="F75">
        <v>0.5</v>
      </c>
      <c r="G75">
        <v>28</v>
      </c>
      <c r="H75" t="s">
        <v>279</v>
      </c>
      <c r="J75" t="s">
        <v>280</v>
      </c>
      <c r="K75" t="s">
        <v>281</v>
      </c>
      <c r="L75" t="s">
        <v>282</v>
      </c>
      <c r="M75" t="s">
        <v>103</v>
      </c>
      <c r="N75">
        <v>50</v>
      </c>
      <c r="O75">
        <v>50</v>
      </c>
      <c r="P75">
        <v>0</v>
      </c>
      <c r="Q75">
        <v>20</v>
      </c>
      <c r="R75" t="s">
        <v>132</v>
      </c>
      <c r="T75">
        <v>190</v>
      </c>
      <c r="U75">
        <v>61</v>
      </c>
      <c r="V75">
        <v>1000000</v>
      </c>
      <c r="W75" t="s">
        <v>46</v>
      </c>
      <c r="Z75">
        <v>40</v>
      </c>
      <c r="AA75">
        <v>80</v>
      </c>
      <c r="AB75">
        <v>35</v>
      </c>
      <c r="AC75">
        <v>35</v>
      </c>
      <c r="AD75">
        <v>45</v>
      </c>
      <c r="AE75">
        <v>70</v>
      </c>
      <c r="AF75">
        <v>305</v>
      </c>
      <c r="AG75">
        <v>0</v>
      </c>
      <c r="AH75">
        <v>1</v>
      </c>
      <c r="AI75">
        <v>0</v>
      </c>
      <c r="AJ75">
        <v>0</v>
      </c>
      <c r="AK75">
        <v>0</v>
      </c>
      <c r="AL75">
        <v>0</v>
      </c>
    </row>
    <row r="76" spans="1:38" x14ac:dyDescent="0.25">
      <c r="A76" t="s">
        <v>284</v>
      </c>
      <c r="B76" t="s">
        <v>284</v>
      </c>
      <c r="C76" s="1">
        <v>57</v>
      </c>
      <c r="D76" s="1" t="s">
        <v>283</v>
      </c>
      <c r="E76">
        <v>1</v>
      </c>
      <c r="F76">
        <v>1</v>
      </c>
      <c r="G76">
        <v>32</v>
      </c>
      <c r="H76" t="s">
        <v>279</v>
      </c>
      <c r="J76" t="s">
        <v>280</v>
      </c>
      <c r="K76" t="s">
        <v>281</v>
      </c>
      <c r="L76" t="s">
        <v>282</v>
      </c>
      <c r="M76" t="s">
        <v>103</v>
      </c>
      <c r="N76">
        <v>50</v>
      </c>
      <c r="O76">
        <v>50</v>
      </c>
      <c r="P76">
        <v>0</v>
      </c>
      <c r="Q76">
        <v>20</v>
      </c>
      <c r="R76" t="s">
        <v>132</v>
      </c>
      <c r="T76">
        <v>75</v>
      </c>
      <c r="U76">
        <v>159</v>
      </c>
      <c r="V76">
        <v>1000000</v>
      </c>
      <c r="W76" t="s">
        <v>46</v>
      </c>
      <c r="Z76">
        <v>65</v>
      </c>
      <c r="AA76">
        <v>105</v>
      </c>
      <c r="AB76">
        <v>60</v>
      </c>
      <c r="AC76">
        <v>60</v>
      </c>
      <c r="AD76">
        <v>70</v>
      </c>
      <c r="AE76">
        <v>95</v>
      </c>
      <c r="AF76">
        <v>455</v>
      </c>
      <c r="AG76">
        <v>0</v>
      </c>
      <c r="AH76">
        <v>2</v>
      </c>
      <c r="AI76">
        <v>0</v>
      </c>
      <c r="AJ76">
        <v>0</v>
      </c>
      <c r="AK76">
        <v>0</v>
      </c>
      <c r="AL76">
        <v>0</v>
      </c>
    </row>
    <row r="77" spans="1:38" x14ac:dyDescent="0.25">
      <c r="A77" t="s">
        <v>286</v>
      </c>
      <c r="B77" t="s">
        <v>286</v>
      </c>
      <c r="C77" s="1">
        <v>58</v>
      </c>
      <c r="D77" s="1" t="s">
        <v>285</v>
      </c>
      <c r="E77">
        <v>1</v>
      </c>
      <c r="F77">
        <v>0.7</v>
      </c>
      <c r="G77">
        <v>19</v>
      </c>
      <c r="H77" t="s">
        <v>57</v>
      </c>
      <c r="J77" t="s">
        <v>148</v>
      </c>
      <c r="K77" t="s">
        <v>205</v>
      </c>
      <c r="L77" t="s">
        <v>287</v>
      </c>
      <c r="M77" t="s">
        <v>103</v>
      </c>
      <c r="N77">
        <v>75</v>
      </c>
      <c r="O77">
        <v>25</v>
      </c>
      <c r="P77">
        <v>0</v>
      </c>
      <c r="Q77">
        <v>20</v>
      </c>
      <c r="R77" t="s">
        <v>132</v>
      </c>
      <c r="T77">
        <v>190</v>
      </c>
      <c r="U77">
        <v>70</v>
      </c>
      <c r="V77">
        <v>1250000</v>
      </c>
      <c r="W77" t="s">
        <v>46</v>
      </c>
      <c r="Z77">
        <v>55</v>
      </c>
      <c r="AA77">
        <v>70</v>
      </c>
      <c r="AB77">
        <v>45</v>
      </c>
      <c r="AC77">
        <v>70</v>
      </c>
      <c r="AD77">
        <v>50</v>
      </c>
      <c r="AE77">
        <v>60</v>
      </c>
      <c r="AF77">
        <v>350</v>
      </c>
      <c r="AG77">
        <v>0</v>
      </c>
      <c r="AH77">
        <v>1</v>
      </c>
      <c r="AI77">
        <v>0</v>
      </c>
      <c r="AJ77">
        <v>0</v>
      </c>
      <c r="AK77">
        <v>0</v>
      </c>
      <c r="AL77">
        <v>0</v>
      </c>
    </row>
    <row r="78" spans="1:38" x14ac:dyDescent="0.25">
      <c r="A78" t="s">
        <v>286</v>
      </c>
      <c r="B78" t="s">
        <v>289</v>
      </c>
      <c r="C78" s="1">
        <v>58</v>
      </c>
      <c r="D78" s="1" t="s">
        <v>288</v>
      </c>
      <c r="E78">
        <v>8</v>
      </c>
      <c r="F78">
        <v>0.8</v>
      </c>
      <c r="G78">
        <v>22.7</v>
      </c>
      <c r="H78" t="s">
        <v>57</v>
      </c>
      <c r="I78" t="s">
        <v>290</v>
      </c>
      <c r="J78" t="s">
        <v>148</v>
      </c>
      <c r="K78" t="s">
        <v>205</v>
      </c>
      <c r="L78" t="s">
        <v>291</v>
      </c>
      <c r="M78" t="s">
        <v>103</v>
      </c>
      <c r="N78">
        <v>75</v>
      </c>
      <c r="O78">
        <v>25</v>
      </c>
      <c r="P78">
        <v>0</v>
      </c>
      <c r="Q78">
        <v>20</v>
      </c>
      <c r="R78" t="s">
        <v>132</v>
      </c>
      <c r="T78">
        <v>190</v>
      </c>
      <c r="U78">
        <v>70</v>
      </c>
      <c r="V78">
        <v>1250000</v>
      </c>
      <c r="W78" t="s">
        <v>46</v>
      </c>
      <c r="Y78" t="s">
        <v>292</v>
      </c>
      <c r="Z78">
        <v>60</v>
      </c>
      <c r="AA78">
        <v>75</v>
      </c>
      <c r="AB78">
        <v>45</v>
      </c>
      <c r="AC78">
        <v>65</v>
      </c>
      <c r="AD78">
        <v>50</v>
      </c>
      <c r="AE78">
        <v>55</v>
      </c>
      <c r="AF78">
        <v>350</v>
      </c>
      <c r="AG78">
        <v>0</v>
      </c>
      <c r="AH78">
        <v>1</v>
      </c>
      <c r="AI78">
        <v>0</v>
      </c>
      <c r="AJ78">
        <v>0</v>
      </c>
      <c r="AK78">
        <v>0</v>
      </c>
      <c r="AL78">
        <v>0</v>
      </c>
    </row>
    <row r="79" spans="1:38" x14ac:dyDescent="0.25">
      <c r="A79" t="s">
        <v>294</v>
      </c>
      <c r="B79" t="s">
        <v>294</v>
      </c>
      <c r="C79" s="1">
        <v>59</v>
      </c>
      <c r="D79" s="1" t="s">
        <v>293</v>
      </c>
      <c r="E79">
        <v>1</v>
      </c>
      <c r="F79">
        <v>1.9</v>
      </c>
      <c r="G79">
        <v>155</v>
      </c>
      <c r="H79" t="s">
        <v>57</v>
      </c>
      <c r="J79" t="s">
        <v>148</v>
      </c>
      <c r="K79" t="s">
        <v>205</v>
      </c>
      <c r="L79" t="s">
        <v>287</v>
      </c>
      <c r="M79" t="s">
        <v>103</v>
      </c>
      <c r="N79">
        <v>75</v>
      </c>
      <c r="O79">
        <v>25</v>
      </c>
      <c r="P79">
        <v>0</v>
      </c>
      <c r="Q79">
        <v>20</v>
      </c>
      <c r="R79" t="s">
        <v>132</v>
      </c>
      <c r="T79">
        <v>75</v>
      </c>
      <c r="U79">
        <v>194</v>
      </c>
      <c r="V79">
        <v>1250000</v>
      </c>
      <c r="W79" t="s">
        <v>46</v>
      </c>
      <c r="Z79">
        <v>90</v>
      </c>
      <c r="AA79">
        <v>110</v>
      </c>
      <c r="AB79">
        <v>80</v>
      </c>
      <c r="AC79">
        <v>100</v>
      </c>
      <c r="AD79">
        <v>80</v>
      </c>
      <c r="AE79">
        <v>95</v>
      </c>
      <c r="AF79">
        <v>555</v>
      </c>
      <c r="AG79">
        <v>0</v>
      </c>
      <c r="AH79">
        <v>2</v>
      </c>
      <c r="AI79">
        <v>0</v>
      </c>
      <c r="AJ79">
        <v>0</v>
      </c>
      <c r="AK79">
        <v>0</v>
      </c>
      <c r="AL79">
        <v>0</v>
      </c>
    </row>
    <row r="80" spans="1:38" x14ac:dyDescent="0.25">
      <c r="A80" t="s">
        <v>294</v>
      </c>
      <c r="B80" t="s">
        <v>296</v>
      </c>
      <c r="C80" s="1">
        <v>59</v>
      </c>
      <c r="D80" s="1" t="s">
        <v>295</v>
      </c>
      <c r="E80">
        <v>8</v>
      </c>
      <c r="F80">
        <v>2</v>
      </c>
      <c r="G80">
        <v>168</v>
      </c>
      <c r="H80" t="s">
        <v>57</v>
      </c>
      <c r="I80" t="s">
        <v>290</v>
      </c>
      <c r="J80" t="s">
        <v>148</v>
      </c>
      <c r="K80" t="s">
        <v>205</v>
      </c>
      <c r="L80" t="s">
        <v>291</v>
      </c>
      <c r="M80" t="s">
        <v>103</v>
      </c>
      <c r="N80">
        <v>75</v>
      </c>
      <c r="O80">
        <v>25</v>
      </c>
      <c r="P80">
        <v>0</v>
      </c>
      <c r="Q80">
        <v>20</v>
      </c>
      <c r="R80" t="s">
        <v>132</v>
      </c>
      <c r="T80">
        <v>75</v>
      </c>
      <c r="U80">
        <v>194</v>
      </c>
      <c r="V80">
        <v>1250000</v>
      </c>
      <c r="W80" t="s">
        <v>46</v>
      </c>
      <c r="Y80" t="s">
        <v>292</v>
      </c>
      <c r="Z80">
        <v>95</v>
      </c>
      <c r="AA80">
        <v>115</v>
      </c>
      <c r="AB80">
        <v>80</v>
      </c>
      <c r="AC80">
        <v>95</v>
      </c>
      <c r="AD80">
        <v>80</v>
      </c>
      <c r="AE80">
        <v>90</v>
      </c>
      <c r="AF80">
        <v>555</v>
      </c>
      <c r="AG80">
        <v>0</v>
      </c>
      <c r="AH80">
        <v>2</v>
      </c>
      <c r="AI80">
        <v>0</v>
      </c>
      <c r="AJ80">
        <v>0</v>
      </c>
      <c r="AK80">
        <v>0</v>
      </c>
      <c r="AL80">
        <v>0</v>
      </c>
    </row>
    <row r="81" spans="1:38" x14ac:dyDescent="0.25">
      <c r="A81" t="s">
        <v>298</v>
      </c>
      <c r="B81" t="s">
        <v>298</v>
      </c>
      <c r="C81" s="1">
        <v>60</v>
      </c>
      <c r="D81" s="1" t="s">
        <v>297</v>
      </c>
      <c r="E81">
        <v>1</v>
      </c>
      <c r="F81">
        <v>0.6</v>
      </c>
      <c r="G81">
        <v>12.4</v>
      </c>
      <c r="H81" t="s">
        <v>76</v>
      </c>
      <c r="J81" t="s">
        <v>299</v>
      </c>
      <c r="K81" t="s">
        <v>236</v>
      </c>
      <c r="L81" t="s">
        <v>274</v>
      </c>
      <c r="M81" t="s">
        <v>79</v>
      </c>
      <c r="N81">
        <v>50</v>
      </c>
      <c r="O81">
        <v>50</v>
      </c>
      <c r="P81">
        <v>0</v>
      </c>
      <c r="Q81">
        <v>20</v>
      </c>
      <c r="R81" t="s">
        <v>80</v>
      </c>
      <c r="T81">
        <v>255</v>
      </c>
      <c r="U81">
        <v>60</v>
      </c>
      <c r="V81">
        <v>1059860</v>
      </c>
      <c r="W81" t="s">
        <v>46</v>
      </c>
      <c r="Z81">
        <v>40</v>
      </c>
      <c r="AA81">
        <v>50</v>
      </c>
      <c r="AB81">
        <v>40</v>
      </c>
      <c r="AC81">
        <v>40</v>
      </c>
      <c r="AD81">
        <v>40</v>
      </c>
      <c r="AE81">
        <v>90</v>
      </c>
      <c r="AF81">
        <v>300</v>
      </c>
      <c r="AG81">
        <v>0</v>
      </c>
      <c r="AH81">
        <v>0</v>
      </c>
      <c r="AI81">
        <v>0</v>
      </c>
      <c r="AJ81">
        <v>0</v>
      </c>
      <c r="AK81">
        <v>0</v>
      </c>
      <c r="AL81">
        <v>1</v>
      </c>
    </row>
    <row r="82" spans="1:38" x14ac:dyDescent="0.25">
      <c r="A82" t="s">
        <v>301</v>
      </c>
      <c r="B82" t="s">
        <v>301</v>
      </c>
      <c r="C82" s="1">
        <v>61</v>
      </c>
      <c r="D82" s="1" t="s">
        <v>300</v>
      </c>
      <c r="E82">
        <v>1</v>
      </c>
      <c r="F82">
        <v>1</v>
      </c>
      <c r="G82">
        <v>20</v>
      </c>
      <c r="H82" t="s">
        <v>76</v>
      </c>
      <c r="J82" t="s">
        <v>299</v>
      </c>
      <c r="K82" t="s">
        <v>236</v>
      </c>
      <c r="L82" t="s">
        <v>274</v>
      </c>
      <c r="M82" t="s">
        <v>79</v>
      </c>
      <c r="N82">
        <v>50</v>
      </c>
      <c r="O82">
        <v>50</v>
      </c>
      <c r="P82">
        <v>0</v>
      </c>
      <c r="Q82">
        <v>20</v>
      </c>
      <c r="R82" t="s">
        <v>80</v>
      </c>
      <c r="T82">
        <v>120</v>
      </c>
      <c r="U82">
        <v>135</v>
      </c>
      <c r="V82">
        <v>1059860</v>
      </c>
      <c r="W82" t="s">
        <v>46</v>
      </c>
      <c r="Z82">
        <v>65</v>
      </c>
      <c r="AA82">
        <v>65</v>
      </c>
      <c r="AB82">
        <v>65</v>
      </c>
      <c r="AC82">
        <v>50</v>
      </c>
      <c r="AD82">
        <v>50</v>
      </c>
      <c r="AE82">
        <v>90</v>
      </c>
      <c r="AF82">
        <v>385</v>
      </c>
      <c r="AG82">
        <v>0</v>
      </c>
      <c r="AH82">
        <v>0</v>
      </c>
      <c r="AI82">
        <v>0</v>
      </c>
      <c r="AJ82">
        <v>0</v>
      </c>
      <c r="AK82">
        <v>0</v>
      </c>
      <c r="AL82">
        <v>2</v>
      </c>
    </row>
    <row r="83" spans="1:38" x14ac:dyDescent="0.25">
      <c r="A83" t="s">
        <v>303</v>
      </c>
      <c r="B83" t="s">
        <v>303</v>
      </c>
      <c r="C83" s="1">
        <v>62</v>
      </c>
      <c r="D83" s="1" t="s">
        <v>302</v>
      </c>
      <c r="E83">
        <v>1</v>
      </c>
      <c r="F83">
        <v>1.3</v>
      </c>
      <c r="G83">
        <v>54</v>
      </c>
      <c r="H83" t="s">
        <v>76</v>
      </c>
      <c r="I83" t="s">
        <v>279</v>
      </c>
      <c r="J83" t="s">
        <v>299</v>
      </c>
      <c r="K83" t="s">
        <v>236</v>
      </c>
      <c r="L83" t="s">
        <v>274</v>
      </c>
      <c r="M83" t="s">
        <v>79</v>
      </c>
      <c r="N83">
        <v>50</v>
      </c>
      <c r="O83">
        <v>50</v>
      </c>
      <c r="P83">
        <v>0</v>
      </c>
      <c r="Q83">
        <v>20</v>
      </c>
      <c r="R83" t="s">
        <v>80</v>
      </c>
      <c r="T83">
        <v>45</v>
      </c>
      <c r="U83">
        <v>255</v>
      </c>
      <c r="V83">
        <v>1059860</v>
      </c>
      <c r="W83" t="s">
        <v>46</v>
      </c>
      <c r="Z83">
        <v>90</v>
      </c>
      <c r="AA83">
        <v>95</v>
      </c>
      <c r="AB83">
        <v>95</v>
      </c>
      <c r="AC83">
        <v>70</v>
      </c>
      <c r="AD83">
        <v>90</v>
      </c>
      <c r="AE83">
        <v>70</v>
      </c>
      <c r="AF83">
        <v>510</v>
      </c>
      <c r="AG83">
        <v>0</v>
      </c>
      <c r="AH83">
        <v>0</v>
      </c>
      <c r="AI83">
        <v>3</v>
      </c>
      <c r="AJ83">
        <v>0</v>
      </c>
      <c r="AK83">
        <v>0</v>
      </c>
      <c r="AL83">
        <v>0</v>
      </c>
    </row>
    <row r="84" spans="1:38" x14ac:dyDescent="0.25">
      <c r="A84" t="s">
        <v>305</v>
      </c>
      <c r="B84" t="s">
        <v>305</v>
      </c>
      <c r="C84" s="1">
        <v>63</v>
      </c>
      <c r="D84" s="1" t="s">
        <v>304</v>
      </c>
      <c r="E84">
        <v>1</v>
      </c>
      <c r="F84">
        <v>0.9</v>
      </c>
      <c r="G84">
        <v>19.5</v>
      </c>
      <c r="H84" t="s">
        <v>162</v>
      </c>
      <c r="J84" t="s">
        <v>306</v>
      </c>
      <c r="K84" t="s">
        <v>221</v>
      </c>
      <c r="L84" t="s">
        <v>197</v>
      </c>
      <c r="M84" t="s">
        <v>103</v>
      </c>
      <c r="N84">
        <v>75</v>
      </c>
      <c r="O84">
        <v>25</v>
      </c>
      <c r="P84">
        <v>0</v>
      </c>
      <c r="Q84">
        <v>20</v>
      </c>
      <c r="R84" t="s">
        <v>307</v>
      </c>
      <c r="T84">
        <v>200</v>
      </c>
      <c r="U84">
        <v>62</v>
      </c>
      <c r="V84">
        <v>1059860</v>
      </c>
      <c r="W84" t="s">
        <v>46</v>
      </c>
      <c r="Z84">
        <v>25</v>
      </c>
      <c r="AA84">
        <v>20</v>
      </c>
      <c r="AB84">
        <v>15</v>
      </c>
      <c r="AC84">
        <v>105</v>
      </c>
      <c r="AD84">
        <v>55</v>
      </c>
      <c r="AE84">
        <v>90</v>
      </c>
      <c r="AF84">
        <v>310</v>
      </c>
      <c r="AG84">
        <v>0</v>
      </c>
      <c r="AH84">
        <v>0</v>
      </c>
      <c r="AI84">
        <v>0</v>
      </c>
      <c r="AJ84">
        <v>1</v>
      </c>
      <c r="AK84">
        <v>0</v>
      </c>
      <c r="AL84">
        <v>0</v>
      </c>
    </row>
    <row r="85" spans="1:38" x14ac:dyDescent="0.25">
      <c r="A85" t="s">
        <v>309</v>
      </c>
      <c r="B85" t="s">
        <v>309</v>
      </c>
      <c r="C85" s="1">
        <v>64</v>
      </c>
      <c r="D85" s="1" t="s">
        <v>308</v>
      </c>
      <c r="E85">
        <v>1</v>
      </c>
      <c r="F85">
        <v>1.3</v>
      </c>
      <c r="G85">
        <v>56.5</v>
      </c>
      <c r="H85" t="s">
        <v>162</v>
      </c>
      <c r="J85" t="s">
        <v>306</v>
      </c>
      <c r="K85" t="s">
        <v>221</v>
      </c>
      <c r="L85" t="s">
        <v>197</v>
      </c>
      <c r="M85" t="s">
        <v>103</v>
      </c>
      <c r="N85">
        <v>75</v>
      </c>
      <c r="O85">
        <v>25</v>
      </c>
      <c r="P85">
        <v>0</v>
      </c>
      <c r="Q85">
        <v>20</v>
      </c>
      <c r="R85" t="s">
        <v>307</v>
      </c>
      <c r="T85">
        <v>100</v>
      </c>
      <c r="U85">
        <v>140</v>
      </c>
      <c r="V85">
        <v>1059860</v>
      </c>
      <c r="W85" t="s">
        <v>46</v>
      </c>
      <c r="Z85">
        <v>40</v>
      </c>
      <c r="AA85">
        <v>35</v>
      </c>
      <c r="AB85">
        <v>30</v>
      </c>
      <c r="AC85">
        <v>120</v>
      </c>
      <c r="AD85">
        <v>70</v>
      </c>
      <c r="AE85">
        <v>105</v>
      </c>
      <c r="AF85">
        <v>400</v>
      </c>
      <c r="AG85">
        <v>0</v>
      </c>
      <c r="AH85">
        <v>0</v>
      </c>
      <c r="AI85">
        <v>0</v>
      </c>
      <c r="AJ85">
        <v>2</v>
      </c>
      <c r="AK85">
        <v>0</v>
      </c>
      <c r="AL85">
        <v>0</v>
      </c>
    </row>
    <row r="86" spans="1:38" x14ac:dyDescent="0.25">
      <c r="A86" t="s">
        <v>311</v>
      </c>
      <c r="B86" t="s">
        <v>311</v>
      </c>
      <c r="C86" s="1">
        <v>65</v>
      </c>
      <c r="D86" s="1" t="s">
        <v>310</v>
      </c>
      <c r="E86">
        <v>1</v>
      </c>
      <c r="F86">
        <v>1.5</v>
      </c>
      <c r="G86">
        <v>48</v>
      </c>
      <c r="H86" t="s">
        <v>162</v>
      </c>
      <c r="J86" t="s">
        <v>306</v>
      </c>
      <c r="K86" t="s">
        <v>221</v>
      </c>
      <c r="L86" t="s">
        <v>197</v>
      </c>
      <c r="M86" t="s">
        <v>103</v>
      </c>
      <c r="N86">
        <v>75</v>
      </c>
      <c r="O86">
        <v>25</v>
      </c>
      <c r="P86">
        <v>0</v>
      </c>
      <c r="Q86">
        <v>20</v>
      </c>
      <c r="R86" t="s">
        <v>307</v>
      </c>
      <c r="T86">
        <v>50</v>
      </c>
      <c r="U86">
        <v>250</v>
      </c>
      <c r="V86">
        <v>1059860</v>
      </c>
      <c r="W86" t="s">
        <v>46</v>
      </c>
      <c r="Z86">
        <v>55</v>
      </c>
      <c r="AA86">
        <v>50</v>
      </c>
      <c r="AB86">
        <v>45</v>
      </c>
      <c r="AC86">
        <v>135</v>
      </c>
      <c r="AD86">
        <v>95</v>
      </c>
      <c r="AE86">
        <v>120</v>
      </c>
      <c r="AF86">
        <v>500</v>
      </c>
      <c r="AG86">
        <v>0</v>
      </c>
      <c r="AH86">
        <v>0</v>
      </c>
      <c r="AI86">
        <v>0</v>
      </c>
      <c r="AJ86">
        <v>3</v>
      </c>
      <c r="AK86">
        <v>0</v>
      </c>
      <c r="AL86">
        <v>0</v>
      </c>
    </row>
    <row r="87" spans="1:38" x14ac:dyDescent="0.25">
      <c r="A87" t="s">
        <v>311</v>
      </c>
      <c r="B87" t="s">
        <v>313</v>
      </c>
      <c r="C87" s="1">
        <v>65</v>
      </c>
      <c r="D87" s="1" t="s">
        <v>312</v>
      </c>
      <c r="E87">
        <v>1</v>
      </c>
      <c r="F87">
        <v>1.2</v>
      </c>
      <c r="G87">
        <v>48</v>
      </c>
      <c r="H87" t="s">
        <v>162</v>
      </c>
      <c r="J87" t="s">
        <v>314</v>
      </c>
      <c r="M87" t="s">
        <v>103</v>
      </c>
      <c r="N87">
        <v>75</v>
      </c>
      <c r="O87">
        <v>25</v>
      </c>
      <c r="P87">
        <v>0</v>
      </c>
      <c r="Q87">
        <v>20</v>
      </c>
      <c r="R87" t="s">
        <v>307</v>
      </c>
      <c r="T87">
        <v>50</v>
      </c>
      <c r="U87">
        <v>270</v>
      </c>
      <c r="V87">
        <v>1059860</v>
      </c>
      <c r="W87" t="s">
        <v>46</v>
      </c>
      <c r="X87" t="s">
        <v>54</v>
      </c>
      <c r="Z87">
        <v>55</v>
      </c>
      <c r="AA87">
        <v>50</v>
      </c>
      <c r="AB87">
        <v>65</v>
      </c>
      <c r="AC87">
        <v>175</v>
      </c>
      <c r="AD87">
        <v>105</v>
      </c>
      <c r="AE87">
        <v>150</v>
      </c>
      <c r="AF87">
        <v>600</v>
      </c>
      <c r="AG87">
        <v>0</v>
      </c>
      <c r="AH87">
        <v>0</v>
      </c>
      <c r="AI87">
        <v>0</v>
      </c>
      <c r="AJ87">
        <v>3</v>
      </c>
      <c r="AK87">
        <v>0</v>
      </c>
      <c r="AL87">
        <v>0</v>
      </c>
    </row>
    <row r="88" spans="1:38" x14ac:dyDescent="0.25">
      <c r="A88" t="s">
        <v>316</v>
      </c>
      <c r="B88" t="s">
        <v>316</v>
      </c>
      <c r="C88" s="1">
        <v>66</v>
      </c>
      <c r="D88" s="1" t="s">
        <v>315</v>
      </c>
      <c r="E88">
        <v>1</v>
      </c>
      <c r="F88">
        <v>0.8</v>
      </c>
      <c r="G88">
        <v>19.5</v>
      </c>
      <c r="H88" t="s">
        <v>279</v>
      </c>
      <c r="J88" t="s">
        <v>129</v>
      </c>
      <c r="K88" t="s">
        <v>126</v>
      </c>
      <c r="L88" t="s">
        <v>317</v>
      </c>
      <c r="M88" t="s">
        <v>318</v>
      </c>
      <c r="N88">
        <v>75</v>
      </c>
      <c r="O88">
        <v>25</v>
      </c>
      <c r="P88">
        <v>0</v>
      </c>
      <c r="Q88">
        <v>20</v>
      </c>
      <c r="R88" t="s">
        <v>307</v>
      </c>
      <c r="T88">
        <v>180</v>
      </c>
      <c r="U88">
        <v>61</v>
      </c>
      <c r="V88">
        <v>1059860</v>
      </c>
      <c r="W88" t="s">
        <v>46</v>
      </c>
      <c r="Z88">
        <v>70</v>
      </c>
      <c r="AA88">
        <v>80</v>
      </c>
      <c r="AB88">
        <v>50</v>
      </c>
      <c r="AC88">
        <v>35</v>
      </c>
      <c r="AD88">
        <v>35</v>
      </c>
      <c r="AE88">
        <v>35</v>
      </c>
      <c r="AF88">
        <v>305</v>
      </c>
      <c r="AG88">
        <v>0</v>
      </c>
      <c r="AH88">
        <v>1</v>
      </c>
      <c r="AI88">
        <v>0</v>
      </c>
      <c r="AJ88">
        <v>0</v>
      </c>
      <c r="AK88">
        <v>0</v>
      </c>
      <c r="AL88">
        <v>0</v>
      </c>
    </row>
    <row r="89" spans="1:38" x14ac:dyDescent="0.25">
      <c r="A89" t="s">
        <v>320</v>
      </c>
      <c r="B89" t="s">
        <v>320</v>
      </c>
      <c r="C89" s="1">
        <v>67</v>
      </c>
      <c r="D89" s="1" t="s">
        <v>319</v>
      </c>
      <c r="E89">
        <v>1</v>
      </c>
      <c r="F89">
        <v>1.5</v>
      </c>
      <c r="G89">
        <v>70.5</v>
      </c>
      <c r="H89" t="s">
        <v>279</v>
      </c>
      <c r="J89" t="s">
        <v>129</v>
      </c>
      <c r="K89" t="s">
        <v>126</v>
      </c>
      <c r="L89" t="s">
        <v>317</v>
      </c>
      <c r="M89" t="s">
        <v>318</v>
      </c>
      <c r="N89">
        <v>75</v>
      </c>
      <c r="O89">
        <v>25</v>
      </c>
      <c r="P89">
        <v>0</v>
      </c>
      <c r="Q89">
        <v>20</v>
      </c>
      <c r="R89" t="s">
        <v>307</v>
      </c>
      <c r="T89">
        <v>90</v>
      </c>
      <c r="U89">
        <v>142</v>
      </c>
      <c r="V89">
        <v>1059860</v>
      </c>
      <c r="W89" t="s">
        <v>46</v>
      </c>
      <c r="Z89">
        <v>80</v>
      </c>
      <c r="AA89">
        <v>100</v>
      </c>
      <c r="AB89">
        <v>70</v>
      </c>
      <c r="AC89">
        <v>50</v>
      </c>
      <c r="AD89">
        <v>60</v>
      </c>
      <c r="AE89">
        <v>45</v>
      </c>
      <c r="AF89">
        <v>405</v>
      </c>
      <c r="AG89">
        <v>0</v>
      </c>
      <c r="AH89">
        <v>2</v>
      </c>
      <c r="AI89">
        <v>0</v>
      </c>
      <c r="AJ89">
        <v>0</v>
      </c>
      <c r="AK89">
        <v>0</v>
      </c>
      <c r="AL89">
        <v>0</v>
      </c>
    </row>
    <row r="90" spans="1:38" x14ac:dyDescent="0.25">
      <c r="A90" t="s">
        <v>322</v>
      </c>
      <c r="B90" t="s">
        <v>322</v>
      </c>
      <c r="C90" s="1">
        <v>68</v>
      </c>
      <c r="D90" s="1" t="s">
        <v>321</v>
      </c>
      <c r="E90">
        <v>1</v>
      </c>
      <c r="F90">
        <v>1.6</v>
      </c>
      <c r="G90">
        <v>130</v>
      </c>
      <c r="H90" t="s">
        <v>279</v>
      </c>
      <c r="J90" t="s">
        <v>129</v>
      </c>
      <c r="K90" t="s">
        <v>126</v>
      </c>
      <c r="L90" t="s">
        <v>317</v>
      </c>
      <c r="M90" t="s">
        <v>318</v>
      </c>
      <c r="N90">
        <v>75</v>
      </c>
      <c r="O90">
        <v>25</v>
      </c>
      <c r="P90">
        <v>0</v>
      </c>
      <c r="Q90">
        <v>20</v>
      </c>
      <c r="R90" t="s">
        <v>307</v>
      </c>
      <c r="T90">
        <v>45</v>
      </c>
      <c r="U90">
        <v>253</v>
      </c>
      <c r="V90">
        <v>1059860</v>
      </c>
      <c r="W90" t="s">
        <v>46</v>
      </c>
      <c r="Z90">
        <v>90</v>
      </c>
      <c r="AA90">
        <v>130</v>
      </c>
      <c r="AB90">
        <v>80</v>
      </c>
      <c r="AC90">
        <v>65</v>
      </c>
      <c r="AD90">
        <v>85</v>
      </c>
      <c r="AE90">
        <v>55</v>
      </c>
      <c r="AF90">
        <v>505</v>
      </c>
      <c r="AG90">
        <v>0</v>
      </c>
      <c r="AH90">
        <v>3</v>
      </c>
      <c r="AI90">
        <v>0</v>
      </c>
      <c r="AJ90">
        <v>0</v>
      </c>
      <c r="AK90">
        <v>0</v>
      </c>
      <c r="AL90">
        <v>0</v>
      </c>
    </row>
    <row r="91" spans="1:38" x14ac:dyDescent="0.25">
      <c r="A91" t="s">
        <v>324</v>
      </c>
      <c r="B91" t="s">
        <v>324</v>
      </c>
      <c r="C91" s="1">
        <v>69</v>
      </c>
      <c r="D91" s="1" t="s">
        <v>323</v>
      </c>
      <c r="E91">
        <v>1</v>
      </c>
      <c r="F91">
        <v>0.7</v>
      </c>
      <c r="G91">
        <v>4</v>
      </c>
      <c r="H91" t="s">
        <v>40</v>
      </c>
      <c r="I91" t="s">
        <v>41</v>
      </c>
      <c r="J91" t="s">
        <v>43</v>
      </c>
      <c r="L91" t="s">
        <v>136</v>
      </c>
      <c r="M91" t="s">
        <v>44</v>
      </c>
      <c r="N91">
        <v>50</v>
      </c>
      <c r="O91">
        <v>50</v>
      </c>
      <c r="P91">
        <v>0</v>
      </c>
      <c r="Q91">
        <v>20</v>
      </c>
      <c r="R91" t="s">
        <v>40</v>
      </c>
      <c r="T91">
        <v>255</v>
      </c>
      <c r="U91">
        <v>60</v>
      </c>
      <c r="V91">
        <v>1059860</v>
      </c>
      <c r="W91" t="s">
        <v>46</v>
      </c>
      <c r="Z91">
        <v>50</v>
      </c>
      <c r="AA91">
        <v>75</v>
      </c>
      <c r="AB91">
        <v>35</v>
      </c>
      <c r="AC91">
        <v>70</v>
      </c>
      <c r="AD91">
        <v>30</v>
      </c>
      <c r="AE91">
        <v>40</v>
      </c>
      <c r="AF91">
        <v>300</v>
      </c>
      <c r="AG91">
        <v>0</v>
      </c>
      <c r="AH91">
        <v>1</v>
      </c>
      <c r="AI91">
        <v>0</v>
      </c>
      <c r="AJ91">
        <v>0</v>
      </c>
      <c r="AK91">
        <v>0</v>
      </c>
      <c r="AL91">
        <v>0</v>
      </c>
    </row>
    <row r="92" spans="1:38" x14ac:dyDescent="0.25">
      <c r="A92" t="s">
        <v>326</v>
      </c>
      <c r="B92" t="s">
        <v>326</v>
      </c>
      <c r="C92" s="1">
        <v>70</v>
      </c>
      <c r="D92" s="1" t="s">
        <v>325</v>
      </c>
      <c r="E92">
        <v>1</v>
      </c>
      <c r="F92">
        <v>1</v>
      </c>
      <c r="G92">
        <v>6.4</v>
      </c>
      <c r="H92" t="s">
        <v>40</v>
      </c>
      <c r="I92" t="s">
        <v>41</v>
      </c>
      <c r="J92" t="s">
        <v>43</v>
      </c>
      <c r="L92" t="s">
        <v>136</v>
      </c>
      <c r="M92" t="s">
        <v>44</v>
      </c>
      <c r="N92">
        <v>50</v>
      </c>
      <c r="O92">
        <v>50</v>
      </c>
      <c r="P92">
        <v>0</v>
      </c>
      <c r="Q92">
        <v>20</v>
      </c>
      <c r="R92" t="s">
        <v>40</v>
      </c>
      <c r="T92">
        <v>120</v>
      </c>
      <c r="U92">
        <v>137</v>
      </c>
      <c r="V92">
        <v>1059860</v>
      </c>
      <c r="W92" t="s">
        <v>46</v>
      </c>
      <c r="Z92">
        <v>65</v>
      </c>
      <c r="AA92">
        <v>90</v>
      </c>
      <c r="AB92">
        <v>50</v>
      </c>
      <c r="AC92">
        <v>85</v>
      </c>
      <c r="AD92">
        <v>45</v>
      </c>
      <c r="AE92">
        <v>55</v>
      </c>
      <c r="AF92">
        <v>390</v>
      </c>
      <c r="AG92">
        <v>0</v>
      </c>
      <c r="AH92">
        <v>2</v>
      </c>
      <c r="AI92">
        <v>0</v>
      </c>
      <c r="AJ92">
        <v>0</v>
      </c>
      <c r="AK92">
        <v>0</v>
      </c>
      <c r="AL92">
        <v>0</v>
      </c>
    </row>
    <row r="93" spans="1:38" x14ac:dyDescent="0.25">
      <c r="A93" t="s">
        <v>328</v>
      </c>
      <c r="B93" t="s">
        <v>328</v>
      </c>
      <c r="C93" s="1">
        <v>71</v>
      </c>
      <c r="D93" s="1" t="s">
        <v>327</v>
      </c>
      <c r="E93">
        <v>1</v>
      </c>
      <c r="F93">
        <v>1.7</v>
      </c>
      <c r="G93">
        <v>15.5</v>
      </c>
      <c r="H93" t="s">
        <v>40</v>
      </c>
      <c r="I93" t="s">
        <v>41</v>
      </c>
      <c r="J93" t="s">
        <v>43</v>
      </c>
      <c r="L93" t="s">
        <v>136</v>
      </c>
      <c r="M93" t="s">
        <v>44</v>
      </c>
      <c r="N93">
        <v>50</v>
      </c>
      <c r="O93">
        <v>50</v>
      </c>
      <c r="P93">
        <v>0</v>
      </c>
      <c r="Q93">
        <v>20</v>
      </c>
      <c r="R93" t="s">
        <v>40</v>
      </c>
      <c r="T93">
        <v>45</v>
      </c>
      <c r="U93">
        <v>245</v>
      </c>
      <c r="V93">
        <v>1059860</v>
      </c>
      <c r="W93" t="s">
        <v>46</v>
      </c>
      <c r="Z93">
        <v>80</v>
      </c>
      <c r="AA93">
        <v>105</v>
      </c>
      <c r="AB93">
        <v>65</v>
      </c>
      <c r="AC93">
        <v>100</v>
      </c>
      <c r="AD93">
        <v>70</v>
      </c>
      <c r="AE93">
        <v>70</v>
      </c>
      <c r="AF93">
        <v>490</v>
      </c>
      <c r="AG93">
        <v>0</v>
      </c>
      <c r="AH93">
        <v>3</v>
      </c>
      <c r="AI93">
        <v>0</v>
      </c>
      <c r="AJ93">
        <v>0</v>
      </c>
      <c r="AK93">
        <v>0</v>
      </c>
      <c r="AL93">
        <v>0</v>
      </c>
    </row>
    <row r="94" spans="1:38" x14ac:dyDescent="0.25">
      <c r="A94" t="s">
        <v>330</v>
      </c>
      <c r="B94" t="s">
        <v>330</v>
      </c>
      <c r="C94" s="1">
        <v>72</v>
      </c>
      <c r="D94" s="1" t="s">
        <v>329</v>
      </c>
      <c r="E94">
        <v>1</v>
      </c>
      <c r="F94">
        <v>0.9</v>
      </c>
      <c r="G94">
        <v>45.5</v>
      </c>
      <c r="H94" t="s">
        <v>76</v>
      </c>
      <c r="I94" t="s">
        <v>41</v>
      </c>
      <c r="J94" t="s">
        <v>331</v>
      </c>
      <c r="K94" t="s">
        <v>332</v>
      </c>
      <c r="L94" t="s">
        <v>78</v>
      </c>
      <c r="M94" t="s">
        <v>79</v>
      </c>
      <c r="N94">
        <v>50</v>
      </c>
      <c r="O94">
        <v>50</v>
      </c>
      <c r="P94">
        <v>0</v>
      </c>
      <c r="Q94">
        <v>20</v>
      </c>
      <c r="R94" t="s">
        <v>333</v>
      </c>
      <c r="T94">
        <v>190</v>
      </c>
      <c r="U94">
        <v>67</v>
      </c>
      <c r="V94">
        <v>1250000</v>
      </c>
      <c r="W94" t="s">
        <v>46</v>
      </c>
      <c r="Z94">
        <v>40</v>
      </c>
      <c r="AA94">
        <v>40</v>
      </c>
      <c r="AB94">
        <v>35</v>
      </c>
      <c r="AC94">
        <v>50</v>
      </c>
      <c r="AD94">
        <v>100</v>
      </c>
      <c r="AE94">
        <v>70</v>
      </c>
      <c r="AF94">
        <v>335</v>
      </c>
      <c r="AG94">
        <v>0</v>
      </c>
      <c r="AH94">
        <v>0</v>
      </c>
      <c r="AI94">
        <v>0</v>
      </c>
      <c r="AJ94">
        <v>0</v>
      </c>
      <c r="AK94">
        <v>1</v>
      </c>
      <c r="AL94">
        <v>0</v>
      </c>
    </row>
    <row r="95" spans="1:38" x14ac:dyDescent="0.25">
      <c r="A95" t="s">
        <v>335</v>
      </c>
      <c r="B95" t="s">
        <v>335</v>
      </c>
      <c r="C95" s="1">
        <v>73</v>
      </c>
      <c r="D95" s="1" t="s">
        <v>334</v>
      </c>
      <c r="E95">
        <v>1</v>
      </c>
      <c r="F95">
        <v>1.6</v>
      </c>
      <c r="G95">
        <v>55</v>
      </c>
      <c r="H95" t="s">
        <v>76</v>
      </c>
      <c r="I95" t="s">
        <v>41</v>
      </c>
      <c r="J95" t="s">
        <v>331</v>
      </c>
      <c r="K95" t="s">
        <v>332</v>
      </c>
      <c r="L95" t="s">
        <v>78</v>
      </c>
      <c r="M95" t="s">
        <v>79</v>
      </c>
      <c r="N95">
        <v>50</v>
      </c>
      <c r="O95">
        <v>50</v>
      </c>
      <c r="P95">
        <v>0</v>
      </c>
      <c r="Q95">
        <v>20</v>
      </c>
      <c r="R95" t="s">
        <v>333</v>
      </c>
      <c r="T95">
        <v>60</v>
      </c>
      <c r="U95">
        <v>180</v>
      </c>
      <c r="V95">
        <v>1250000</v>
      </c>
      <c r="W95" t="s">
        <v>46</v>
      </c>
      <c r="Z95">
        <v>80</v>
      </c>
      <c r="AA95">
        <v>70</v>
      </c>
      <c r="AB95">
        <v>65</v>
      </c>
      <c r="AC95">
        <v>80</v>
      </c>
      <c r="AD95">
        <v>120</v>
      </c>
      <c r="AE95">
        <v>100</v>
      </c>
      <c r="AF95">
        <v>515</v>
      </c>
      <c r="AG95">
        <v>0</v>
      </c>
      <c r="AH95">
        <v>0</v>
      </c>
      <c r="AI95">
        <v>0</v>
      </c>
      <c r="AJ95">
        <v>0</v>
      </c>
      <c r="AK95">
        <v>2</v>
      </c>
      <c r="AL95">
        <v>0</v>
      </c>
    </row>
    <row r="96" spans="1:38" x14ac:dyDescent="0.25">
      <c r="A96" t="s">
        <v>337</v>
      </c>
      <c r="B96" t="s">
        <v>337</v>
      </c>
      <c r="C96" s="1">
        <v>74</v>
      </c>
      <c r="D96" s="1" t="s">
        <v>336</v>
      </c>
      <c r="E96">
        <v>1</v>
      </c>
      <c r="F96">
        <v>0.4</v>
      </c>
      <c r="G96">
        <v>20</v>
      </c>
      <c r="H96" t="s">
        <v>290</v>
      </c>
      <c r="I96" t="s">
        <v>132</v>
      </c>
      <c r="J96" t="s">
        <v>291</v>
      </c>
      <c r="K96" t="s">
        <v>338</v>
      </c>
      <c r="L96" t="s">
        <v>166</v>
      </c>
      <c r="M96" t="s">
        <v>103</v>
      </c>
      <c r="N96">
        <v>50</v>
      </c>
      <c r="O96">
        <v>50</v>
      </c>
      <c r="P96">
        <v>0</v>
      </c>
      <c r="Q96">
        <v>15</v>
      </c>
      <c r="R96" t="s">
        <v>339</v>
      </c>
      <c r="T96">
        <v>255</v>
      </c>
      <c r="U96">
        <v>60</v>
      </c>
      <c r="V96">
        <v>1059860</v>
      </c>
      <c r="W96" t="s">
        <v>46</v>
      </c>
      <c r="Z96">
        <v>40</v>
      </c>
      <c r="AA96">
        <v>80</v>
      </c>
      <c r="AB96">
        <v>100</v>
      </c>
      <c r="AC96">
        <v>30</v>
      </c>
      <c r="AD96">
        <v>30</v>
      </c>
      <c r="AE96">
        <v>20</v>
      </c>
      <c r="AF96">
        <v>300</v>
      </c>
      <c r="AG96">
        <v>0</v>
      </c>
      <c r="AH96">
        <v>0</v>
      </c>
      <c r="AI96">
        <v>1</v>
      </c>
      <c r="AJ96">
        <v>0</v>
      </c>
      <c r="AK96">
        <v>0</v>
      </c>
      <c r="AL96">
        <v>0</v>
      </c>
    </row>
    <row r="97" spans="1:38" x14ac:dyDescent="0.25">
      <c r="A97" t="s">
        <v>337</v>
      </c>
      <c r="B97" t="s">
        <v>341</v>
      </c>
      <c r="C97" s="1">
        <v>74</v>
      </c>
      <c r="D97" s="1" t="s">
        <v>340</v>
      </c>
      <c r="E97">
        <v>7</v>
      </c>
      <c r="F97">
        <v>0.4</v>
      </c>
      <c r="G97">
        <v>20.3</v>
      </c>
      <c r="H97" t="s">
        <v>290</v>
      </c>
      <c r="I97" t="s">
        <v>154</v>
      </c>
      <c r="J97" t="s">
        <v>342</v>
      </c>
      <c r="K97" t="s">
        <v>338</v>
      </c>
      <c r="L97" t="s">
        <v>343</v>
      </c>
      <c r="M97" t="s">
        <v>318</v>
      </c>
      <c r="N97">
        <v>50</v>
      </c>
      <c r="O97">
        <v>50</v>
      </c>
      <c r="P97">
        <v>0</v>
      </c>
      <c r="Q97">
        <v>15</v>
      </c>
      <c r="R97" t="s">
        <v>339</v>
      </c>
      <c r="T97">
        <v>255</v>
      </c>
      <c r="U97">
        <v>60</v>
      </c>
      <c r="V97">
        <v>1059860</v>
      </c>
      <c r="W97" t="s">
        <v>46</v>
      </c>
      <c r="Y97" t="s">
        <v>137</v>
      </c>
      <c r="Z97">
        <v>40</v>
      </c>
      <c r="AA97">
        <v>80</v>
      </c>
      <c r="AB97">
        <v>100</v>
      </c>
      <c r="AC97">
        <v>30</v>
      </c>
      <c r="AD97">
        <v>30</v>
      </c>
      <c r="AE97">
        <v>20</v>
      </c>
      <c r="AF97">
        <v>300</v>
      </c>
      <c r="AG97">
        <v>0</v>
      </c>
      <c r="AH97">
        <v>0</v>
      </c>
      <c r="AI97">
        <v>1</v>
      </c>
      <c r="AJ97">
        <v>0</v>
      </c>
      <c r="AK97">
        <v>0</v>
      </c>
      <c r="AL97">
        <v>0</v>
      </c>
    </row>
    <row r="98" spans="1:38" x14ac:dyDescent="0.25">
      <c r="A98" t="s">
        <v>345</v>
      </c>
      <c r="B98" t="s">
        <v>345</v>
      </c>
      <c r="C98" s="1">
        <v>75</v>
      </c>
      <c r="D98" s="1" t="s">
        <v>344</v>
      </c>
      <c r="E98">
        <v>1</v>
      </c>
      <c r="F98">
        <v>1</v>
      </c>
      <c r="G98">
        <v>105</v>
      </c>
      <c r="H98" t="s">
        <v>290</v>
      </c>
      <c r="I98" t="s">
        <v>132</v>
      </c>
      <c r="J98" t="s">
        <v>291</v>
      </c>
      <c r="K98" t="s">
        <v>338</v>
      </c>
      <c r="L98" t="s">
        <v>166</v>
      </c>
      <c r="M98" t="s">
        <v>103</v>
      </c>
      <c r="N98">
        <v>50</v>
      </c>
      <c r="O98">
        <v>50</v>
      </c>
      <c r="P98">
        <v>0</v>
      </c>
      <c r="Q98">
        <v>15</v>
      </c>
      <c r="R98" t="s">
        <v>339</v>
      </c>
      <c r="T98">
        <v>120</v>
      </c>
      <c r="U98">
        <v>137</v>
      </c>
      <c r="V98">
        <v>1059860</v>
      </c>
      <c r="W98" t="s">
        <v>46</v>
      </c>
      <c r="Z98">
        <v>55</v>
      </c>
      <c r="AA98">
        <v>95</v>
      </c>
      <c r="AB98">
        <v>115</v>
      </c>
      <c r="AC98">
        <v>45</v>
      </c>
      <c r="AD98">
        <v>45</v>
      </c>
      <c r="AE98">
        <v>35</v>
      </c>
      <c r="AF98">
        <v>390</v>
      </c>
      <c r="AG98">
        <v>0</v>
      </c>
      <c r="AH98">
        <v>0</v>
      </c>
      <c r="AI98">
        <v>2</v>
      </c>
      <c r="AJ98">
        <v>0</v>
      </c>
      <c r="AK98">
        <v>0</v>
      </c>
      <c r="AL98">
        <v>0</v>
      </c>
    </row>
    <row r="99" spans="1:38" x14ac:dyDescent="0.25">
      <c r="A99" t="s">
        <v>345</v>
      </c>
      <c r="B99" t="s">
        <v>347</v>
      </c>
      <c r="C99" s="1">
        <v>75</v>
      </c>
      <c r="D99" s="1" t="s">
        <v>346</v>
      </c>
      <c r="E99">
        <v>7</v>
      </c>
      <c r="F99">
        <v>1</v>
      </c>
      <c r="G99">
        <v>110</v>
      </c>
      <c r="H99" t="s">
        <v>290</v>
      </c>
      <c r="I99" t="s">
        <v>154</v>
      </c>
      <c r="J99" t="s">
        <v>342</v>
      </c>
      <c r="K99" t="s">
        <v>338</v>
      </c>
      <c r="L99" t="s">
        <v>343</v>
      </c>
      <c r="M99" t="s">
        <v>318</v>
      </c>
      <c r="N99">
        <v>50</v>
      </c>
      <c r="O99">
        <v>50</v>
      </c>
      <c r="P99">
        <v>0</v>
      </c>
      <c r="Q99">
        <v>15</v>
      </c>
      <c r="R99" t="s">
        <v>339</v>
      </c>
      <c r="T99">
        <v>120</v>
      </c>
      <c r="U99">
        <v>137</v>
      </c>
      <c r="V99">
        <v>1059860</v>
      </c>
      <c r="W99" t="s">
        <v>46</v>
      </c>
      <c r="Y99" t="s">
        <v>137</v>
      </c>
      <c r="Z99">
        <v>55</v>
      </c>
      <c r="AA99">
        <v>95</v>
      </c>
      <c r="AB99">
        <v>115</v>
      </c>
      <c r="AC99">
        <v>45</v>
      </c>
      <c r="AD99">
        <v>45</v>
      </c>
      <c r="AE99">
        <v>35</v>
      </c>
      <c r="AF99">
        <v>390</v>
      </c>
      <c r="AG99">
        <v>0</v>
      </c>
      <c r="AH99">
        <v>0</v>
      </c>
      <c r="AI99">
        <v>2</v>
      </c>
      <c r="AJ99">
        <v>0</v>
      </c>
      <c r="AK99">
        <v>0</v>
      </c>
      <c r="AL99">
        <v>0</v>
      </c>
    </row>
    <row r="100" spans="1:38" x14ac:dyDescent="0.25">
      <c r="A100" t="s">
        <v>349</v>
      </c>
      <c r="B100" t="s">
        <v>349</v>
      </c>
      <c r="C100" s="1">
        <v>76</v>
      </c>
      <c r="D100" s="1" t="s">
        <v>348</v>
      </c>
      <c r="E100">
        <v>1</v>
      </c>
      <c r="F100">
        <v>1.4</v>
      </c>
      <c r="G100">
        <v>300</v>
      </c>
      <c r="H100" t="s">
        <v>290</v>
      </c>
      <c r="I100" t="s">
        <v>132</v>
      </c>
      <c r="J100" t="s">
        <v>291</v>
      </c>
      <c r="K100" t="s">
        <v>338</v>
      </c>
      <c r="L100" t="s">
        <v>166</v>
      </c>
      <c r="M100" t="s">
        <v>103</v>
      </c>
      <c r="N100">
        <v>50</v>
      </c>
      <c r="O100">
        <v>50</v>
      </c>
      <c r="P100">
        <v>0</v>
      </c>
      <c r="Q100">
        <v>15</v>
      </c>
      <c r="R100" t="s">
        <v>339</v>
      </c>
      <c r="T100">
        <v>45</v>
      </c>
      <c r="U100">
        <v>223</v>
      </c>
      <c r="V100">
        <v>1059860</v>
      </c>
      <c r="W100" t="s">
        <v>46</v>
      </c>
      <c r="Z100">
        <v>80</v>
      </c>
      <c r="AA100">
        <v>120</v>
      </c>
      <c r="AB100">
        <v>130</v>
      </c>
      <c r="AC100">
        <v>55</v>
      </c>
      <c r="AD100">
        <v>65</v>
      </c>
      <c r="AE100">
        <v>45</v>
      </c>
      <c r="AF100">
        <v>495</v>
      </c>
      <c r="AG100">
        <v>0</v>
      </c>
      <c r="AH100">
        <v>0</v>
      </c>
      <c r="AI100">
        <v>3</v>
      </c>
      <c r="AJ100">
        <v>0</v>
      </c>
      <c r="AK100">
        <v>0</v>
      </c>
      <c r="AL100">
        <v>0</v>
      </c>
    </row>
    <row r="101" spans="1:38" x14ac:dyDescent="0.25">
      <c r="A101" t="s">
        <v>349</v>
      </c>
      <c r="B101" t="s">
        <v>351</v>
      </c>
      <c r="C101" s="1">
        <v>76</v>
      </c>
      <c r="D101" s="1" t="s">
        <v>350</v>
      </c>
      <c r="E101">
        <v>7</v>
      </c>
      <c r="F101">
        <v>1.7</v>
      </c>
      <c r="G101">
        <v>316</v>
      </c>
      <c r="H101" t="s">
        <v>290</v>
      </c>
      <c r="I101" t="s">
        <v>154</v>
      </c>
      <c r="J101" t="s">
        <v>342</v>
      </c>
      <c r="K101" t="s">
        <v>338</v>
      </c>
      <c r="L101" t="s">
        <v>343</v>
      </c>
      <c r="M101" t="s">
        <v>318</v>
      </c>
      <c r="N101">
        <v>50</v>
      </c>
      <c r="O101">
        <v>50</v>
      </c>
      <c r="P101">
        <v>0</v>
      </c>
      <c r="Q101">
        <v>15</v>
      </c>
      <c r="R101" t="s">
        <v>339</v>
      </c>
      <c r="T101">
        <v>45</v>
      </c>
      <c r="U101">
        <v>223</v>
      </c>
      <c r="V101">
        <v>1059860</v>
      </c>
      <c r="W101" t="s">
        <v>46</v>
      </c>
      <c r="Y101" t="s">
        <v>137</v>
      </c>
      <c r="Z101">
        <v>80</v>
      </c>
      <c r="AA101">
        <v>120</v>
      </c>
      <c r="AB101">
        <v>130</v>
      </c>
      <c r="AC101">
        <v>55</v>
      </c>
      <c r="AD101">
        <v>65</v>
      </c>
      <c r="AE101">
        <v>45</v>
      </c>
      <c r="AF101">
        <v>495</v>
      </c>
      <c r="AG101">
        <v>0</v>
      </c>
      <c r="AH101">
        <v>0</v>
      </c>
      <c r="AI101">
        <v>3</v>
      </c>
      <c r="AJ101">
        <v>0</v>
      </c>
      <c r="AK101">
        <v>0</v>
      </c>
      <c r="AL101">
        <v>0</v>
      </c>
    </row>
    <row r="102" spans="1:38" x14ac:dyDescent="0.25">
      <c r="A102" t="s">
        <v>353</v>
      </c>
      <c r="B102" t="s">
        <v>353</v>
      </c>
      <c r="C102" s="1">
        <v>77</v>
      </c>
      <c r="D102" s="1" t="s">
        <v>352</v>
      </c>
      <c r="E102">
        <v>1</v>
      </c>
      <c r="F102">
        <v>1</v>
      </c>
      <c r="G102">
        <v>30</v>
      </c>
      <c r="H102" t="s">
        <v>57</v>
      </c>
      <c r="J102" t="s">
        <v>92</v>
      </c>
      <c r="K102" t="s">
        <v>205</v>
      </c>
      <c r="L102" t="s">
        <v>354</v>
      </c>
      <c r="M102" t="s">
        <v>106</v>
      </c>
      <c r="N102">
        <v>50</v>
      </c>
      <c r="O102">
        <v>50</v>
      </c>
      <c r="P102">
        <v>0</v>
      </c>
      <c r="Q102">
        <v>20</v>
      </c>
      <c r="R102" t="s">
        <v>132</v>
      </c>
      <c r="T102">
        <v>190</v>
      </c>
      <c r="U102">
        <v>82</v>
      </c>
      <c r="V102">
        <v>1000000</v>
      </c>
      <c r="W102" t="s">
        <v>46</v>
      </c>
      <c r="Z102">
        <v>50</v>
      </c>
      <c r="AA102">
        <v>85</v>
      </c>
      <c r="AB102">
        <v>55</v>
      </c>
      <c r="AC102">
        <v>65</v>
      </c>
      <c r="AD102">
        <v>65</v>
      </c>
      <c r="AE102">
        <v>90</v>
      </c>
      <c r="AF102">
        <v>410</v>
      </c>
      <c r="AG102">
        <v>0</v>
      </c>
      <c r="AH102">
        <v>0</v>
      </c>
      <c r="AI102">
        <v>0</v>
      </c>
      <c r="AJ102">
        <v>0</v>
      </c>
      <c r="AK102">
        <v>0</v>
      </c>
      <c r="AL102">
        <v>1</v>
      </c>
    </row>
    <row r="103" spans="1:38" x14ac:dyDescent="0.25">
      <c r="A103" t="s">
        <v>353</v>
      </c>
      <c r="B103" t="s">
        <v>356</v>
      </c>
      <c r="C103" s="1">
        <v>77</v>
      </c>
      <c r="D103" s="1" t="s">
        <v>355</v>
      </c>
      <c r="E103">
        <v>8</v>
      </c>
      <c r="F103">
        <v>0.8</v>
      </c>
      <c r="G103">
        <v>24</v>
      </c>
      <c r="H103" t="s">
        <v>162</v>
      </c>
      <c r="J103" t="s">
        <v>92</v>
      </c>
      <c r="K103" t="s">
        <v>357</v>
      </c>
      <c r="L103" t="s">
        <v>358</v>
      </c>
      <c r="M103" t="s">
        <v>100</v>
      </c>
      <c r="N103">
        <v>50</v>
      </c>
      <c r="O103">
        <v>50</v>
      </c>
      <c r="P103">
        <v>0</v>
      </c>
      <c r="Q103">
        <v>20</v>
      </c>
      <c r="R103" t="s">
        <v>132</v>
      </c>
      <c r="T103">
        <v>190</v>
      </c>
      <c r="U103">
        <v>82</v>
      </c>
      <c r="V103">
        <v>1000000</v>
      </c>
      <c r="W103" t="s">
        <v>46</v>
      </c>
      <c r="Y103" t="s">
        <v>264</v>
      </c>
      <c r="Z103">
        <v>50</v>
      </c>
      <c r="AA103">
        <v>85</v>
      </c>
      <c r="AB103">
        <v>55</v>
      </c>
      <c r="AC103">
        <v>65</v>
      </c>
      <c r="AD103">
        <v>65</v>
      </c>
      <c r="AE103">
        <v>90</v>
      </c>
      <c r="AF103">
        <v>410</v>
      </c>
      <c r="AG103">
        <v>0</v>
      </c>
      <c r="AH103">
        <v>0</v>
      </c>
      <c r="AI103">
        <v>0</v>
      </c>
      <c r="AJ103">
        <v>0</v>
      </c>
      <c r="AK103">
        <v>0</v>
      </c>
      <c r="AL103">
        <v>1</v>
      </c>
    </row>
    <row r="104" spans="1:38" x14ac:dyDescent="0.25">
      <c r="A104" t="s">
        <v>360</v>
      </c>
      <c r="B104" t="s">
        <v>360</v>
      </c>
      <c r="C104" s="1">
        <v>78</v>
      </c>
      <c r="D104" s="1" t="s">
        <v>359</v>
      </c>
      <c r="E104">
        <v>1</v>
      </c>
      <c r="F104">
        <v>1.7</v>
      </c>
      <c r="G104">
        <v>95</v>
      </c>
      <c r="H104" t="s">
        <v>57</v>
      </c>
      <c r="J104" t="s">
        <v>92</v>
      </c>
      <c r="K104" t="s">
        <v>205</v>
      </c>
      <c r="L104" t="s">
        <v>354</v>
      </c>
      <c r="M104" t="s">
        <v>106</v>
      </c>
      <c r="N104">
        <v>50</v>
      </c>
      <c r="O104">
        <v>50</v>
      </c>
      <c r="P104">
        <v>0</v>
      </c>
      <c r="Q104">
        <v>20</v>
      </c>
      <c r="R104" t="s">
        <v>132</v>
      </c>
      <c r="T104">
        <v>60</v>
      </c>
      <c r="U104">
        <v>175</v>
      </c>
      <c r="V104">
        <v>1000000</v>
      </c>
      <c r="W104" t="s">
        <v>46</v>
      </c>
      <c r="Z104">
        <v>65</v>
      </c>
      <c r="AA104">
        <v>100</v>
      </c>
      <c r="AB104">
        <v>70</v>
      </c>
      <c r="AC104">
        <v>80</v>
      </c>
      <c r="AD104">
        <v>80</v>
      </c>
      <c r="AE104">
        <v>105</v>
      </c>
      <c r="AF104">
        <v>500</v>
      </c>
      <c r="AG104">
        <v>0</v>
      </c>
      <c r="AH104">
        <v>0</v>
      </c>
      <c r="AI104">
        <v>0</v>
      </c>
      <c r="AJ104">
        <v>0</v>
      </c>
      <c r="AK104">
        <v>0</v>
      </c>
      <c r="AL104">
        <v>2</v>
      </c>
    </row>
    <row r="105" spans="1:38" x14ac:dyDescent="0.25">
      <c r="A105" t="s">
        <v>360</v>
      </c>
      <c r="B105" t="s">
        <v>362</v>
      </c>
      <c r="C105" s="1">
        <v>78</v>
      </c>
      <c r="D105" s="1" t="s">
        <v>361</v>
      </c>
      <c r="E105">
        <v>8</v>
      </c>
      <c r="F105">
        <v>1.7</v>
      </c>
      <c r="G105">
        <v>80</v>
      </c>
      <c r="H105" t="s">
        <v>162</v>
      </c>
      <c r="I105" t="s">
        <v>157</v>
      </c>
      <c r="J105" t="s">
        <v>92</v>
      </c>
      <c r="K105" t="s">
        <v>357</v>
      </c>
      <c r="L105" t="s">
        <v>358</v>
      </c>
      <c r="M105" t="s">
        <v>100</v>
      </c>
      <c r="N105">
        <v>50</v>
      </c>
      <c r="O105">
        <v>50</v>
      </c>
      <c r="P105">
        <v>0</v>
      </c>
      <c r="Q105">
        <v>20</v>
      </c>
      <c r="R105" t="s">
        <v>132</v>
      </c>
      <c r="T105">
        <v>60</v>
      </c>
      <c r="U105">
        <v>175</v>
      </c>
      <c r="V105">
        <v>1000000</v>
      </c>
      <c r="W105" t="s">
        <v>46</v>
      </c>
      <c r="Y105" t="s">
        <v>264</v>
      </c>
      <c r="Z105">
        <v>65</v>
      </c>
      <c r="AA105">
        <v>100</v>
      </c>
      <c r="AB105">
        <v>70</v>
      </c>
      <c r="AC105">
        <v>80</v>
      </c>
      <c r="AD105">
        <v>80</v>
      </c>
      <c r="AE105">
        <v>105</v>
      </c>
      <c r="AF105">
        <v>500</v>
      </c>
      <c r="AG105">
        <v>0</v>
      </c>
      <c r="AH105">
        <v>0</v>
      </c>
      <c r="AI105">
        <v>0</v>
      </c>
      <c r="AJ105">
        <v>0</v>
      </c>
      <c r="AK105">
        <v>0</v>
      </c>
      <c r="AL105">
        <v>2</v>
      </c>
    </row>
    <row r="106" spans="1:38" x14ac:dyDescent="0.25">
      <c r="A106" t="s">
        <v>364</v>
      </c>
      <c r="B106" t="s">
        <v>364</v>
      </c>
      <c r="C106" s="1">
        <v>79</v>
      </c>
      <c r="D106" s="1" t="s">
        <v>363</v>
      </c>
      <c r="E106">
        <v>1</v>
      </c>
      <c r="F106">
        <v>1.2</v>
      </c>
      <c r="G106">
        <v>36</v>
      </c>
      <c r="H106" t="s">
        <v>76</v>
      </c>
      <c r="I106" t="s">
        <v>162</v>
      </c>
      <c r="J106" t="s">
        <v>365</v>
      </c>
      <c r="K106" t="s">
        <v>366</v>
      </c>
      <c r="L106" t="s">
        <v>367</v>
      </c>
      <c r="M106" t="s">
        <v>199</v>
      </c>
      <c r="N106">
        <v>50</v>
      </c>
      <c r="O106">
        <v>50</v>
      </c>
      <c r="P106">
        <v>0</v>
      </c>
      <c r="Q106">
        <v>20</v>
      </c>
      <c r="R106" t="s">
        <v>45</v>
      </c>
      <c r="S106" t="s">
        <v>80</v>
      </c>
      <c r="T106">
        <v>190</v>
      </c>
      <c r="U106">
        <v>63</v>
      </c>
      <c r="V106">
        <v>1000000</v>
      </c>
      <c r="W106" t="s">
        <v>46</v>
      </c>
      <c r="Z106">
        <v>90</v>
      </c>
      <c r="AA106">
        <v>65</v>
      </c>
      <c r="AB106">
        <v>65</v>
      </c>
      <c r="AC106">
        <v>40</v>
      </c>
      <c r="AD106">
        <v>40</v>
      </c>
      <c r="AE106">
        <v>15</v>
      </c>
      <c r="AF106">
        <v>315</v>
      </c>
      <c r="AG106">
        <v>1</v>
      </c>
      <c r="AH106">
        <v>0</v>
      </c>
      <c r="AI106">
        <v>0</v>
      </c>
      <c r="AJ106">
        <v>0</v>
      </c>
      <c r="AK106">
        <v>0</v>
      </c>
      <c r="AL106">
        <v>0</v>
      </c>
    </row>
    <row r="107" spans="1:38" x14ac:dyDescent="0.25">
      <c r="A107" t="s">
        <v>364</v>
      </c>
      <c r="B107" t="s">
        <v>369</v>
      </c>
      <c r="C107" s="1">
        <v>79</v>
      </c>
      <c r="D107" s="1" t="s">
        <v>368</v>
      </c>
      <c r="E107">
        <v>8</v>
      </c>
      <c r="F107">
        <v>1.2</v>
      </c>
      <c r="G107">
        <v>36</v>
      </c>
      <c r="H107" t="s">
        <v>162</v>
      </c>
      <c r="J107" t="s">
        <v>136</v>
      </c>
      <c r="K107" t="s">
        <v>366</v>
      </c>
      <c r="L107" t="s">
        <v>367</v>
      </c>
      <c r="M107" t="s">
        <v>199</v>
      </c>
      <c r="N107">
        <v>50</v>
      </c>
      <c r="O107">
        <v>50</v>
      </c>
      <c r="P107">
        <v>0</v>
      </c>
      <c r="Q107">
        <v>20</v>
      </c>
      <c r="R107" t="s">
        <v>45</v>
      </c>
      <c r="S107" t="s">
        <v>80</v>
      </c>
      <c r="T107">
        <v>190</v>
      </c>
      <c r="U107">
        <v>63</v>
      </c>
      <c r="V107">
        <v>1000000</v>
      </c>
      <c r="W107" t="s">
        <v>46</v>
      </c>
      <c r="Y107" t="s">
        <v>264</v>
      </c>
      <c r="Z107">
        <v>90</v>
      </c>
      <c r="AA107">
        <v>65</v>
      </c>
      <c r="AB107">
        <v>65</v>
      </c>
      <c r="AC107">
        <v>40</v>
      </c>
      <c r="AD107">
        <v>40</v>
      </c>
      <c r="AE107">
        <v>15</v>
      </c>
      <c r="AF107">
        <v>315</v>
      </c>
      <c r="AG107">
        <v>1</v>
      </c>
      <c r="AH107">
        <v>0</v>
      </c>
      <c r="AI107">
        <v>0</v>
      </c>
      <c r="AJ107">
        <v>0</v>
      </c>
      <c r="AK107">
        <v>0</v>
      </c>
      <c r="AL107">
        <v>0</v>
      </c>
    </row>
    <row r="108" spans="1:38" x14ac:dyDescent="0.25">
      <c r="A108" t="s">
        <v>371</v>
      </c>
      <c r="B108" t="s">
        <v>371</v>
      </c>
      <c r="C108" s="1">
        <v>80</v>
      </c>
      <c r="D108" s="1" t="s">
        <v>370</v>
      </c>
      <c r="E108">
        <v>1</v>
      </c>
      <c r="F108">
        <v>1.6</v>
      </c>
      <c r="G108">
        <v>78.5</v>
      </c>
      <c r="H108" t="s">
        <v>76</v>
      </c>
      <c r="I108" t="s">
        <v>162</v>
      </c>
      <c r="J108" t="s">
        <v>365</v>
      </c>
      <c r="K108" t="s">
        <v>366</v>
      </c>
      <c r="L108" t="s">
        <v>367</v>
      </c>
      <c r="M108" t="s">
        <v>199</v>
      </c>
      <c r="N108">
        <v>50</v>
      </c>
      <c r="O108">
        <v>50</v>
      </c>
      <c r="P108">
        <v>0</v>
      </c>
      <c r="Q108">
        <v>20</v>
      </c>
      <c r="R108" t="s">
        <v>45</v>
      </c>
      <c r="S108" t="s">
        <v>80</v>
      </c>
      <c r="T108">
        <v>75</v>
      </c>
      <c r="U108">
        <v>172</v>
      </c>
      <c r="V108">
        <v>1000000</v>
      </c>
      <c r="W108" t="s">
        <v>46</v>
      </c>
      <c r="Z108">
        <v>95</v>
      </c>
      <c r="AA108">
        <v>75</v>
      </c>
      <c r="AB108">
        <v>110</v>
      </c>
      <c r="AC108">
        <v>100</v>
      </c>
      <c r="AD108">
        <v>80</v>
      </c>
      <c r="AE108">
        <v>30</v>
      </c>
      <c r="AF108">
        <v>490</v>
      </c>
      <c r="AG108">
        <v>0</v>
      </c>
      <c r="AH108">
        <v>0</v>
      </c>
      <c r="AI108">
        <v>2</v>
      </c>
      <c r="AJ108">
        <v>0</v>
      </c>
      <c r="AK108">
        <v>0</v>
      </c>
      <c r="AL108">
        <v>0</v>
      </c>
    </row>
    <row r="109" spans="1:38" x14ac:dyDescent="0.25">
      <c r="A109" t="s">
        <v>371</v>
      </c>
      <c r="B109" t="s">
        <v>373</v>
      </c>
      <c r="C109" s="1">
        <v>80</v>
      </c>
      <c r="D109" s="1" t="s">
        <v>372</v>
      </c>
      <c r="E109">
        <v>8</v>
      </c>
      <c r="F109">
        <v>1.6</v>
      </c>
      <c r="G109">
        <v>70.5</v>
      </c>
      <c r="H109" t="s">
        <v>41</v>
      </c>
      <c r="I109" t="s">
        <v>162</v>
      </c>
      <c r="J109" t="s">
        <v>374</v>
      </c>
      <c r="K109" t="s">
        <v>366</v>
      </c>
      <c r="L109" t="s">
        <v>367</v>
      </c>
      <c r="M109" t="s">
        <v>199</v>
      </c>
      <c r="N109">
        <v>50</v>
      </c>
      <c r="O109">
        <v>50</v>
      </c>
      <c r="P109">
        <v>0</v>
      </c>
      <c r="Q109">
        <v>20</v>
      </c>
      <c r="R109" t="s">
        <v>45</v>
      </c>
      <c r="S109" t="s">
        <v>80</v>
      </c>
      <c r="T109">
        <v>75</v>
      </c>
      <c r="U109">
        <v>172</v>
      </c>
      <c r="V109">
        <v>1000000</v>
      </c>
      <c r="W109" t="s">
        <v>46</v>
      </c>
      <c r="Y109" t="s">
        <v>264</v>
      </c>
      <c r="Z109">
        <v>95</v>
      </c>
      <c r="AA109">
        <v>100</v>
      </c>
      <c r="AB109">
        <v>95</v>
      </c>
      <c r="AC109">
        <v>100</v>
      </c>
      <c r="AD109">
        <v>70</v>
      </c>
      <c r="AE109">
        <v>30</v>
      </c>
      <c r="AF109">
        <v>490</v>
      </c>
      <c r="AG109">
        <v>0</v>
      </c>
      <c r="AH109">
        <v>2</v>
      </c>
      <c r="AI109">
        <v>0</v>
      </c>
      <c r="AJ109">
        <v>0</v>
      </c>
      <c r="AK109">
        <v>0</v>
      </c>
      <c r="AL109">
        <v>0</v>
      </c>
    </row>
    <row r="110" spans="1:38" x14ac:dyDescent="0.25">
      <c r="A110" t="s">
        <v>371</v>
      </c>
      <c r="B110" t="s">
        <v>376</v>
      </c>
      <c r="C110" s="1">
        <v>80</v>
      </c>
      <c r="D110" s="1" t="s">
        <v>375</v>
      </c>
      <c r="E110">
        <v>1</v>
      </c>
      <c r="F110">
        <v>2</v>
      </c>
      <c r="G110">
        <v>120</v>
      </c>
      <c r="H110" t="s">
        <v>76</v>
      </c>
      <c r="I110" t="s">
        <v>162</v>
      </c>
      <c r="J110" t="s">
        <v>377</v>
      </c>
      <c r="M110" t="s">
        <v>199</v>
      </c>
      <c r="N110">
        <v>50</v>
      </c>
      <c r="O110">
        <v>50</v>
      </c>
      <c r="P110">
        <v>0</v>
      </c>
      <c r="Q110">
        <v>20</v>
      </c>
      <c r="R110" t="s">
        <v>45</v>
      </c>
      <c r="S110" t="s">
        <v>80</v>
      </c>
      <c r="T110">
        <v>75</v>
      </c>
      <c r="U110">
        <v>207</v>
      </c>
      <c r="V110">
        <v>1000000</v>
      </c>
      <c r="W110" t="s">
        <v>46</v>
      </c>
      <c r="X110" t="s">
        <v>54</v>
      </c>
      <c r="Z110">
        <v>95</v>
      </c>
      <c r="AA110">
        <v>75</v>
      </c>
      <c r="AB110">
        <v>180</v>
      </c>
      <c r="AC110">
        <v>130</v>
      </c>
      <c r="AD110">
        <v>80</v>
      </c>
      <c r="AE110">
        <v>30</v>
      </c>
      <c r="AF110">
        <v>590</v>
      </c>
      <c r="AG110">
        <v>0</v>
      </c>
      <c r="AH110">
        <v>0</v>
      </c>
      <c r="AI110">
        <v>2</v>
      </c>
      <c r="AJ110">
        <v>0</v>
      </c>
      <c r="AK110">
        <v>0</v>
      </c>
      <c r="AL110">
        <v>0</v>
      </c>
    </row>
    <row r="111" spans="1:38" x14ac:dyDescent="0.25">
      <c r="A111" t="s">
        <v>379</v>
      </c>
      <c r="B111" t="s">
        <v>379</v>
      </c>
      <c r="C111" s="1">
        <v>81</v>
      </c>
      <c r="D111" s="1" t="s">
        <v>378</v>
      </c>
      <c r="E111">
        <v>1</v>
      </c>
      <c r="F111">
        <v>0.3</v>
      </c>
      <c r="G111">
        <v>6</v>
      </c>
      <c r="H111" t="s">
        <v>154</v>
      </c>
      <c r="I111" t="s">
        <v>171</v>
      </c>
      <c r="J111" t="s">
        <v>342</v>
      </c>
      <c r="K111" t="s">
        <v>338</v>
      </c>
      <c r="L111" t="s">
        <v>380</v>
      </c>
      <c r="M111" t="s">
        <v>318</v>
      </c>
      <c r="N111">
        <v>0</v>
      </c>
      <c r="O111">
        <v>0</v>
      </c>
      <c r="P111">
        <v>100</v>
      </c>
      <c r="Q111">
        <v>20</v>
      </c>
      <c r="R111" t="s">
        <v>339</v>
      </c>
      <c r="T111">
        <v>190</v>
      </c>
      <c r="U111">
        <v>65</v>
      </c>
      <c r="V111">
        <v>1000000</v>
      </c>
      <c r="W111" t="s">
        <v>46</v>
      </c>
      <c r="Z111">
        <v>25</v>
      </c>
      <c r="AA111">
        <v>35</v>
      </c>
      <c r="AB111">
        <v>70</v>
      </c>
      <c r="AC111">
        <v>95</v>
      </c>
      <c r="AD111">
        <v>55</v>
      </c>
      <c r="AE111">
        <v>45</v>
      </c>
      <c r="AF111">
        <v>325</v>
      </c>
      <c r="AG111">
        <v>0</v>
      </c>
      <c r="AH111">
        <v>0</v>
      </c>
      <c r="AI111">
        <v>0</v>
      </c>
      <c r="AJ111">
        <v>1</v>
      </c>
      <c r="AK111">
        <v>0</v>
      </c>
      <c r="AL111">
        <v>0</v>
      </c>
    </row>
    <row r="112" spans="1:38" x14ac:dyDescent="0.25">
      <c r="A112" t="s">
        <v>382</v>
      </c>
      <c r="B112" t="s">
        <v>382</v>
      </c>
      <c r="C112" s="1">
        <v>82</v>
      </c>
      <c r="D112" s="1" t="s">
        <v>381</v>
      </c>
      <c r="E112">
        <v>1</v>
      </c>
      <c r="F112">
        <v>1</v>
      </c>
      <c r="G112">
        <v>60</v>
      </c>
      <c r="H112" t="s">
        <v>154</v>
      </c>
      <c r="I112" t="s">
        <v>171</v>
      </c>
      <c r="J112" t="s">
        <v>342</v>
      </c>
      <c r="K112" t="s">
        <v>338</v>
      </c>
      <c r="L112" t="s">
        <v>380</v>
      </c>
      <c r="M112" t="s">
        <v>318</v>
      </c>
      <c r="N112">
        <v>0</v>
      </c>
      <c r="O112">
        <v>0</v>
      </c>
      <c r="P112">
        <v>100</v>
      </c>
      <c r="Q112">
        <v>20</v>
      </c>
      <c r="R112" t="s">
        <v>339</v>
      </c>
      <c r="T112">
        <v>60</v>
      </c>
      <c r="U112">
        <v>163</v>
      </c>
      <c r="V112">
        <v>1000000</v>
      </c>
      <c r="W112" t="s">
        <v>46</v>
      </c>
      <c r="Z112">
        <v>50</v>
      </c>
      <c r="AA112">
        <v>60</v>
      </c>
      <c r="AB112">
        <v>95</v>
      </c>
      <c r="AC112">
        <v>120</v>
      </c>
      <c r="AD112">
        <v>70</v>
      </c>
      <c r="AE112">
        <v>70</v>
      </c>
      <c r="AF112">
        <v>465</v>
      </c>
      <c r="AG112">
        <v>0</v>
      </c>
      <c r="AH112">
        <v>0</v>
      </c>
      <c r="AI112">
        <v>0</v>
      </c>
      <c r="AJ112">
        <v>2</v>
      </c>
      <c r="AK112">
        <v>0</v>
      </c>
      <c r="AL112">
        <v>0</v>
      </c>
    </row>
    <row r="113" spans="1:38" x14ac:dyDescent="0.25">
      <c r="A113" t="s">
        <v>384</v>
      </c>
      <c r="B113" t="s">
        <v>384</v>
      </c>
      <c r="C113" s="1">
        <v>83</v>
      </c>
      <c r="D113" s="1" t="s">
        <v>383</v>
      </c>
      <c r="E113">
        <v>1</v>
      </c>
      <c r="F113">
        <v>0.8</v>
      </c>
      <c r="G113">
        <v>15</v>
      </c>
      <c r="H113" t="s">
        <v>116</v>
      </c>
      <c r="I113" t="s">
        <v>66</v>
      </c>
      <c r="J113" t="s">
        <v>117</v>
      </c>
      <c r="K113" t="s">
        <v>221</v>
      </c>
      <c r="L113" t="s">
        <v>282</v>
      </c>
      <c r="M113" t="s">
        <v>103</v>
      </c>
      <c r="N113">
        <v>50</v>
      </c>
      <c r="O113">
        <v>50</v>
      </c>
      <c r="P113">
        <v>0</v>
      </c>
      <c r="Q113">
        <v>20</v>
      </c>
      <c r="R113" t="s">
        <v>66</v>
      </c>
      <c r="S113" t="s">
        <v>132</v>
      </c>
      <c r="T113">
        <v>45</v>
      </c>
      <c r="U113">
        <v>132</v>
      </c>
      <c r="V113">
        <v>1000000</v>
      </c>
      <c r="W113" t="s">
        <v>46</v>
      </c>
      <c r="Z113">
        <v>52</v>
      </c>
      <c r="AA113">
        <v>90</v>
      </c>
      <c r="AB113">
        <v>55</v>
      </c>
      <c r="AC113">
        <v>58</v>
      </c>
      <c r="AD113">
        <v>62</v>
      </c>
      <c r="AE113">
        <v>60</v>
      </c>
      <c r="AF113">
        <v>377</v>
      </c>
      <c r="AG113">
        <v>0</v>
      </c>
      <c r="AH113">
        <v>1</v>
      </c>
      <c r="AI113">
        <v>0</v>
      </c>
      <c r="AJ113">
        <v>0</v>
      </c>
      <c r="AK113">
        <v>0</v>
      </c>
      <c r="AL113">
        <v>0</v>
      </c>
    </row>
    <row r="114" spans="1:38" x14ac:dyDescent="0.25">
      <c r="A114" t="s">
        <v>384</v>
      </c>
      <c r="B114" t="s">
        <v>386</v>
      </c>
      <c r="C114" s="1">
        <v>83</v>
      </c>
      <c r="D114" s="1" t="s">
        <v>385</v>
      </c>
      <c r="E114">
        <v>8</v>
      </c>
      <c r="F114">
        <v>0.8</v>
      </c>
      <c r="G114">
        <v>42</v>
      </c>
      <c r="H114" t="s">
        <v>279</v>
      </c>
      <c r="J114" t="s">
        <v>317</v>
      </c>
      <c r="L114" t="s">
        <v>387</v>
      </c>
      <c r="M114" t="s">
        <v>103</v>
      </c>
      <c r="N114">
        <v>50</v>
      </c>
      <c r="O114">
        <v>50</v>
      </c>
      <c r="P114">
        <v>0</v>
      </c>
      <c r="Q114">
        <v>20</v>
      </c>
      <c r="R114" t="s">
        <v>66</v>
      </c>
      <c r="S114" t="s">
        <v>132</v>
      </c>
      <c r="T114">
        <v>45</v>
      </c>
      <c r="U114">
        <v>132</v>
      </c>
      <c r="V114">
        <v>1000000</v>
      </c>
      <c r="W114" t="s">
        <v>46</v>
      </c>
      <c r="Y114" t="s">
        <v>264</v>
      </c>
      <c r="Z114">
        <v>52</v>
      </c>
      <c r="AA114">
        <v>95</v>
      </c>
      <c r="AB114">
        <v>55</v>
      </c>
      <c r="AC114">
        <v>58</v>
      </c>
      <c r="AD114">
        <v>62</v>
      </c>
      <c r="AE114">
        <v>55</v>
      </c>
      <c r="AF114">
        <v>377</v>
      </c>
      <c r="AG114">
        <v>0</v>
      </c>
      <c r="AH114">
        <v>1</v>
      </c>
      <c r="AI114">
        <v>0</v>
      </c>
      <c r="AJ114">
        <v>0</v>
      </c>
      <c r="AK114">
        <v>0</v>
      </c>
      <c r="AL114">
        <v>0</v>
      </c>
    </row>
    <row r="115" spans="1:38" x14ac:dyDescent="0.25">
      <c r="A115" t="s">
        <v>389</v>
      </c>
      <c r="B115" t="s">
        <v>389</v>
      </c>
      <c r="C115" s="1">
        <v>84</v>
      </c>
      <c r="D115" s="1" t="s">
        <v>388</v>
      </c>
      <c r="E115">
        <v>1</v>
      </c>
      <c r="F115">
        <v>1.4</v>
      </c>
      <c r="G115">
        <v>39.200000000000003</v>
      </c>
      <c r="H115" t="s">
        <v>116</v>
      </c>
      <c r="I115" t="s">
        <v>66</v>
      </c>
      <c r="J115" t="s">
        <v>92</v>
      </c>
      <c r="K115" t="s">
        <v>390</v>
      </c>
      <c r="L115" t="s">
        <v>118</v>
      </c>
      <c r="M115" t="s">
        <v>103</v>
      </c>
      <c r="N115">
        <v>50</v>
      </c>
      <c r="O115">
        <v>50</v>
      </c>
      <c r="P115">
        <v>0</v>
      </c>
      <c r="Q115">
        <v>20</v>
      </c>
      <c r="R115" t="s">
        <v>66</v>
      </c>
      <c r="T115">
        <v>190</v>
      </c>
      <c r="U115">
        <v>62</v>
      </c>
      <c r="V115">
        <v>1000000</v>
      </c>
      <c r="W115" t="s">
        <v>46</v>
      </c>
      <c r="Z115">
        <v>35</v>
      </c>
      <c r="AA115">
        <v>85</v>
      </c>
      <c r="AB115">
        <v>45</v>
      </c>
      <c r="AC115">
        <v>35</v>
      </c>
      <c r="AD115">
        <v>35</v>
      </c>
      <c r="AE115">
        <v>75</v>
      </c>
      <c r="AF115">
        <v>310</v>
      </c>
      <c r="AG115">
        <v>0</v>
      </c>
      <c r="AH115">
        <v>1</v>
      </c>
      <c r="AI115">
        <v>0</v>
      </c>
      <c r="AJ115">
        <v>0</v>
      </c>
      <c r="AK115">
        <v>0</v>
      </c>
      <c r="AL115">
        <v>0</v>
      </c>
    </row>
    <row r="116" spans="1:38" x14ac:dyDescent="0.25">
      <c r="A116" t="s">
        <v>392</v>
      </c>
      <c r="B116" t="s">
        <v>392</v>
      </c>
      <c r="C116" s="1">
        <v>85</v>
      </c>
      <c r="D116" s="1" t="s">
        <v>391</v>
      </c>
      <c r="E116">
        <v>1</v>
      </c>
      <c r="F116">
        <v>1.8</v>
      </c>
      <c r="G116">
        <v>85.2</v>
      </c>
      <c r="H116" t="s">
        <v>116</v>
      </c>
      <c r="I116" t="s">
        <v>66</v>
      </c>
      <c r="J116" t="s">
        <v>92</v>
      </c>
      <c r="K116" t="s">
        <v>390</v>
      </c>
      <c r="L116" t="s">
        <v>118</v>
      </c>
      <c r="M116" t="s">
        <v>103</v>
      </c>
      <c r="N116">
        <v>50</v>
      </c>
      <c r="O116">
        <v>50</v>
      </c>
      <c r="P116">
        <v>0</v>
      </c>
      <c r="Q116">
        <v>20</v>
      </c>
      <c r="R116" t="s">
        <v>66</v>
      </c>
      <c r="T116">
        <v>45</v>
      </c>
      <c r="U116">
        <v>165</v>
      </c>
      <c r="V116">
        <v>1000000</v>
      </c>
      <c r="W116" t="s">
        <v>46</v>
      </c>
      <c r="Z116">
        <v>60</v>
      </c>
      <c r="AA116">
        <v>110</v>
      </c>
      <c r="AB116">
        <v>70</v>
      </c>
      <c r="AC116">
        <v>60</v>
      </c>
      <c r="AD116">
        <v>60</v>
      </c>
      <c r="AE116">
        <v>110</v>
      </c>
      <c r="AF116">
        <v>470</v>
      </c>
      <c r="AG116">
        <v>0</v>
      </c>
      <c r="AH116">
        <v>2</v>
      </c>
      <c r="AI116">
        <v>0</v>
      </c>
      <c r="AJ116">
        <v>0</v>
      </c>
      <c r="AK116">
        <v>0</v>
      </c>
      <c r="AL116">
        <v>0</v>
      </c>
    </row>
    <row r="117" spans="1:38" x14ac:dyDescent="0.25">
      <c r="A117" t="s">
        <v>394</v>
      </c>
      <c r="B117" t="s">
        <v>394</v>
      </c>
      <c r="C117" s="1">
        <v>86</v>
      </c>
      <c r="D117" s="1" t="s">
        <v>393</v>
      </c>
      <c r="E117">
        <v>1</v>
      </c>
      <c r="F117">
        <v>1.1000000000000001</v>
      </c>
      <c r="G117">
        <v>90</v>
      </c>
      <c r="H117" t="s">
        <v>76</v>
      </c>
      <c r="J117" t="s">
        <v>53</v>
      </c>
      <c r="K117" t="s">
        <v>395</v>
      </c>
      <c r="L117" t="s">
        <v>396</v>
      </c>
      <c r="M117" t="s">
        <v>100</v>
      </c>
      <c r="N117">
        <v>50</v>
      </c>
      <c r="O117">
        <v>50</v>
      </c>
      <c r="P117">
        <v>0</v>
      </c>
      <c r="Q117">
        <v>20</v>
      </c>
      <c r="R117" t="s">
        <v>80</v>
      </c>
      <c r="S117" t="s">
        <v>132</v>
      </c>
      <c r="T117">
        <v>190</v>
      </c>
      <c r="U117">
        <v>65</v>
      </c>
      <c r="V117">
        <v>1000000</v>
      </c>
      <c r="W117" t="s">
        <v>46</v>
      </c>
      <c r="Z117">
        <v>65</v>
      </c>
      <c r="AA117">
        <v>45</v>
      </c>
      <c r="AB117">
        <v>55</v>
      </c>
      <c r="AC117">
        <v>45</v>
      </c>
      <c r="AD117">
        <v>70</v>
      </c>
      <c r="AE117">
        <v>45</v>
      </c>
      <c r="AF117">
        <v>325</v>
      </c>
      <c r="AG117">
        <v>0</v>
      </c>
      <c r="AH117">
        <v>0</v>
      </c>
      <c r="AI117">
        <v>0</v>
      </c>
      <c r="AJ117">
        <v>0</v>
      </c>
      <c r="AK117">
        <v>1</v>
      </c>
      <c r="AL117">
        <v>0</v>
      </c>
    </row>
    <row r="118" spans="1:38" x14ac:dyDescent="0.25">
      <c r="A118" t="s">
        <v>398</v>
      </c>
      <c r="B118" t="s">
        <v>398</v>
      </c>
      <c r="C118" s="1">
        <v>87</v>
      </c>
      <c r="D118" s="1" t="s">
        <v>397</v>
      </c>
      <c r="E118">
        <v>1</v>
      </c>
      <c r="F118">
        <v>1.7</v>
      </c>
      <c r="G118">
        <v>120</v>
      </c>
      <c r="H118" t="s">
        <v>76</v>
      </c>
      <c r="I118" t="s">
        <v>170</v>
      </c>
      <c r="J118" t="s">
        <v>53</v>
      </c>
      <c r="K118" t="s">
        <v>395</v>
      </c>
      <c r="L118" t="s">
        <v>396</v>
      </c>
      <c r="M118" t="s">
        <v>100</v>
      </c>
      <c r="N118">
        <v>50</v>
      </c>
      <c r="O118">
        <v>50</v>
      </c>
      <c r="P118">
        <v>0</v>
      </c>
      <c r="Q118">
        <v>20</v>
      </c>
      <c r="R118" t="s">
        <v>80</v>
      </c>
      <c r="S118" t="s">
        <v>132</v>
      </c>
      <c r="T118">
        <v>75</v>
      </c>
      <c r="U118">
        <v>166</v>
      </c>
      <c r="V118">
        <v>1000000</v>
      </c>
      <c r="W118" t="s">
        <v>46</v>
      </c>
      <c r="Z118">
        <v>90</v>
      </c>
      <c r="AA118">
        <v>70</v>
      </c>
      <c r="AB118">
        <v>80</v>
      </c>
      <c r="AC118">
        <v>70</v>
      </c>
      <c r="AD118">
        <v>95</v>
      </c>
      <c r="AE118">
        <v>70</v>
      </c>
      <c r="AF118">
        <v>475</v>
      </c>
      <c r="AG118">
        <v>0</v>
      </c>
      <c r="AH118">
        <v>0</v>
      </c>
      <c r="AI118">
        <v>0</v>
      </c>
      <c r="AJ118">
        <v>0</v>
      </c>
      <c r="AK118">
        <v>2</v>
      </c>
      <c r="AL118">
        <v>0</v>
      </c>
    </row>
    <row r="119" spans="1:38" x14ac:dyDescent="0.25">
      <c r="A119" t="s">
        <v>400</v>
      </c>
      <c r="B119" t="s">
        <v>400</v>
      </c>
      <c r="C119" s="1">
        <v>88</v>
      </c>
      <c r="D119" s="1" t="s">
        <v>399</v>
      </c>
      <c r="E119">
        <v>1</v>
      </c>
      <c r="F119">
        <v>0.9</v>
      </c>
      <c r="G119">
        <v>30</v>
      </c>
      <c r="H119" t="s">
        <v>41</v>
      </c>
      <c r="J119" t="s">
        <v>229</v>
      </c>
      <c r="K119" t="s">
        <v>401</v>
      </c>
      <c r="L119" t="s">
        <v>402</v>
      </c>
      <c r="M119" t="s">
        <v>131</v>
      </c>
      <c r="N119">
        <v>50</v>
      </c>
      <c r="O119">
        <v>50</v>
      </c>
      <c r="P119">
        <v>0</v>
      </c>
      <c r="Q119">
        <v>20</v>
      </c>
      <c r="R119" t="s">
        <v>403</v>
      </c>
      <c r="T119">
        <v>190</v>
      </c>
      <c r="U119">
        <v>65</v>
      </c>
      <c r="V119">
        <v>1000000</v>
      </c>
      <c r="W119" t="s">
        <v>46</v>
      </c>
      <c r="Z119">
        <v>80</v>
      </c>
      <c r="AA119">
        <v>80</v>
      </c>
      <c r="AB119">
        <v>50</v>
      </c>
      <c r="AC119">
        <v>40</v>
      </c>
      <c r="AD119">
        <v>50</v>
      </c>
      <c r="AE119">
        <v>25</v>
      </c>
      <c r="AF119">
        <v>325</v>
      </c>
      <c r="AG119">
        <v>1</v>
      </c>
      <c r="AH119">
        <v>0</v>
      </c>
      <c r="AI119">
        <v>0</v>
      </c>
      <c r="AJ119">
        <v>0</v>
      </c>
      <c r="AK119">
        <v>0</v>
      </c>
      <c r="AL119">
        <v>0</v>
      </c>
    </row>
    <row r="120" spans="1:38" x14ac:dyDescent="0.25">
      <c r="A120" t="s">
        <v>400</v>
      </c>
      <c r="B120" t="s">
        <v>405</v>
      </c>
      <c r="C120" s="1">
        <v>88</v>
      </c>
      <c r="D120" s="1" t="s">
        <v>404</v>
      </c>
      <c r="E120">
        <v>7</v>
      </c>
      <c r="F120">
        <v>0.7</v>
      </c>
      <c r="G120">
        <v>42</v>
      </c>
      <c r="H120" t="s">
        <v>41</v>
      </c>
      <c r="I120" t="s">
        <v>135</v>
      </c>
      <c r="J120" t="s">
        <v>402</v>
      </c>
      <c r="K120" t="s">
        <v>136</v>
      </c>
      <c r="L120" t="s">
        <v>406</v>
      </c>
      <c r="M120" t="s">
        <v>44</v>
      </c>
      <c r="N120">
        <v>50</v>
      </c>
      <c r="O120">
        <v>50</v>
      </c>
      <c r="P120">
        <v>0</v>
      </c>
      <c r="Q120">
        <v>20</v>
      </c>
      <c r="R120" t="s">
        <v>403</v>
      </c>
      <c r="T120">
        <v>190</v>
      </c>
      <c r="U120">
        <v>65</v>
      </c>
      <c r="V120">
        <v>1000000</v>
      </c>
      <c r="W120" t="s">
        <v>46</v>
      </c>
      <c r="Y120" t="s">
        <v>137</v>
      </c>
      <c r="Z120">
        <v>80</v>
      </c>
      <c r="AA120">
        <v>80</v>
      </c>
      <c r="AB120">
        <v>50</v>
      </c>
      <c r="AC120">
        <v>40</v>
      </c>
      <c r="AD120">
        <v>50</v>
      </c>
      <c r="AE120">
        <v>25</v>
      </c>
      <c r="AF120">
        <v>325</v>
      </c>
      <c r="AG120">
        <v>1</v>
      </c>
      <c r="AH120">
        <v>0</v>
      </c>
      <c r="AI120">
        <v>0</v>
      </c>
      <c r="AJ120">
        <v>0</v>
      </c>
      <c r="AK120">
        <v>0</v>
      </c>
      <c r="AL120">
        <v>0</v>
      </c>
    </row>
    <row r="121" spans="1:38" x14ac:dyDescent="0.25">
      <c r="A121" t="s">
        <v>408</v>
      </c>
      <c r="B121" t="s">
        <v>408</v>
      </c>
      <c r="C121" s="1">
        <v>89</v>
      </c>
      <c r="D121" s="1" t="s">
        <v>407</v>
      </c>
      <c r="E121">
        <v>1</v>
      </c>
      <c r="F121">
        <v>1.2</v>
      </c>
      <c r="G121">
        <v>30</v>
      </c>
      <c r="H121" t="s">
        <v>41</v>
      </c>
      <c r="J121" t="s">
        <v>229</v>
      </c>
      <c r="K121" t="s">
        <v>401</v>
      </c>
      <c r="L121" t="s">
        <v>402</v>
      </c>
      <c r="M121" t="s">
        <v>131</v>
      </c>
      <c r="N121">
        <v>50</v>
      </c>
      <c r="O121">
        <v>50</v>
      </c>
      <c r="P121">
        <v>0</v>
      </c>
      <c r="Q121">
        <v>20</v>
      </c>
      <c r="R121" t="s">
        <v>403</v>
      </c>
      <c r="T121">
        <v>75</v>
      </c>
      <c r="U121">
        <v>175</v>
      </c>
      <c r="V121">
        <v>1000000</v>
      </c>
      <c r="W121" t="s">
        <v>46</v>
      </c>
      <c r="Z121">
        <v>105</v>
      </c>
      <c r="AA121">
        <v>105</v>
      </c>
      <c r="AB121">
        <v>75</v>
      </c>
      <c r="AC121">
        <v>65</v>
      </c>
      <c r="AD121">
        <v>100</v>
      </c>
      <c r="AE121">
        <v>50</v>
      </c>
      <c r="AF121">
        <v>500</v>
      </c>
      <c r="AG121">
        <v>1</v>
      </c>
      <c r="AH121">
        <v>1</v>
      </c>
      <c r="AI121">
        <v>0</v>
      </c>
      <c r="AJ121">
        <v>0</v>
      </c>
      <c r="AK121">
        <v>0</v>
      </c>
      <c r="AL121">
        <v>0</v>
      </c>
    </row>
    <row r="122" spans="1:38" x14ac:dyDescent="0.25">
      <c r="A122" t="s">
        <v>408</v>
      </c>
      <c r="B122" t="s">
        <v>410</v>
      </c>
      <c r="C122" s="1">
        <v>89</v>
      </c>
      <c r="D122" s="1" t="s">
        <v>409</v>
      </c>
      <c r="E122">
        <v>7</v>
      </c>
      <c r="F122">
        <v>1</v>
      </c>
      <c r="G122">
        <v>52</v>
      </c>
      <c r="H122" t="s">
        <v>41</v>
      </c>
      <c r="I122" t="s">
        <v>135</v>
      </c>
      <c r="J122" t="s">
        <v>402</v>
      </c>
      <c r="K122" t="s">
        <v>136</v>
      </c>
      <c r="L122" t="s">
        <v>406</v>
      </c>
      <c r="M122" t="s">
        <v>44</v>
      </c>
      <c r="N122">
        <v>50</v>
      </c>
      <c r="O122">
        <v>50</v>
      </c>
      <c r="P122">
        <v>0</v>
      </c>
      <c r="Q122">
        <v>20</v>
      </c>
      <c r="R122" t="s">
        <v>403</v>
      </c>
      <c r="T122">
        <v>75</v>
      </c>
      <c r="U122">
        <v>175</v>
      </c>
      <c r="V122">
        <v>1000000</v>
      </c>
      <c r="W122" t="s">
        <v>46</v>
      </c>
      <c r="Y122" t="s">
        <v>137</v>
      </c>
      <c r="Z122">
        <v>105</v>
      </c>
      <c r="AA122">
        <v>105</v>
      </c>
      <c r="AB122">
        <v>75</v>
      </c>
      <c r="AC122">
        <v>65</v>
      </c>
      <c r="AD122">
        <v>100</v>
      </c>
      <c r="AE122">
        <v>50</v>
      </c>
      <c r="AF122">
        <v>500</v>
      </c>
      <c r="AG122">
        <v>1</v>
      </c>
      <c r="AH122">
        <v>1</v>
      </c>
      <c r="AI122">
        <v>0</v>
      </c>
      <c r="AJ122">
        <v>0</v>
      </c>
      <c r="AK122">
        <v>0</v>
      </c>
      <c r="AL122">
        <v>0</v>
      </c>
    </row>
    <row r="123" spans="1:38" x14ac:dyDescent="0.25">
      <c r="A123" t="s">
        <v>412</v>
      </c>
      <c r="B123" t="s">
        <v>412</v>
      </c>
      <c r="C123" s="1">
        <v>90</v>
      </c>
      <c r="D123" s="1" t="s">
        <v>411</v>
      </c>
      <c r="E123">
        <v>1</v>
      </c>
      <c r="F123">
        <v>0.3</v>
      </c>
      <c r="G123">
        <v>4</v>
      </c>
      <c r="H123" t="s">
        <v>76</v>
      </c>
      <c r="J123" t="s">
        <v>377</v>
      </c>
      <c r="K123" t="s">
        <v>413</v>
      </c>
      <c r="L123" t="s">
        <v>414</v>
      </c>
      <c r="M123" t="s">
        <v>131</v>
      </c>
      <c r="N123">
        <v>50</v>
      </c>
      <c r="O123">
        <v>50</v>
      </c>
      <c r="P123">
        <v>0</v>
      </c>
      <c r="Q123">
        <v>20</v>
      </c>
      <c r="R123" t="s">
        <v>333</v>
      </c>
      <c r="T123">
        <v>190</v>
      </c>
      <c r="U123">
        <v>61</v>
      </c>
      <c r="V123">
        <v>1250000</v>
      </c>
      <c r="W123" t="s">
        <v>46</v>
      </c>
      <c r="Z123">
        <v>30</v>
      </c>
      <c r="AA123">
        <v>65</v>
      </c>
      <c r="AB123">
        <v>100</v>
      </c>
      <c r="AC123">
        <v>45</v>
      </c>
      <c r="AD123">
        <v>25</v>
      </c>
      <c r="AE123">
        <v>40</v>
      </c>
      <c r="AF123">
        <v>305</v>
      </c>
      <c r="AG123">
        <v>0</v>
      </c>
      <c r="AH123">
        <v>0</v>
      </c>
      <c r="AI123">
        <v>1</v>
      </c>
      <c r="AJ123">
        <v>0</v>
      </c>
      <c r="AK123">
        <v>0</v>
      </c>
      <c r="AL123">
        <v>0</v>
      </c>
    </row>
    <row r="124" spans="1:38" x14ac:dyDescent="0.25">
      <c r="A124" t="s">
        <v>416</v>
      </c>
      <c r="B124" t="s">
        <v>416</v>
      </c>
      <c r="C124" s="1">
        <v>91</v>
      </c>
      <c r="D124" s="1" t="s">
        <v>415</v>
      </c>
      <c r="E124">
        <v>1</v>
      </c>
      <c r="F124">
        <v>1.5</v>
      </c>
      <c r="G124">
        <v>132.5</v>
      </c>
      <c r="H124" t="s">
        <v>76</v>
      </c>
      <c r="I124" t="s">
        <v>170</v>
      </c>
      <c r="J124" t="s">
        <v>377</v>
      </c>
      <c r="K124" t="s">
        <v>413</v>
      </c>
      <c r="L124" t="s">
        <v>414</v>
      </c>
      <c r="M124" t="s">
        <v>131</v>
      </c>
      <c r="N124">
        <v>50</v>
      </c>
      <c r="O124">
        <v>50</v>
      </c>
      <c r="P124">
        <v>0</v>
      </c>
      <c r="Q124">
        <v>20</v>
      </c>
      <c r="R124" t="s">
        <v>333</v>
      </c>
      <c r="T124">
        <v>60</v>
      </c>
      <c r="U124">
        <v>184</v>
      </c>
      <c r="V124">
        <v>1250000</v>
      </c>
      <c r="W124" t="s">
        <v>46</v>
      </c>
      <c r="Z124">
        <v>50</v>
      </c>
      <c r="AA124">
        <v>95</v>
      </c>
      <c r="AB124">
        <v>180</v>
      </c>
      <c r="AC124">
        <v>85</v>
      </c>
      <c r="AD124">
        <v>45</v>
      </c>
      <c r="AE124">
        <v>70</v>
      </c>
      <c r="AF124">
        <v>525</v>
      </c>
      <c r="AG124">
        <v>0</v>
      </c>
      <c r="AH124">
        <v>0</v>
      </c>
      <c r="AI124">
        <v>2</v>
      </c>
      <c r="AJ124">
        <v>0</v>
      </c>
      <c r="AK124">
        <v>0</v>
      </c>
      <c r="AL124">
        <v>0</v>
      </c>
    </row>
    <row r="125" spans="1:38" x14ac:dyDescent="0.25">
      <c r="A125" t="s">
        <v>418</v>
      </c>
      <c r="B125" t="s">
        <v>418</v>
      </c>
      <c r="C125" s="1">
        <v>92</v>
      </c>
      <c r="D125" s="1" t="s">
        <v>417</v>
      </c>
      <c r="E125">
        <v>1</v>
      </c>
      <c r="F125">
        <v>1.3</v>
      </c>
      <c r="G125">
        <v>0.1</v>
      </c>
      <c r="H125" t="s">
        <v>419</v>
      </c>
      <c r="I125" t="s">
        <v>41</v>
      </c>
      <c r="J125" t="s">
        <v>420</v>
      </c>
      <c r="M125" t="s">
        <v>131</v>
      </c>
      <c r="N125">
        <v>50</v>
      </c>
      <c r="O125">
        <v>50</v>
      </c>
      <c r="P125">
        <v>0</v>
      </c>
      <c r="Q125">
        <v>20</v>
      </c>
      <c r="R125" t="s">
        <v>403</v>
      </c>
      <c r="T125">
        <v>190</v>
      </c>
      <c r="U125">
        <v>62</v>
      </c>
      <c r="V125">
        <v>1059860</v>
      </c>
      <c r="W125" t="s">
        <v>46</v>
      </c>
      <c r="Z125">
        <v>30</v>
      </c>
      <c r="AA125">
        <v>35</v>
      </c>
      <c r="AB125">
        <v>30</v>
      </c>
      <c r="AC125">
        <v>100</v>
      </c>
      <c r="AD125">
        <v>35</v>
      </c>
      <c r="AE125">
        <v>80</v>
      </c>
      <c r="AF125">
        <v>310</v>
      </c>
      <c r="AG125">
        <v>0</v>
      </c>
      <c r="AH125">
        <v>0</v>
      </c>
      <c r="AI125">
        <v>0</v>
      </c>
      <c r="AJ125">
        <v>1</v>
      </c>
      <c r="AK125">
        <v>0</v>
      </c>
      <c r="AL125">
        <v>0</v>
      </c>
    </row>
    <row r="126" spans="1:38" x14ac:dyDescent="0.25">
      <c r="A126" t="s">
        <v>422</v>
      </c>
      <c r="B126" t="s">
        <v>422</v>
      </c>
      <c r="C126" s="1">
        <v>93</v>
      </c>
      <c r="D126" s="1" t="s">
        <v>421</v>
      </c>
      <c r="E126">
        <v>1</v>
      </c>
      <c r="F126">
        <v>1.6</v>
      </c>
      <c r="G126">
        <v>0.1</v>
      </c>
      <c r="H126" t="s">
        <v>419</v>
      </c>
      <c r="I126" t="s">
        <v>41</v>
      </c>
      <c r="J126" t="s">
        <v>420</v>
      </c>
      <c r="M126" t="s">
        <v>131</v>
      </c>
      <c r="N126">
        <v>50</v>
      </c>
      <c r="O126">
        <v>50</v>
      </c>
      <c r="P126">
        <v>0</v>
      </c>
      <c r="Q126">
        <v>20</v>
      </c>
      <c r="R126" t="s">
        <v>403</v>
      </c>
      <c r="T126">
        <v>90</v>
      </c>
      <c r="U126">
        <v>142</v>
      </c>
      <c r="V126">
        <v>1059860</v>
      </c>
      <c r="W126" t="s">
        <v>46</v>
      </c>
      <c r="Z126">
        <v>45</v>
      </c>
      <c r="AA126">
        <v>50</v>
      </c>
      <c r="AB126">
        <v>45</v>
      </c>
      <c r="AC126">
        <v>115</v>
      </c>
      <c r="AD126">
        <v>55</v>
      </c>
      <c r="AE126">
        <v>95</v>
      </c>
      <c r="AF126">
        <v>405</v>
      </c>
      <c r="AG126">
        <v>0</v>
      </c>
      <c r="AH126">
        <v>0</v>
      </c>
      <c r="AI126">
        <v>0</v>
      </c>
      <c r="AJ126">
        <v>2</v>
      </c>
      <c r="AK126">
        <v>0</v>
      </c>
      <c r="AL126">
        <v>0</v>
      </c>
    </row>
    <row r="127" spans="1:38" x14ac:dyDescent="0.25">
      <c r="A127" t="s">
        <v>424</v>
      </c>
      <c r="B127" t="s">
        <v>424</v>
      </c>
      <c r="C127" s="1">
        <v>94</v>
      </c>
      <c r="D127" s="1" t="s">
        <v>423</v>
      </c>
      <c r="E127">
        <v>1</v>
      </c>
      <c r="F127">
        <v>1.5</v>
      </c>
      <c r="G127">
        <v>40.5</v>
      </c>
      <c r="H127" t="s">
        <v>419</v>
      </c>
      <c r="I127" t="s">
        <v>41</v>
      </c>
      <c r="J127" t="s">
        <v>425</v>
      </c>
      <c r="M127" t="s">
        <v>131</v>
      </c>
      <c r="N127">
        <v>50</v>
      </c>
      <c r="O127">
        <v>50</v>
      </c>
      <c r="P127">
        <v>0</v>
      </c>
      <c r="Q127">
        <v>20</v>
      </c>
      <c r="R127" t="s">
        <v>403</v>
      </c>
      <c r="T127">
        <v>45</v>
      </c>
      <c r="U127">
        <v>250</v>
      </c>
      <c r="V127">
        <v>1059860</v>
      </c>
      <c r="W127" t="s">
        <v>46</v>
      </c>
      <c r="Z127">
        <v>60</v>
      </c>
      <c r="AA127">
        <v>65</v>
      </c>
      <c r="AB127">
        <v>60</v>
      </c>
      <c r="AC127">
        <v>130</v>
      </c>
      <c r="AD127">
        <v>75</v>
      </c>
      <c r="AE127">
        <v>110</v>
      </c>
      <c r="AF127">
        <v>500</v>
      </c>
      <c r="AG127">
        <v>0</v>
      </c>
      <c r="AH127">
        <v>0</v>
      </c>
      <c r="AI127">
        <v>0</v>
      </c>
      <c r="AJ127">
        <v>3</v>
      </c>
      <c r="AK127">
        <v>0</v>
      </c>
      <c r="AL127">
        <v>0</v>
      </c>
    </row>
    <row r="128" spans="1:38" x14ac:dyDescent="0.25">
      <c r="A128" t="s">
        <v>424</v>
      </c>
      <c r="B128" t="s">
        <v>427</v>
      </c>
      <c r="C128" s="1">
        <v>94</v>
      </c>
      <c r="D128" s="1" t="s">
        <v>426</v>
      </c>
      <c r="E128">
        <v>1</v>
      </c>
      <c r="F128">
        <v>1.4</v>
      </c>
      <c r="G128">
        <v>40.5</v>
      </c>
      <c r="H128" t="s">
        <v>419</v>
      </c>
      <c r="I128" t="s">
        <v>41</v>
      </c>
      <c r="J128" t="s">
        <v>428</v>
      </c>
      <c r="M128" t="s">
        <v>131</v>
      </c>
      <c r="N128">
        <v>50</v>
      </c>
      <c r="O128">
        <v>50</v>
      </c>
      <c r="P128">
        <v>0</v>
      </c>
      <c r="Q128">
        <v>20</v>
      </c>
      <c r="R128" t="s">
        <v>403</v>
      </c>
      <c r="T128">
        <v>45</v>
      </c>
      <c r="U128">
        <v>270</v>
      </c>
      <c r="V128">
        <v>1059860</v>
      </c>
      <c r="W128" t="s">
        <v>46</v>
      </c>
      <c r="X128" t="s">
        <v>54</v>
      </c>
      <c r="Z128">
        <v>60</v>
      </c>
      <c r="AA128">
        <v>65</v>
      </c>
      <c r="AB128">
        <v>80</v>
      </c>
      <c r="AC128">
        <v>170</v>
      </c>
      <c r="AD128">
        <v>95</v>
      </c>
      <c r="AE128">
        <v>130</v>
      </c>
      <c r="AF128">
        <v>600</v>
      </c>
      <c r="AG128">
        <v>0</v>
      </c>
      <c r="AH128">
        <v>0</v>
      </c>
      <c r="AI128">
        <v>0</v>
      </c>
      <c r="AJ128">
        <v>3</v>
      </c>
      <c r="AK128">
        <v>0</v>
      </c>
      <c r="AL128">
        <v>0</v>
      </c>
    </row>
    <row r="129" spans="1:38" x14ac:dyDescent="0.25">
      <c r="A129" t="s">
        <v>430</v>
      </c>
      <c r="B129" t="s">
        <v>430</v>
      </c>
      <c r="C129" s="1">
        <v>95</v>
      </c>
      <c r="D129" s="1" t="s">
        <v>429</v>
      </c>
      <c r="E129">
        <v>1</v>
      </c>
      <c r="F129">
        <v>8.8000000000000007</v>
      </c>
      <c r="G129">
        <v>210</v>
      </c>
      <c r="H129" t="s">
        <v>290</v>
      </c>
      <c r="I129" t="s">
        <v>132</v>
      </c>
      <c r="J129" t="s">
        <v>291</v>
      </c>
      <c r="K129" t="s">
        <v>338</v>
      </c>
      <c r="L129" t="s">
        <v>431</v>
      </c>
      <c r="M129" t="s">
        <v>318</v>
      </c>
      <c r="N129">
        <v>50</v>
      </c>
      <c r="O129">
        <v>50</v>
      </c>
      <c r="P129">
        <v>0</v>
      </c>
      <c r="Q129">
        <v>25</v>
      </c>
      <c r="R129" t="s">
        <v>339</v>
      </c>
      <c r="T129">
        <v>45</v>
      </c>
      <c r="U129">
        <v>77</v>
      </c>
      <c r="V129">
        <v>1000000</v>
      </c>
      <c r="W129" t="s">
        <v>46</v>
      </c>
      <c r="Z129">
        <v>35</v>
      </c>
      <c r="AA129">
        <v>45</v>
      </c>
      <c r="AB129">
        <v>160</v>
      </c>
      <c r="AC129">
        <v>30</v>
      </c>
      <c r="AD129">
        <v>45</v>
      </c>
      <c r="AE129">
        <v>70</v>
      </c>
      <c r="AF129">
        <v>385</v>
      </c>
      <c r="AG129">
        <v>0</v>
      </c>
      <c r="AH129">
        <v>0</v>
      </c>
      <c r="AI129">
        <v>1</v>
      </c>
      <c r="AJ129">
        <v>0</v>
      </c>
      <c r="AK129">
        <v>0</v>
      </c>
      <c r="AL129">
        <v>0</v>
      </c>
    </row>
    <row r="130" spans="1:38" x14ac:dyDescent="0.25">
      <c r="A130" t="s">
        <v>433</v>
      </c>
      <c r="B130" t="s">
        <v>433</v>
      </c>
      <c r="C130" s="1">
        <v>96</v>
      </c>
      <c r="D130" s="1" t="s">
        <v>432</v>
      </c>
      <c r="E130">
        <v>1</v>
      </c>
      <c r="F130">
        <v>1</v>
      </c>
      <c r="G130">
        <v>32.4</v>
      </c>
      <c r="H130" t="s">
        <v>162</v>
      </c>
      <c r="J130" t="s">
        <v>434</v>
      </c>
      <c r="K130" t="s">
        <v>435</v>
      </c>
      <c r="L130" t="s">
        <v>221</v>
      </c>
      <c r="M130" t="s">
        <v>106</v>
      </c>
      <c r="N130">
        <v>50</v>
      </c>
      <c r="O130">
        <v>50</v>
      </c>
      <c r="P130">
        <v>0</v>
      </c>
      <c r="Q130">
        <v>20</v>
      </c>
      <c r="R130" t="s">
        <v>307</v>
      </c>
      <c r="T130">
        <v>190</v>
      </c>
      <c r="U130">
        <v>66</v>
      </c>
      <c r="V130">
        <v>1000000</v>
      </c>
      <c r="W130" t="s">
        <v>46</v>
      </c>
      <c r="Z130">
        <v>60</v>
      </c>
      <c r="AA130">
        <v>48</v>
      </c>
      <c r="AB130">
        <v>45</v>
      </c>
      <c r="AC130">
        <v>43</v>
      </c>
      <c r="AD130">
        <v>90</v>
      </c>
      <c r="AE130">
        <v>42</v>
      </c>
      <c r="AF130">
        <v>328</v>
      </c>
      <c r="AG130">
        <v>0</v>
      </c>
      <c r="AH130">
        <v>0</v>
      </c>
      <c r="AI130">
        <v>0</v>
      </c>
      <c r="AJ130">
        <v>0</v>
      </c>
      <c r="AK130">
        <v>1</v>
      </c>
      <c r="AL130">
        <v>0</v>
      </c>
    </row>
    <row r="131" spans="1:38" x14ac:dyDescent="0.25">
      <c r="A131" t="s">
        <v>437</v>
      </c>
      <c r="B131" t="s">
        <v>437</v>
      </c>
      <c r="C131" s="1">
        <v>97</v>
      </c>
      <c r="D131" s="1" t="s">
        <v>436</v>
      </c>
      <c r="E131">
        <v>1</v>
      </c>
      <c r="F131">
        <v>1.6</v>
      </c>
      <c r="G131">
        <v>75.599999999999994</v>
      </c>
      <c r="H131" t="s">
        <v>162</v>
      </c>
      <c r="J131" t="s">
        <v>434</v>
      </c>
      <c r="K131" t="s">
        <v>435</v>
      </c>
      <c r="L131" t="s">
        <v>221</v>
      </c>
      <c r="M131" t="s">
        <v>106</v>
      </c>
      <c r="N131">
        <v>50</v>
      </c>
      <c r="O131">
        <v>50</v>
      </c>
      <c r="P131">
        <v>0</v>
      </c>
      <c r="Q131">
        <v>20</v>
      </c>
      <c r="R131" t="s">
        <v>307</v>
      </c>
      <c r="T131">
        <v>75</v>
      </c>
      <c r="U131">
        <v>169</v>
      </c>
      <c r="V131">
        <v>1000000</v>
      </c>
      <c r="W131" t="s">
        <v>46</v>
      </c>
      <c r="Z131">
        <v>85</v>
      </c>
      <c r="AA131">
        <v>73</v>
      </c>
      <c r="AB131">
        <v>70</v>
      </c>
      <c r="AC131">
        <v>73</v>
      </c>
      <c r="AD131">
        <v>115</v>
      </c>
      <c r="AE131">
        <v>67</v>
      </c>
      <c r="AF131">
        <v>483</v>
      </c>
      <c r="AG131">
        <v>0</v>
      </c>
      <c r="AH131">
        <v>0</v>
      </c>
      <c r="AI131">
        <v>0</v>
      </c>
      <c r="AJ131">
        <v>0</v>
      </c>
      <c r="AK131">
        <v>2</v>
      </c>
      <c r="AL131">
        <v>0</v>
      </c>
    </row>
    <row r="132" spans="1:38" x14ac:dyDescent="0.25">
      <c r="A132" t="s">
        <v>439</v>
      </c>
      <c r="B132" t="s">
        <v>439</v>
      </c>
      <c r="C132" s="1">
        <v>98</v>
      </c>
      <c r="D132" s="1" t="s">
        <v>438</v>
      </c>
      <c r="E132">
        <v>1</v>
      </c>
      <c r="F132">
        <v>0.4</v>
      </c>
      <c r="G132">
        <v>6.5</v>
      </c>
      <c r="H132" t="s">
        <v>76</v>
      </c>
      <c r="J132" t="s">
        <v>440</v>
      </c>
      <c r="K132" t="s">
        <v>377</v>
      </c>
      <c r="L132" t="s">
        <v>187</v>
      </c>
      <c r="M132" t="s">
        <v>60</v>
      </c>
      <c r="N132">
        <v>50</v>
      </c>
      <c r="O132">
        <v>50</v>
      </c>
      <c r="P132">
        <v>0</v>
      </c>
      <c r="Q132">
        <v>20</v>
      </c>
      <c r="R132" t="s">
        <v>333</v>
      </c>
      <c r="T132">
        <v>225</v>
      </c>
      <c r="U132">
        <v>65</v>
      </c>
      <c r="V132">
        <v>1000000</v>
      </c>
      <c r="W132" t="s">
        <v>46</v>
      </c>
      <c r="Z132">
        <v>30</v>
      </c>
      <c r="AA132">
        <v>105</v>
      </c>
      <c r="AB132">
        <v>90</v>
      </c>
      <c r="AC132">
        <v>25</v>
      </c>
      <c r="AD132">
        <v>25</v>
      </c>
      <c r="AE132">
        <v>50</v>
      </c>
      <c r="AF132">
        <v>325</v>
      </c>
      <c r="AG132">
        <v>0</v>
      </c>
      <c r="AH132">
        <v>1</v>
      </c>
      <c r="AI132">
        <v>0</v>
      </c>
      <c r="AJ132">
        <v>0</v>
      </c>
      <c r="AK132">
        <v>0</v>
      </c>
      <c r="AL132">
        <v>0</v>
      </c>
    </row>
    <row r="133" spans="1:38" x14ac:dyDescent="0.25">
      <c r="A133" t="s">
        <v>442</v>
      </c>
      <c r="B133" t="s">
        <v>442</v>
      </c>
      <c r="C133" s="1">
        <v>99</v>
      </c>
      <c r="D133" s="1" t="s">
        <v>441</v>
      </c>
      <c r="E133">
        <v>1</v>
      </c>
      <c r="F133">
        <v>1.3</v>
      </c>
      <c r="G133">
        <v>60</v>
      </c>
      <c r="H133" t="s">
        <v>76</v>
      </c>
      <c r="J133" t="s">
        <v>440</v>
      </c>
      <c r="K133" t="s">
        <v>377</v>
      </c>
      <c r="L133" t="s">
        <v>187</v>
      </c>
      <c r="M133" t="s">
        <v>60</v>
      </c>
      <c r="N133">
        <v>50</v>
      </c>
      <c r="O133">
        <v>50</v>
      </c>
      <c r="P133">
        <v>0</v>
      </c>
      <c r="Q133">
        <v>20</v>
      </c>
      <c r="R133" t="s">
        <v>333</v>
      </c>
      <c r="T133">
        <v>60</v>
      </c>
      <c r="U133">
        <v>166</v>
      </c>
      <c r="V133">
        <v>1000000</v>
      </c>
      <c r="W133" t="s">
        <v>46</v>
      </c>
      <c r="Z133">
        <v>55</v>
      </c>
      <c r="AA133">
        <v>130</v>
      </c>
      <c r="AB133">
        <v>115</v>
      </c>
      <c r="AC133">
        <v>50</v>
      </c>
      <c r="AD133">
        <v>50</v>
      </c>
      <c r="AE133">
        <v>75</v>
      </c>
      <c r="AF133">
        <v>475</v>
      </c>
      <c r="AG133">
        <v>0</v>
      </c>
      <c r="AH133">
        <v>2</v>
      </c>
      <c r="AI133">
        <v>0</v>
      </c>
      <c r="AJ133">
        <v>0</v>
      </c>
      <c r="AK133">
        <v>0</v>
      </c>
      <c r="AL133">
        <v>0</v>
      </c>
    </row>
    <row r="134" spans="1:38" x14ac:dyDescent="0.25">
      <c r="A134" t="s">
        <v>444</v>
      </c>
      <c r="B134" t="s">
        <v>444</v>
      </c>
      <c r="C134" s="1">
        <v>100</v>
      </c>
      <c r="D134" s="1" t="s">
        <v>443</v>
      </c>
      <c r="E134">
        <v>1</v>
      </c>
      <c r="F134">
        <v>0.5</v>
      </c>
      <c r="G134">
        <v>10.4</v>
      </c>
      <c r="H134" t="s">
        <v>154</v>
      </c>
      <c r="J134" t="s">
        <v>445</v>
      </c>
      <c r="K134" t="s">
        <v>155</v>
      </c>
      <c r="L134" t="s">
        <v>446</v>
      </c>
      <c r="M134" t="s">
        <v>60</v>
      </c>
      <c r="N134">
        <v>0</v>
      </c>
      <c r="O134">
        <v>0</v>
      </c>
      <c r="P134">
        <v>100</v>
      </c>
      <c r="Q134">
        <v>20</v>
      </c>
      <c r="R134" t="s">
        <v>339</v>
      </c>
      <c r="T134">
        <v>190</v>
      </c>
      <c r="U134">
        <v>66</v>
      </c>
      <c r="V134">
        <v>1000000</v>
      </c>
      <c r="W134" t="s">
        <v>46</v>
      </c>
      <c r="Z134">
        <v>40</v>
      </c>
      <c r="AA134">
        <v>30</v>
      </c>
      <c r="AB134">
        <v>50</v>
      </c>
      <c r="AC134">
        <v>55</v>
      </c>
      <c r="AD134">
        <v>55</v>
      </c>
      <c r="AE134">
        <v>100</v>
      </c>
      <c r="AF134">
        <v>330</v>
      </c>
      <c r="AG134">
        <v>0</v>
      </c>
      <c r="AH134">
        <v>0</v>
      </c>
      <c r="AI134">
        <v>0</v>
      </c>
      <c r="AJ134">
        <v>0</v>
      </c>
      <c r="AK134">
        <v>0</v>
      </c>
      <c r="AL134">
        <v>1</v>
      </c>
    </row>
    <row r="135" spans="1:38" x14ac:dyDescent="0.25">
      <c r="A135" t="s">
        <v>444</v>
      </c>
      <c r="B135" t="s">
        <v>448</v>
      </c>
      <c r="C135" s="1">
        <v>100</v>
      </c>
      <c r="D135" s="1" t="s">
        <v>447</v>
      </c>
      <c r="E135">
        <v>8</v>
      </c>
      <c r="F135">
        <v>0.5</v>
      </c>
      <c r="G135">
        <v>13</v>
      </c>
      <c r="H135" t="s">
        <v>154</v>
      </c>
      <c r="I135" t="s">
        <v>40</v>
      </c>
      <c r="J135" t="s">
        <v>445</v>
      </c>
      <c r="K135" t="s">
        <v>155</v>
      </c>
      <c r="L135" t="s">
        <v>446</v>
      </c>
      <c r="M135" t="s">
        <v>60</v>
      </c>
      <c r="N135">
        <v>0</v>
      </c>
      <c r="O135">
        <v>0</v>
      </c>
      <c r="P135">
        <v>100</v>
      </c>
      <c r="Q135">
        <v>20</v>
      </c>
      <c r="R135" t="s">
        <v>339</v>
      </c>
      <c r="T135">
        <v>190</v>
      </c>
      <c r="U135">
        <v>66</v>
      </c>
      <c r="V135">
        <v>1000000</v>
      </c>
      <c r="W135" t="s">
        <v>46</v>
      </c>
      <c r="Y135" t="s">
        <v>292</v>
      </c>
      <c r="Z135">
        <v>40</v>
      </c>
      <c r="AA135">
        <v>30</v>
      </c>
      <c r="AB135">
        <v>50</v>
      </c>
      <c r="AC135">
        <v>55</v>
      </c>
      <c r="AD135">
        <v>55</v>
      </c>
      <c r="AE135">
        <v>100</v>
      </c>
      <c r="AF135">
        <v>330</v>
      </c>
      <c r="AG135">
        <v>0</v>
      </c>
      <c r="AH135">
        <v>0</v>
      </c>
      <c r="AI135">
        <v>0</v>
      </c>
      <c r="AJ135">
        <v>0</v>
      </c>
      <c r="AK135">
        <v>0</v>
      </c>
      <c r="AL135">
        <v>1</v>
      </c>
    </row>
    <row r="136" spans="1:38" x14ac:dyDescent="0.25">
      <c r="A136" t="s">
        <v>450</v>
      </c>
      <c r="B136" t="s">
        <v>450</v>
      </c>
      <c r="C136" s="1">
        <v>101</v>
      </c>
      <c r="D136" s="1" t="s">
        <v>449</v>
      </c>
      <c r="E136">
        <v>1</v>
      </c>
      <c r="F136">
        <v>1.2</v>
      </c>
      <c r="G136">
        <v>66.599999999999994</v>
      </c>
      <c r="H136" t="s">
        <v>154</v>
      </c>
      <c r="J136" t="s">
        <v>445</v>
      </c>
      <c r="K136" t="s">
        <v>155</v>
      </c>
      <c r="L136" t="s">
        <v>446</v>
      </c>
      <c r="M136" t="s">
        <v>60</v>
      </c>
      <c r="N136">
        <v>0</v>
      </c>
      <c r="O136">
        <v>0</v>
      </c>
      <c r="P136">
        <v>100</v>
      </c>
      <c r="Q136">
        <v>20</v>
      </c>
      <c r="R136" t="s">
        <v>339</v>
      </c>
      <c r="T136">
        <v>60</v>
      </c>
      <c r="U136">
        <v>172</v>
      </c>
      <c r="V136">
        <v>1000000</v>
      </c>
      <c r="W136" t="s">
        <v>46</v>
      </c>
      <c r="Z136">
        <v>60</v>
      </c>
      <c r="AA136">
        <v>50</v>
      </c>
      <c r="AB136">
        <v>70</v>
      </c>
      <c r="AC136">
        <v>80</v>
      </c>
      <c r="AD136">
        <v>80</v>
      </c>
      <c r="AE136">
        <v>150</v>
      </c>
      <c r="AF136">
        <v>490</v>
      </c>
      <c r="AG136">
        <v>0</v>
      </c>
      <c r="AH136">
        <v>0</v>
      </c>
      <c r="AI136">
        <v>0</v>
      </c>
      <c r="AJ136">
        <v>0</v>
      </c>
      <c r="AK136">
        <v>0</v>
      </c>
      <c r="AL136">
        <v>2</v>
      </c>
    </row>
    <row r="137" spans="1:38" x14ac:dyDescent="0.25">
      <c r="A137" t="s">
        <v>450</v>
      </c>
      <c r="B137" t="s">
        <v>452</v>
      </c>
      <c r="C137" s="1">
        <v>101</v>
      </c>
      <c r="D137" s="1" t="s">
        <v>451</v>
      </c>
      <c r="E137">
        <v>8</v>
      </c>
      <c r="F137">
        <v>1.2</v>
      </c>
      <c r="G137">
        <v>71</v>
      </c>
      <c r="H137" t="s">
        <v>154</v>
      </c>
      <c r="I137" t="s">
        <v>40</v>
      </c>
      <c r="J137" t="s">
        <v>445</v>
      </c>
      <c r="K137" t="s">
        <v>155</v>
      </c>
      <c r="L137" t="s">
        <v>446</v>
      </c>
      <c r="M137" t="s">
        <v>60</v>
      </c>
      <c r="N137">
        <v>0</v>
      </c>
      <c r="O137">
        <v>0</v>
      </c>
      <c r="P137">
        <v>100</v>
      </c>
      <c r="Q137">
        <v>20</v>
      </c>
      <c r="R137" t="s">
        <v>339</v>
      </c>
      <c r="T137">
        <v>60</v>
      </c>
      <c r="U137">
        <v>172</v>
      </c>
      <c r="V137">
        <v>1000000</v>
      </c>
      <c r="W137" t="s">
        <v>46</v>
      </c>
      <c r="Y137" t="s">
        <v>292</v>
      </c>
      <c r="Z137">
        <v>60</v>
      </c>
      <c r="AA137">
        <v>50</v>
      </c>
      <c r="AB137">
        <v>70</v>
      </c>
      <c r="AC137">
        <v>80</v>
      </c>
      <c r="AD137">
        <v>80</v>
      </c>
      <c r="AE137">
        <v>150</v>
      </c>
      <c r="AF137">
        <v>490</v>
      </c>
      <c r="AG137">
        <v>0</v>
      </c>
      <c r="AH137">
        <v>0</v>
      </c>
      <c r="AI137">
        <v>0</v>
      </c>
      <c r="AJ137">
        <v>0</v>
      </c>
      <c r="AK137">
        <v>0</v>
      </c>
      <c r="AL137">
        <v>2</v>
      </c>
    </row>
    <row r="138" spans="1:38" x14ac:dyDescent="0.25">
      <c r="A138" t="s">
        <v>454</v>
      </c>
      <c r="B138" t="s">
        <v>454</v>
      </c>
      <c r="C138" s="1">
        <v>102</v>
      </c>
      <c r="D138" s="1" t="s">
        <v>453</v>
      </c>
      <c r="E138">
        <v>1</v>
      </c>
      <c r="F138">
        <v>0.4</v>
      </c>
      <c r="G138">
        <v>2.5</v>
      </c>
      <c r="H138" t="s">
        <v>40</v>
      </c>
      <c r="I138" t="s">
        <v>162</v>
      </c>
      <c r="J138" t="s">
        <v>43</v>
      </c>
      <c r="L138" t="s">
        <v>455</v>
      </c>
      <c r="M138" t="s">
        <v>199</v>
      </c>
      <c r="N138">
        <v>50</v>
      </c>
      <c r="O138">
        <v>50</v>
      </c>
      <c r="P138">
        <v>0</v>
      </c>
      <c r="Q138">
        <v>20</v>
      </c>
      <c r="R138" t="s">
        <v>40</v>
      </c>
      <c r="T138">
        <v>90</v>
      </c>
      <c r="U138">
        <v>65</v>
      </c>
      <c r="V138">
        <v>1250000</v>
      </c>
      <c r="W138" t="s">
        <v>46</v>
      </c>
      <c r="Z138">
        <v>60</v>
      </c>
      <c r="AA138">
        <v>40</v>
      </c>
      <c r="AB138">
        <v>80</v>
      </c>
      <c r="AC138">
        <v>60</v>
      </c>
      <c r="AD138">
        <v>45</v>
      </c>
      <c r="AE138">
        <v>40</v>
      </c>
      <c r="AF138">
        <v>325</v>
      </c>
      <c r="AG138">
        <v>0</v>
      </c>
      <c r="AH138">
        <v>0</v>
      </c>
      <c r="AI138">
        <v>1</v>
      </c>
      <c r="AJ138">
        <v>0</v>
      </c>
      <c r="AK138">
        <v>0</v>
      </c>
      <c r="AL138">
        <v>0</v>
      </c>
    </row>
    <row r="139" spans="1:38" x14ac:dyDescent="0.25">
      <c r="A139" t="s">
        <v>457</v>
      </c>
      <c r="B139" t="s">
        <v>457</v>
      </c>
      <c r="C139" s="1">
        <v>103</v>
      </c>
      <c r="D139" s="1" t="s">
        <v>456</v>
      </c>
      <c r="E139">
        <v>1</v>
      </c>
      <c r="F139">
        <v>2</v>
      </c>
      <c r="G139">
        <v>120</v>
      </c>
      <c r="H139" t="s">
        <v>40</v>
      </c>
      <c r="I139" t="s">
        <v>162</v>
      </c>
      <c r="J139" t="s">
        <v>43</v>
      </c>
      <c r="L139" t="s">
        <v>455</v>
      </c>
      <c r="M139" t="s">
        <v>106</v>
      </c>
      <c r="N139">
        <v>50</v>
      </c>
      <c r="O139">
        <v>50</v>
      </c>
      <c r="P139">
        <v>0</v>
      </c>
      <c r="Q139">
        <v>20</v>
      </c>
      <c r="R139" t="s">
        <v>40</v>
      </c>
      <c r="T139">
        <v>45</v>
      </c>
      <c r="U139">
        <v>186</v>
      </c>
      <c r="V139">
        <v>1250000</v>
      </c>
      <c r="W139" t="s">
        <v>46</v>
      </c>
      <c r="Z139">
        <v>95</v>
      </c>
      <c r="AA139">
        <v>95</v>
      </c>
      <c r="AB139">
        <v>85</v>
      </c>
      <c r="AC139">
        <v>125</v>
      </c>
      <c r="AD139">
        <v>75</v>
      </c>
      <c r="AE139">
        <v>55</v>
      </c>
      <c r="AF139">
        <v>530</v>
      </c>
      <c r="AG139">
        <v>0</v>
      </c>
      <c r="AH139">
        <v>0</v>
      </c>
      <c r="AI139">
        <v>0</v>
      </c>
      <c r="AJ139">
        <v>2</v>
      </c>
      <c r="AK139">
        <v>0</v>
      </c>
      <c r="AL139">
        <v>0</v>
      </c>
    </row>
    <row r="140" spans="1:38" x14ac:dyDescent="0.25">
      <c r="A140" t="s">
        <v>457</v>
      </c>
      <c r="B140" t="s">
        <v>459</v>
      </c>
      <c r="C140" s="1">
        <v>103</v>
      </c>
      <c r="D140" s="1" t="s">
        <v>458</v>
      </c>
      <c r="E140">
        <v>7</v>
      </c>
      <c r="F140">
        <v>10.9</v>
      </c>
      <c r="G140">
        <v>415.6</v>
      </c>
      <c r="H140" t="s">
        <v>40</v>
      </c>
      <c r="I140" t="s">
        <v>61</v>
      </c>
      <c r="J140" t="s">
        <v>218</v>
      </c>
      <c r="L140" t="s">
        <v>455</v>
      </c>
      <c r="M140" t="s">
        <v>106</v>
      </c>
      <c r="N140">
        <v>50</v>
      </c>
      <c r="O140">
        <v>50</v>
      </c>
      <c r="P140">
        <v>0</v>
      </c>
      <c r="Q140">
        <v>20</v>
      </c>
      <c r="R140" t="s">
        <v>40</v>
      </c>
      <c r="T140">
        <v>45</v>
      </c>
      <c r="U140">
        <v>186</v>
      </c>
      <c r="V140">
        <v>1250000</v>
      </c>
      <c r="W140" t="s">
        <v>46</v>
      </c>
      <c r="Y140" t="s">
        <v>137</v>
      </c>
      <c r="Z140">
        <v>95</v>
      </c>
      <c r="AA140">
        <v>105</v>
      </c>
      <c r="AB140">
        <v>85</v>
      </c>
      <c r="AC140">
        <v>125</v>
      </c>
      <c r="AD140">
        <v>75</v>
      </c>
      <c r="AE140">
        <v>45</v>
      </c>
      <c r="AF140">
        <v>530</v>
      </c>
      <c r="AG140">
        <v>0</v>
      </c>
      <c r="AH140">
        <v>0</v>
      </c>
      <c r="AI140">
        <v>0</v>
      </c>
      <c r="AJ140">
        <v>2</v>
      </c>
      <c r="AK140">
        <v>0</v>
      </c>
      <c r="AL140">
        <v>0</v>
      </c>
    </row>
    <row r="141" spans="1:38" x14ac:dyDescent="0.25">
      <c r="A141" t="s">
        <v>461</v>
      </c>
      <c r="B141" t="s">
        <v>461</v>
      </c>
      <c r="C141" s="1">
        <v>104</v>
      </c>
      <c r="D141" s="1" t="s">
        <v>460</v>
      </c>
      <c r="E141">
        <v>1</v>
      </c>
      <c r="F141">
        <v>0.4</v>
      </c>
      <c r="G141">
        <v>6.5</v>
      </c>
      <c r="H141" t="s">
        <v>132</v>
      </c>
      <c r="J141" t="s">
        <v>291</v>
      </c>
      <c r="K141" t="s">
        <v>156</v>
      </c>
      <c r="L141" t="s">
        <v>462</v>
      </c>
      <c r="M141" t="s">
        <v>103</v>
      </c>
      <c r="N141">
        <v>50</v>
      </c>
      <c r="O141">
        <v>50</v>
      </c>
      <c r="P141">
        <v>0</v>
      </c>
      <c r="Q141">
        <v>20</v>
      </c>
      <c r="R141" t="s">
        <v>45</v>
      </c>
      <c r="T141">
        <v>190</v>
      </c>
      <c r="U141">
        <v>64</v>
      </c>
      <c r="V141">
        <v>1000000</v>
      </c>
      <c r="W141" t="s">
        <v>46</v>
      </c>
      <c r="Z141">
        <v>50</v>
      </c>
      <c r="AA141">
        <v>50</v>
      </c>
      <c r="AB141">
        <v>95</v>
      </c>
      <c r="AC141">
        <v>40</v>
      </c>
      <c r="AD141">
        <v>50</v>
      </c>
      <c r="AE141">
        <v>35</v>
      </c>
      <c r="AF141">
        <v>320</v>
      </c>
      <c r="AG141">
        <v>0</v>
      </c>
      <c r="AH141">
        <v>0</v>
      </c>
      <c r="AI141">
        <v>1</v>
      </c>
      <c r="AJ141">
        <v>0</v>
      </c>
      <c r="AK141">
        <v>0</v>
      </c>
      <c r="AL141">
        <v>0</v>
      </c>
    </row>
    <row r="142" spans="1:38" x14ac:dyDescent="0.25">
      <c r="A142" t="s">
        <v>464</v>
      </c>
      <c r="B142" t="s">
        <v>464</v>
      </c>
      <c r="C142" s="1">
        <v>105</v>
      </c>
      <c r="D142" s="1" t="s">
        <v>463</v>
      </c>
      <c r="E142">
        <v>1</v>
      </c>
      <c r="F142">
        <v>1</v>
      </c>
      <c r="G142">
        <v>45</v>
      </c>
      <c r="H142" t="s">
        <v>132</v>
      </c>
      <c r="J142" t="s">
        <v>291</v>
      </c>
      <c r="K142" t="s">
        <v>156</v>
      </c>
      <c r="L142" t="s">
        <v>462</v>
      </c>
      <c r="M142" t="s">
        <v>103</v>
      </c>
      <c r="N142">
        <v>50</v>
      </c>
      <c r="O142">
        <v>50</v>
      </c>
      <c r="P142">
        <v>0</v>
      </c>
      <c r="Q142">
        <v>20</v>
      </c>
      <c r="R142" t="s">
        <v>45</v>
      </c>
      <c r="T142">
        <v>75</v>
      </c>
      <c r="U142">
        <v>149</v>
      </c>
      <c r="V142">
        <v>1000000</v>
      </c>
      <c r="W142" t="s">
        <v>46</v>
      </c>
      <c r="Z142">
        <v>60</v>
      </c>
      <c r="AA142">
        <v>80</v>
      </c>
      <c r="AB142">
        <v>110</v>
      </c>
      <c r="AC142">
        <v>50</v>
      </c>
      <c r="AD142">
        <v>80</v>
      </c>
      <c r="AE142">
        <v>45</v>
      </c>
      <c r="AF142">
        <v>425</v>
      </c>
      <c r="AG142">
        <v>0</v>
      </c>
      <c r="AH142">
        <v>0</v>
      </c>
      <c r="AI142">
        <v>2</v>
      </c>
      <c r="AJ142">
        <v>0</v>
      </c>
      <c r="AK142">
        <v>0</v>
      </c>
      <c r="AL142">
        <v>0</v>
      </c>
    </row>
    <row r="143" spans="1:38" x14ac:dyDescent="0.25">
      <c r="A143" t="s">
        <v>464</v>
      </c>
      <c r="B143" t="s">
        <v>466</v>
      </c>
      <c r="C143" s="1">
        <v>105</v>
      </c>
      <c r="D143" s="1" t="s">
        <v>465</v>
      </c>
      <c r="E143">
        <v>7</v>
      </c>
      <c r="F143">
        <v>1</v>
      </c>
      <c r="G143">
        <v>34</v>
      </c>
      <c r="H143" t="s">
        <v>57</v>
      </c>
      <c r="I143" t="s">
        <v>419</v>
      </c>
      <c r="J143" t="s">
        <v>425</v>
      </c>
      <c r="K143" t="s">
        <v>156</v>
      </c>
      <c r="L143" t="s">
        <v>291</v>
      </c>
      <c r="M143" t="s">
        <v>131</v>
      </c>
      <c r="N143">
        <v>50</v>
      </c>
      <c r="O143">
        <v>50</v>
      </c>
      <c r="P143">
        <v>0</v>
      </c>
      <c r="Q143">
        <v>20</v>
      </c>
      <c r="R143" t="s">
        <v>45</v>
      </c>
      <c r="T143">
        <v>75</v>
      </c>
      <c r="U143">
        <v>149</v>
      </c>
      <c r="V143">
        <v>1000000</v>
      </c>
      <c r="W143" t="s">
        <v>46</v>
      </c>
      <c r="Y143" t="s">
        <v>137</v>
      </c>
      <c r="Z143">
        <v>60</v>
      </c>
      <c r="AA143">
        <v>80</v>
      </c>
      <c r="AB143">
        <v>110</v>
      </c>
      <c r="AC143">
        <v>50</v>
      </c>
      <c r="AD143">
        <v>80</v>
      </c>
      <c r="AE143">
        <v>45</v>
      </c>
      <c r="AF143">
        <v>425</v>
      </c>
      <c r="AG143">
        <v>0</v>
      </c>
      <c r="AH143">
        <v>0</v>
      </c>
      <c r="AI143">
        <v>2</v>
      </c>
      <c r="AJ143">
        <v>0</v>
      </c>
      <c r="AK143">
        <v>0</v>
      </c>
      <c r="AL143">
        <v>0</v>
      </c>
    </row>
    <row r="144" spans="1:38" x14ac:dyDescent="0.25">
      <c r="A144" t="s">
        <v>468</v>
      </c>
      <c r="B144" t="s">
        <v>468</v>
      </c>
      <c r="C144" s="1">
        <v>106</v>
      </c>
      <c r="D144" s="1" t="s">
        <v>467</v>
      </c>
      <c r="E144">
        <v>1</v>
      </c>
      <c r="F144">
        <v>1.5</v>
      </c>
      <c r="G144">
        <v>49.8</v>
      </c>
      <c r="H144" t="s">
        <v>279</v>
      </c>
      <c r="J144" t="s">
        <v>267</v>
      </c>
      <c r="K144" t="s">
        <v>469</v>
      </c>
      <c r="L144" t="s">
        <v>470</v>
      </c>
      <c r="M144" t="s">
        <v>103</v>
      </c>
      <c r="N144">
        <v>100</v>
      </c>
      <c r="O144">
        <v>0</v>
      </c>
      <c r="P144">
        <v>0</v>
      </c>
      <c r="Q144">
        <v>25</v>
      </c>
      <c r="R144" t="s">
        <v>307</v>
      </c>
      <c r="T144">
        <v>45</v>
      </c>
      <c r="U144">
        <v>159</v>
      </c>
      <c r="V144">
        <v>1000000</v>
      </c>
      <c r="W144" t="s">
        <v>46</v>
      </c>
      <c r="Z144">
        <v>50</v>
      </c>
      <c r="AA144">
        <v>120</v>
      </c>
      <c r="AB144">
        <v>53</v>
      </c>
      <c r="AC144">
        <v>35</v>
      </c>
      <c r="AD144">
        <v>110</v>
      </c>
      <c r="AE144">
        <v>87</v>
      </c>
      <c r="AF144">
        <v>455</v>
      </c>
      <c r="AG144">
        <v>0</v>
      </c>
      <c r="AH144">
        <v>2</v>
      </c>
      <c r="AI144">
        <v>0</v>
      </c>
      <c r="AJ144">
        <v>0</v>
      </c>
      <c r="AK144">
        <v>0</v>
      </c>
      <c r="AL144">
        <v>0</v>
      </c>
    </row>
    <row r="145" spans="1:38" x14ac:dyDescent="0.25">
      <c r="A145" t="s">
        <v>472</v>
      </c>
      <c r="B145" t="s">
        <v>472</v>
      </c>
      <c r="C145" s="1">
        <v>107</v>
      </c>
      <c r="D145" s="1" t="s">
        <v>471</v>
      </c>
      <c r="E145">
        <v>1</v>
      </c>
      <c r="F145">
        <v>1.4</v>
      </c>
      <c r="G145">
        <v>50.2</v>
      </c>
      <c r="H145" t="s">
        <v>279</v>
      </c>
      <c r="J145" t="s">
        <v>117</v>
      </c>
      <c r="K145" t="s">
        <v>473</v>
      </c>
      <c r="L145" t="s">
        <v>221</v>
      </c>
      <c r="M145" t="s">
        <v>103</v>
      </c>
      <c r="N145">
        <v>100</v>
      </c>
      <c r="O145">
        <v>0</v>
      </c>
      <c r="P145">
        <v>0</v>
      </c>
      <c r="Q145">
        <v>25</v>
      </c>
      <c r="R145" t="s">
        <v>307</v>
      </c>
      <c r="T145">
        <v>45</v>
      </c>
      <c r="U145">
        <v>159</v>
      </c>
      <c r="V145">
        <v>1000000</v>
      </c>
      <c r="W145" t="s">
        <v>46</v>
      </c>
      <c r="Z145">
        <v>50</v>
      </c>
      <c r="AA145">
        <v>105</v>
      </c>
      <c r="AB145">
        <v>79</v>
      </c>
      <c r="AC145">
        <v>35</v>
      </c>
      <c r="AD145">
        <v>110</v>
      </c>
      <c r="AE145">
        <v>76</v>
      </c>
      <c r="AF145">
        <v>455</v>
      </c>
      <c r="AG145">
        <v>0</v>
      </c>
      <c r="AH145">
        <v>0</v>
      </c>
      <c r="AI145">
        <v>0</v>
      </c>
      <c r="AJ145">
        <v>0</v>
      </c>
      <c r="AK145">
        <v>2</v>
      </c>
      <c r="AL145">
        <v>0</v>
      </c>
    </row>
    <row r="146" spans="1:38" x14ac:dyDescent="0.25">
      <c r="A146" t="s">
        <v>475</v>
      </c>
      <c r="B146" t="s">
        <v>475</v>
      </c>
      <c r="C146" s="1">
        <v>108</v>
      </c>
      <c r="D146" s="1" t="s">
        <v>474</v>
      </c>
      <c r="E146">
        <v>1</v>
      </c>
      <c r="F146">
        <v>1.2</v>
      </c>
      <c r="G146">
        <v>65.5</v>
      </c>
      <c r="H146" t="s">
        <v>116</v>
      </c>
      <c r="J146" t="s">
        <v>366</v>
      </c>
      <c r="K146" t="s">
        <v>365</v>
      </c>
      <c r="L146" t="s">
        <v>273</v>
      </c>
      <c r="M146" t="s">
        <v>199</v>
      </c>
      <c r="N146">
        <v>50</v>
      </c>
      <c r="O146">
        <v>50</v>
      </c>
      <c r="P146">
        <v>0</v>
      </c>
      <c r="Q146">
        <v>20</v>
      </c>
      <c r="R146" t="s">
        <v>45</v>
      </c>
      <c r="T146">
        <v>45</v>
      </c>
      <c r="U146">
        <v>77</v>
      </c>
      <c r="V146">
        <v>1000000</v>
      </c>
      <c r="W146" t="s">
        <v>46</v>
      </c>
      <c r="Z146">
        <v>90</v>
      </c>
      <c r="AA146">
        <v>55</v>
      </c>
      <c r="AB146">
        <v>75</v>
      </c>
      <c r="AC146">
        <v>60</v>
      </c>
      <c r="AD146">
        <v>75</v>
      </c>
      <c r="AE146">
        <v>30</v>
      </c>
      <c r="AF146">
        <v>385</v>
      </c>
      <c r="AG146">
        <v>2</v>
      </c>
      <c r="AH146">
        <v>0</v>
      </c>
      <c r="AI146">
        <v>0</v>
      </c>
      <c r="AJ146">
        <v>0</v>
      </c>
      <c r="AK146">
        <v>0</v>
      </c>
      <c r="AL146">
        <v>0</v>
      </c>
    </row>
    <row r="147" spans="1:38" x14ac:dyDescent="0.25">
      <c r="A147" t="s">
        <v>477</v>
      </c>
      <c r="B147" t="s">
        <v>477</v>
      </c>
      <c r="C147" s="1">
        <v>109</v>
      </c>
      <c r="D147" s="1" t="s">
        <v>476</v>
      </c>
      <c r="E147">
        <v>1</v>
      </c>
      <c r="F147">
        <v>0.6</v>
      </c>
      <c r="G147">
        <v>1</v>
      </c>
      <c r="H147" t="s">
        <v>41</v>
      </c>
      <c r="J147" t="s">
        <v>420</v>
      </c>
      <c r="K147" t="s">
        <v>478</v>
      </c>
      <c r="L147" t="s">
        <v>229</v>
      </c>
      <c r="M147" t="s">
        <v>131</v>
      </c>
      <c r="N147">
        <v>50</v>
      </c>
      <c r="O147">
        <v>50</v>
      </c>
      <c r="P147">
        <v>0</v>
      </c>
      <c r="Q147">
        <v>20</v>
      </c>
      <c r="R147" t="s">
        <v>403</v>
      </c>
      <c r="T147">
        <v>190</v>
      </c>
      <c r="U147">
        <v>68</v>
      </c>
      <c r="V147">
        <v>1000000</v>
      </c>
      <c r="W147" t="s">
        <v>46</v>
      </c>
      <c r="Z147">
        <v>40</v>
      </c>
      <c r="AA147">
        <v>65</v>
      </c>
      <c r="AB147">
        <v>95</v>
      </c>
      <c r="AC147">
        <v>60</v>
      </c>
      <c r="AD147">
        <v>45</v>
      </c>
      <c r="AE147">
        <v>35</v>
      </c>
      <c r="AF147">
        <v>340</v>
      </c>
      <c r="AG147">
        <v>0</v>
      </c>
      <c r="AH147">
        <v>0</v>
      </c>
      <c r="AI147">
        <v>1</v>
      </c>
      <c r="AJ147">
        <v>0</v>
      </c>
      <c r="AK147">
        <v>0</v>
      </c>
      <c r="AL147">
        <v>0</v>
      </c>
    </row>
    <row r="148" spans="1:38" x14ac:dyDescent="0.25">
      <c r="A148" t="s">
        <v>480</v>
      </c>
      <c r="B148" t="s">
        <v>480</v>
      </c>
      <c r="C148" s="1">
        <v>110</v>
      </c>
      <c r="D148" s="1" t="s">
        <v>479</v>
      </c>
      <c r="E148">
        <v>1</v>
      </c>
      <c r="F148">
        <v>1.2</v>
      </c>
      <c r="G148">
        <v>9.5</v>
      </c>
      <c r="H148" t="s">
        <v>41</v>
      </c>
      <c r="J148" t="s">
        <v>420</v>
      </c>
      <c r="K148" t="s">
        <v>478</v>
      </c>
      <c r="L148" t="s">
        <v>229</v>
      </c>
      <c r="M148" t="s">
        <v>131</v>
      </c>
      <c r="N148">
        <v>50</v>
      </c>
      <c r="O148">
        <v>50</v>
      </c>
      <c r="P148">
        <v>0</v>
      </c>
      <c r="Q148">
        <v>20</v>
      </c>
      <c r="R148" t="s">
        <v>403</v>
      </c>
      <c r="T148">
        <v>60</v>
      </c>
      <c r="U148">
        <v>172</v>
      </c>
      <c r="V148">
        <v>1000000</v>
      </c>
      <c r="W148" t="s">
        <v>46</v>
      </c>
      <c r="Z148">
        <v>65</v>
      </c>
      <c r="AA148">
        <v>90</v>
      </c>
      <c r="AB148">
        <v>120</v>
      </c>
      <c r="AC148">
        <v>85</v>
      </c>
      <c r="AD148">
        <v>70</v>
      </c>
      <c r="AE148">
        <v>60</v>
      </c>
      <c r="AF148">
        <v>490</v>
      </c>
      <c r="AG148">
        <v>0</v>
      </c>
      <c r="AH148">
        <v>0</v>
      </c>
      <c r="AI148">
        <v>2</v>
      </c>
      <c r="AJ148">
        <v>0</v>
      </c>
      <c r="AK148">
        <v>0</v>
      </c>
      <c r="AL148">
        <v>0</v>
      </c>
    </row>
    <row r="149" spans="1:38" x14ac:dyDescent="0.25">
      <c r="A149" t="s">
        <v>480</v>
      </c>
      <c r="B149" t="s">
        <v>482</v>
      </c>
      <c r="C149" s="1">
        <v>110</v>
      </c>
      <c r="D149" s="1" t="s">
        <v>481</v>
      </c>
      <c r="E149">
        <v>8</v>
      </c>
      <c r="F149">
        <v>3</v>
      </c>
      <c r="G149">
        <v>16</v>
      </c>
      <c r="H149" t="s">
        <v>41</v>
      </c>
      <c r="I149" t="s">
        <v>157</v>
      </c>
      <c r="J149" t="s">
        <v>420</v>
      </c>
      <c r="K149" t="s">
        <v>478</v>
      </c>
      <c r="L149" t="s">
        <v>483</v>
      </c>
      <c r="M149" t="s">
        <v>318</v>
      </c>
      <c r="N149">
        <v>50</v>
      </c>
      <c r="O149">
        <v>50</v>
      </c>
      <c r="P149">
        <v>0</v>
      </c>
      <c r="Q149">
        <v>20</v>
      </c>
      <c r="R149" t="s">
        <v>403</v>
      </c>
      <c r="T149">
        <v>60</v>
      </c>
      <c r="U149">
        <v>172</v>
      </c>
      <c r="V149">
        <v>1000000</v>
      </c>
      <c r="W149" t="s">
        <v>46</v>
      </c>
      <c r="Y149" t="s">
        <v>264</v>
      </c>
      <c r="Z149">
        <v>65</v>
      </c>
      <c r="AA149">
        <v>90</v>
      </c>
      <c r="AB149">
        <v>120</v>
      </c>
      <c r="AC149">
        <v>85</v>
      </c>
      <c r="AD149">
        <v>70</v>
      </c>
      <c r="AE149">
        <v>60</v>
      </c>
      <c r="AF149">
        <v>490</v>
      </c>
      <c r="AG149">
        <v>0</v>
      </c>
      <c r="AH149">
        <v>0</v>
      </c>
      <c r="AI149">
        <v>2</v>
      </c>
      <c r="AJ149">
        <v>0</v>
      </c>
      <c r="AK149">
        <v>0</v>
      </c>
      <c r="AL149">
        <v>0</v>
      </c>
    </row>
    <row r="150" spans="1:38" x14ac:dyDescent="0.25">
      <c r="A150" t="s">
        <v>485</v>
      </c>
      <c r="B150" t="s">
        <v>485</v>
      </c>
      <c r="C150" s="1">
        <v>111</v>
      </c>
      <c r="D150" s="1" t="s">
        <v>484</v>
      </c>
      <c r="E150">
        <v>1</v>
      </c>
      <c r="F150">
        <v>1</v>
      </c>
      <c r="G150">
        <v>115</v>
      </c>
      <c r="H150" t="s">
        <v>132</v>
      </c>
      <c r="I150" t="s">
        <v>290</v>
      </c>
      <c r="J150" t="s">
        <v>156</v>
      </c>
      <c r="K150" t="s">
        <v>291</v>
      </c>
      <c r="L150" t="s">
        <v>469</v>
      </c>
      <c r="M150" t="s">
        <v>318</v>
      </c>
      <c r="N150">
        <v>50</v>
      </c>
      <c r="O150">
        <v>50</v>
      </c>
      <c r="P150">
        <v>0</v>
      </c>
      <c r="Q150">
        <v>20</v>
      </c>
      <c r="R150" t="s">
        <v>45</v>
      </c>
      <c r="S150" t="s">
        <v>132</v>
      </c>
      <c r="T150">
        <v>120</v>
      </c>
      <c r="U150">
        <v>69</v>
      </c>
      <c r="V150">
        <v>1250000</v>
      </c>
      <c r="W150" t="s">
        <v>46</v>
      </c>
      <c r="Z150">
        <v>80</v>
      </c>
      <c r="AA150">
        <v>85</v>
      </c>
      <c r="AB150">
        <v>95</v>
      </c>
      <c r="AC150">
        <v>30</v>
      </c>
      <c r="AD150">
        <v>30</v>
      </c>
      <c r="AE150">
        <v>25</v>
      </c>
      <c r="AF150">
        <v>345</v>
      </c>
      <c r="AG150">
        <v>0</v>
      </c>
      <c r="AH150">
        <v>0</v>
      </c>
      <c r="AI150">
        <v>1</v>
      </c>
      <c r="AJ150">
        <v>0</v>
      </c>
      <c r="AK150">
        <v>0</v>
      </c>
      <c r="AL150">
        <v>0</v>
      </c>
    </row>
    <row r="151" spans="1:38" x14ac:dyDescent="0.25">
      <c r="A151" t="s">
        <v>487</v>
      </c>
      <c r="B151" t="s">
        <v>487</v>
      </c>
      <c r="C151" s="1">
        <v>112</v>
      </c>
      <c r="D151" s="1" t="s">
        <v>486</v>
      </c>
      <c r="E151">
        <v>1</v>
      </c>
      <c r="F151">
        <v>1.9</v>
      </c>
      <c r="G151">
        <v>120</v>
      </c>
      <c r="H151" t="s">
        <v>132</v>
      </c>
      <c r="I151" t="s">
        <v>290</v>
      </c>
      <c r="J151" t="s">
        <v>156</v>
      </c>
      <c r="K151" t="s">
        <v>291</v>
      </c>
      <c r="L151" t="s">
        <v>469</v>
      </c>
      <c r="M151" t="s">
        <v>318</v>
      </c>
      <c r="N151">
        <v>50</v>
      </c>
      <c r="O151">
        <v>50</v>
      </c>
      <c r="P151">
        <v>0</v>
      </c>
      <c r="Q151">
        <v>20</v>
      </c>
      <c r="R151" t="s">
        <v>45</v>
      </c>
      <c r="S151" t="s">
        <v>132</v>
      </c>
      <c r="T151">
        <v>60</v>
      </c>
      <c r="U151">
        <v>170</v>
      </c>
      <c r="V151">
        <v>1250000</v>
      </c>
      <c r="W151" t="s">
        <v>46</v>
      </c>
      <c r="Z151">
        <v>105</v>
      </c>
      <c r="AA151">
        <v>130</v>
      </c>
      <c r="AB151">
        <v>120</v>
      </c>
      <c r="AC151">
        <v>45</v>
      </c>
      <c r="AD151">
        <v>45</v>
      </c>
      <c r="AE151">
        <v>40</v>
      </c>
      <c r="AF151">
        <v>485</v>
      </c>
      <c r="AG151">
        <v>0</v>
      </c>
      <c r="AH151">
        <v>2</v>
      </c>
      <c r="AI151">
        <v>0</v>
      </c>
      <c r="AJ151">
        <v>0</v>
      </c>
      <c r="AK151">
        <v>0</v>
      </c>
      <c r="AL151">
        <v>0</v>
      </c>
    </row>
    <row r="152" spans="1:38" x14ac:dyDescent="0.25">
      <c r="A152" t="s">
        <v>489</v>
      </c>
      <c r="B152" t="s">
        <v>489</v>
      </c>
      <c r="C152" s="1">
        <v>113</v>
      </c>
      <c r="D152" s="1" t="s">
        <v>488</v>
      </c>
      <c r="E152">
        <v>1</v>
      </c>
      <c r="F152">
        <v>1.1000000000000001</v>
      </c>
      <c r="G152">
        <v>34.6</v>
      </c>
      <c r="H152" t="s">
        <v>116</v>
      </c>
      <c r="J152" t="s">
        <v>490</v>
      </c>
      <c r="K152" t="s">
        <v>491</v>
      </c>
      <c r="L152" t="s">
        <v>492</v>
      </c>
      <c r="M152" t="s">
        <v>199</v>
      </c>
      <c r="N152">
        <v>0</v>
      </c>
      <c r="O152">
        <v>100</v>
      </c>
      <c r="P152">
        <v>0</v>
      </c>
      <c r="Q152">
        <v>40</v>
      </c>
      <c r="R152" t="s">
        <v>157</v>
      </c>
      <c r="T152">
        <v>30</v>
      </c>
      <c r="U152">
        <v>395</v>
      </c>
      <c r="V152">
        <v>800000</v>
      </c>
      <c r="W152" t="s">
        <v>46</v>
      </c>
      <c r="Z152">
        <v>250</v>
      </c>
      <c r="AA152">
        <v>5</v>
      </c>
      <c r="AB152">
        <v>5</v>
      </c>
      <c r="AC152">
        <v>35</v>
      </c>
      <c r="AD152">
        <v>105</v>
      </c>
      <c r="AE152">
        <v>50</v>
      </c>
      <c r="AF152">
        <v>450</v>
      </c>
      <c r="AG152">
        <v>2</v>
      </c>
      <c r="AH152">
        <v>0</v>
      </c>
      <c r="AI152">
        <v>0</v>
      </c>
      <c r="AJ152">
        <v>0</v>
      </c>
      <c r="AK152">
        <v>0</v>
      </c>
      <c r="AL152">
        <v>0</v>
      </c>
    </row>
    <row r="153" spans="1:38" x14ac:dyDescent="0.25">
      <c r="A153" t="s">
        <v>494</v>
      </c>
      <c r="B153" t="s">
        <v>494</v>
      </c>
      <c r="C153" s="1">
        <v>114</v>
      </c>
      <c r="D153" s="1" t="s">
        <v>493</v>
      </c>
      <c r="E153">
        <v>1</v>
      </c>
      <c r="F153">
        <v>1</v>
      </c>
      <c r="G153">
        <v>35</v>
      </c>
      <c r="H153" t="s">
        <v>40</v>
      </c>
      <c r="J153" t="s">
        <v>43</v>
      </c>
      <c r="K153" t="s">
        <v>495</v>
      </c>
      <c r="L153" t="s">
        <v>367</v>
      </c>
      <c r="M153" t="s">
        <v>79</v>
      </c>
      <c r="N153">
        <v>50</v>
      </c>
      <c r="O153">
        <v>50</v>
      </c>
      <c r="P153">
        <v>0</v>
      </c>
      <c r="Q153">
        <v>20</v>
      </c>
      <c r="R153" t="s">
        <v>40</v>
      </c>
      <c r="T153">
        <v>45</v>
      </c>
      <c r="U153">
        <v>87</v>
      </c>
      <c r="V153">
        <v>1000000</v>
      </c>
      <c r="W153" t="s">
        <v>46</v>
      </c>
      <c r="Z153">
        <v>65</v>
      </c>
      <c r="AA153">
        <v>55</v>
      </c>
      <c r="AB153">
        <v>115</v>
      </c>
      <c r="AC153">
        <v>100</v>
      </c>
      <c r="AD153">
        <v>40</v>
      </c>
      <c r="AE153">
        <v>60</v>
      </c>
      <c r="AF153">
        <v>435</v>
      </c>
      <c r="AG153">
        <v>0</v>
      </c>
      <c r="AH153">
        <v>0</v>
      </c>
      <c r="AI153">
        <v>1</v>
      </c>
      <c r="AJ153">
        <v>0</v>
      </c>
      <c r="AK153">
        <v>0</v>
      </c>
      <c r="AL153">
        <v>0</v>
      </c>
    </row>
    <row r="154" spans="1:38" x14ac:dyDescent="0.25">
      <c r="A154" t="s">
        <v>497</v>
      </c>
      <c r="B154" t="s">
        <v>497</v>
      </c>
      <c r="C154" s="1">
        <v>115</v>
      </c>
      <c r="D154" s="1" t="s">
        <v>496</v>
      </c>
      <c r="E154">
        <v>1</v>
      </c>
      <c r="F154">
        <v>2.2000000000000002</v>
      </c>
      <c r="G154">
        <v>80</v>
      </c>
      <c r="H154" t="s">
        <v>116</v>
      </c>
      <c r="J154" t="s">
        <v>390</v>
      </c>
      <c r="K154" t="s">
        <v>387</v>
      </c>
      <c r="L154" t="s">
        <v>221</v>
      </c>
      <c r="M154" t="s">
        <v>103</v>
      </c>
      <c r="N154">
        <v>0</v>
      </c>
      <c r="O154">
        <v>100</v>
      </c>
      <c r="P154">
        <v>0</v>
      </c>
      <c r="Q154">
        <v>20</v>
      </c>
      <c r="R154" t="s">
        <v>45</v>
      </c>
      <c r="T154">
        <v>45</v>
      </c>
      <c r="U154">
        <v>172</v>
      </c>
      <c r="V154">
        <v>1000000</v>
      </c>
      <c r="W154" t="s">
        <v>46</v>
      </c>
      <c r="Z154">
        <v>105</v>
      </c>
      <c r="AA154">
        <v>95</v>
      </c>
      <c r="AB154">
        <v>80</v>
      </c>
      <c r="AC154">
        <v>40</v>
      </c>
      <c r="AD154">
        <v>80</v>
      </c>
      <c r="AE154">
        <v>90</v>
      </c>
      <c r="AF154">
        <v>490</v>
      </c>
      <c r="AG154">
        <v>2</v>
      </c>
      <c r="AH154">
        <v>0</v>
      </c>
      <c r="AI154">
        <v>0</v>
      </c>
      <c r="AJ154">
        <v>0</v>
      </c>
      <c r="AK154">
        <v>0</v>
      </c>
      <c r="AL154">
        <v>0</v>
      </c>
    </row>
    <row r="155" spans="1:38" x14ac:dyDescent="0.25">
      <c r="A155" t="s">
        <v>497</v>
      </c>
      <c r="B155" t="s">
        <v>499</v>
      </c>
      <c r="C155" s="1">
        <v>115</v>
      </c>
      <c r="D155" s="1" t="s">
        <v>498</v>
      </c>
      <c r="E155">
        <v>1</v>
      </c>
      <c r="F155">
        <v>2.2000000000000002</v>
      </c>
      <c r="G155">
        <v>100</v>
      </c>
      <c r="H155" t="s">
        <v>116</v>
      </c>
      <c r="J155" t="s">
        <v>500</v>
      </c>
      <c r="M155" t="s">
        <v>103</v>
      </c>
      <c r="N155">
        <v>0</v>
      </c>
      <c r="O155">
        <v>100</v>
      </c>
      <c r="P155">
        <v>0</v>
      </c>
      <c r="Q155">
        <v>20</v>
      </c>
      <c r="R155" t="s">
        <v>45</v>
      </c>
      <c r="T155">
        <v>45</v>
      </c>
      <c r="U155">
        <v>207</v>
      </c>
      <c r="V155">
        <v>1000000</v>
      </c>
      <c r="W155" t="s">
        <v>46</v>
      </c>
      <c r="X155" t="s">
        <v>54</v>
      </c>
      <c r="Z155">
        <v>105</v>
      </c>
      <c r="AA155">
        <v>125</v>
      </c>
      <c r="AB155">
        <v>100</v>
      </c>
      <c r="AC155">
        <v>60</v>
      </c>
      <c r="AD155">
        <v>100</v>
      </c>
      <c r="AE155">
        <v>100</v>
      </c>
      <c r="AF155">
        <v>590</v>
      </c>
      <c r="AG155">
        <v>2</v>
      </c>
      <c r="AH155">
        <v>0</v>
      </c>
      <c r="AI155">
        <v>0</v>
      </c>
      <c r="AJ155">
        <v>0</v>
      </c>
      <c r="AK155">
        <v>0</v>
      </c>
      <c r="AL155">
        <v>0</v>
      </c>
    </row>
    <row r="156" spans="1:38" x14ac:dyDescent="0.25">
      <c r="A156" t="s">
        <v>502</v>
      </c>
      <c r="B156" t="s">
        <v>502</v>
      </c>
      <c r="C156" s="1">
        <v>116</v>
      </c>
      <c r="D156" s="1" t="s">
        <v>501</v>
      </c>
      <c r="E156">
        <v>1</v>
      </c>
      <c r="F156">
        <v>0.4</v>
      </c>
      <c r="G156">
        <v>8</v>
      </c>
      <c r="H156" t="s">
        <v>76</v>
      </c>
      <c r="J156" t="s">
        <v>274</v>
      </c>
      <c r="K156" t="s">
        <v>110</v>
      </c>
      <c r="L156" t="s">
        <v>236</v>
      </c>
      <c r="M156" t="s">
        <v>79</v>
      </c>
      <c r="N156">
        <v>50</v>
      </c>
      <c r="O156">
        <v>50</v>
      </c>
      <c r="P156">
        <v>0</v>
      </c>
      <c r="Q156">
        <v>20</v>
      </c>
      <c r="R156" t="s">
        <v>80</v>
      </c>
      <c r="S156" t="s">
        <v>61</v>
      </c>
      <c r="T156">
        <v>225</v>
      </c>
      <c r="U156">
        <v>59</v>
      </c>
      <c r="V156">
        <v>1000000</v>
      </c>
      <c r="W156" t="s">
        <v>46</v>
      </c>
      <c r="Z156">
        <v>30</v>
      </c>
      <c r="AA156">
        <v>40</v>
      </c>
      <c r="AB156">
        <v>70</v>
      </c>
      <c r="AC156">
        <v>70</v>
      </c>
      <c r="AD156">
        <v>25</v>
      </c>
      <c r="AE156">
        <v>60</v>
      </c>
      <c r="AF156">
        <v>295</v>
      </c>
      <c r="AG156">
        <v>0</v>
      </c>
      <c r="AH156">
        <v>0</v>
      </c>
      <c r="AI156">
        <v>0</v>
      </c>
      <c r="AJ156">
        <v>1</v>
      </c>
      <c r="AK156">
        <v>0</v>
      </c>
      <c r="AL156">
        <v>0</v>
      </c>
    </row>
    <row r="157" spans="1:38" x14ac:dyDescent="0.25">
      <c r="A157" t="s">
        <v>504</v>
      </c>
      <c r="B157" t="s">
        <v>504</v>
      </c>
      <c r="C157" s="1">
        <v>117</v>
      </c>
      <c r="D157" s="1" t="s">
        <v>503</v>
      </c>
      <c r="E157">
        <v>1</v>
      </c>
      <c r="F157">
        <v>1.2</v>
      </c>
      <c r="G157">
        <v>25</v>
      </c>
      <c r="H157" t="s">
        <v>76</v>
      </c>
      <c r="J157" t="s">
        <v>180</v>
      </c>
      <c r="K157" t="s">
        <v>110</v>
      </c>
      <c r="L157" t="s">
        <v>236</v>
      </c>
      <c r="M157" t="s">
        <v>79</v>
      </c>
      <c r="N157">
        <v>50</v>
      </c>
      <c r="O157">
        <v>50</v>
      </c>
      <c r="P157">
        <v>0</v>
      </c>
      <c r="Q157">
        <v>20</v>
      </c>
      <c r="R157" t="s">
        <v>80</v>
      </c>
      <c r="S157" t="s">
        <v>61</v>
      </c>
      <c r="T157">
        <v>75</v>
      </c>
      <c r="U157">
        <v>154</v>
      </c>
      <c r="V157">
        <v>1000000</v>
      </c>
      <c r="W157" t="s">
        <v>46</v>
      </c>
      <c r="Z157">
        <v>55</v>
      </c>
      <c r="AA157">
        <v>65</v>
      </c>
      <c r="AB157">
        <v>95</v>
      </c>
      <c r="AC157">
        <v>95</v>
      </c>
      <c r="AD157">
        <v>45</v>
      </c>
      <c r="AE157">
        <v>85</v>
      </c>
      <c r="AF157">
        <v>440</v>
      </c>
      <c r="AG157">
        <v>0</v>
      </c>
      <c r="AH157">
        <v>0</v>
      </c>
      <c r="AI157">
        <v>1</v>
      </c>
      <c r="AJ157">
        <v>1</v>
      </c>
      <c r="AK157">
        <v>0</v>
      </c>
      <c r="AL157">
        <v>0</v>
      </c>
    </row>
    <row r="158" spans="1:38" x14ac:dyDescent="0.25">
      <c r="A158" t="s">
        <v>506</v>
      </c>
      <c r="B158" t="s">
        <v>506</v>
      </c>
      <c r="C158" s="1">
        <v>118</v>
      </c>
      <c r="D158" s="1" t="s">
        <v>505</v>
      </c>
      <c r="E158">
        <v>1</v>
      </c>
      <c r="F158">
        <v>0.6</v>
      </c>
      <c r="G158">
        <v>15</v>
      </c>
      <c r="H158" t="s">
        <v>76</v>
      </c>
      <c r="J158" t="s">
        <v>274</v>
      </c>
      <c r="K158" t="s">
        <v>507</v>
      </c>
      <c r="L158" t="s">
        <v>156</v>
      </c>
      <c r="M158" t="s">
        <v>60</v>
      </c>
      <c r="N158">
        <v>50</v>
      </c>
      <c r="O158">
        <v>50</v>
      </c>
      <c r="P158">
        <v>0</v>
      </c>
      <c r="Q158">
        <v>20</v>
      </c>
      <c r="R158" t="s">
        <v>508</v>
      </c>
      <c r="T158">
        <v>225</v>
      </c>
      <c r="U158">
        <v>64</v>
      </c>
      <c r="V158">
        <v>1000000</v>
      </c>
      <c r="W158" t="s">
        <v>46</v>
      </c>
      <c r="Z158">
        <v>45</v>
      </c>
      <c r="AA158">
        <v>67</v>
      </c>
      <c r="AB158">
        <v>60</v>
      </c>
      <c r="AC158">
        <v>35</v>
      </c>
      <c r="AD158">
        <v>50</v>
      </c>
      <c r="AE158">
        <v>63</v>
      </c>
      <c r="AF158">
        <v>320</v>
      </c>
      <c r="AG158">
        <v>0</v>
      </c>
      <c r="AH158">
        <v>1</v>
      </c>
      <c r="AI158">
        <v>0</v>
      </c>
      <c r="AJ158">
        <v>0</v>
      </c>
      <c r="AK158">
        <v>0</v>
      </c>
      <c r="AL158">
        <v>0</v>
      </c>
    </row>
    <row r="159" spans="1:38" x14ac:dyDescent="0.25">
      <c r="A159" t="s">
        <v>510</v>
      </c>
      <c r="B159" t="s">
        <v>510</v>
      </c>
      <c r="C159" s="1">
        <v>119</v>
      </c>
      <c r="D159" s="1" t="s">
        <v>509</v>
      </c>
      <c r="E159">
        <v>1</v>
      </c>
      <c r="F159">
        <v>1.3</v>
      </c>
      <c r="G159">
        <v>39</v>
      </c>
      <c r="H159" t="s">
        <v>76</v>
      </c>
      <c r="J159" t="s">
        <v>274</v>
      </c>
      <c r="K159" t="s">
        <v>507</v>
      </c>
      <c r="L159" t="s">
        <v>156</v>
      </c>
      <c r="M159" t="s">
        <v>60</v>
      </c>
      <c r="N159">
        <v>50</v>
      </c>
      <c r="O159">
        <v>50</v>
      </c>
      <c r="P159">
        <v>0</v>
      </c>
      <c r="Q159">
        <v>20</v>
      </c>
      <c r="R159" t="s">
        <v>508</v>
      </c>
      <c r="T159">
        <v>60</v>
      </c>
      <c r="U159">
        <v>158</v>
      </c>
      <c r="V159">
        <v>1000000</v>
      </c>
      <c r="W159" t="s">
        <v>46</v>
      </c>
      <c r="Z159">
        <v>80</v>
      </c>
      <c r="AA159">
        <v>92</v>
      </c>
      <c r="AB159">
        <v>65</v>
      </c>
      <c r="AC159">
        <v>65</v>
      </c>
      <c r="AD159">
        <v>80</v>
      </c>
      <c r="AE159">
        <v>68</v>
      </c>
      <c r="AF159">
        <v>450</v>
      </c>
      <c r="AG159">
        <v>0</v>
      </c>
      <c r="AH159">
        <v>2</v>
      </c>
      <c r="AI159">
        <v>0</v>
      </c>
      <c r="AJ159">
        <v>0</v>
      </c>
      <c r="AK159">
        <v>0</v>
      </c>
      <c r="AL159">
        <v>0</v>
      </c>
    </row>
    <row r="160" spans="1:38" x14ac:dyDescent="0.25">
      <c r="A160" t="s">
        <v>512</v>
      </c>
      <c r="B160" t="s">
        <v>512</v>
      </c>
      <c r="C160" s="1">
        <v>120</v>
      </c>
      <c r="D160" s="1" t="s">
        <v>511</v>
      </c>
      <c r="E160">
        <v>1</v>
      </c>
      <c r="F160">
        <v>0.8</v>
      </c>
      <c r="G160">
        <v>34.5</v>
      </c>
      <c r="H160" t="s">
        <v>76</v>
      </c>
      <c r="J160" t="s">
        <v>513</v>
      </c>
      <c r="K160" t="s">
        <v>490</v>
      </c>
      <c r="L160" t="s">
        <v>380</v>
      </c>
      <c r="M160" t="s">
        <v>103</v>
      </c>
      <c r="N160">
        <v>0</v>
      </c>
      <c r="O160">
        <v>0</v>
      </c>
      <c r="P160">
        <v>100</v>
      </c>
      <c r="Q160">
        <v>20</v>
      </c>
      <c r="R160" t="s">
        <v>333</v>
      </c>
      <c r="T160">
        <v>225</v>
      </c>
      <c r="U160">
        <v>68</v>
      </c>
      <c r="V160">
        <v>1250000</v>
      </c>
      <c r="W160" t="s">
        <v>46</v>
      </c>
      <c r="Z160">
        <v>30</v>
      </c>
      <c r="AA160">
        <v>45</v>
      </c>
      <c r="AB160">
        <v>55</v>
      </c>
      <c r="AC160">
        <v>70</v>
      </c>
      <c r="AD160">
        <v>55</v>
      </c>
      <c r="AE160">
        <v>85</v>
      </c>
      <c r="AF160">
        <v>340</v>
      </c>
      <c r="AG160">
        <v>0</v>
      </c>
      <c r="AH160">
        <v>0</v>
      </c>
      <c r="AI160">
        <v>0</v>
      </c>
      <c r="AJ160">
        <v>0</v>
      </c>
      <c r="AK160">
        <v>0</v>
      </c>
      <c r="AL160">
        <v>1</v>
      </c>
    </row>
    <row r="161" spans="1:38" x14ac:dyDescent="0.25">
      <c r="A161" t="s">
        <v>515</v>
      </c>
      <c r="B161" t="s">
        <v>515</v>
      </c>
      <c r="C161" s="1">
        <v>121</v>
      </c>
      <c r="D161" s="1" t="s">
        <v>514</v>
      </c>
      <c r="E161">
        <v>1</v>
      </c>
      <c r="F161">
        <v>1.1000000000000001</v>
      </c>
      <c r="G161">
        <v>80</v>
      </c>
      <c r="H161" t="s">
        <v>76</v>
      </c>
      <c r="I161" t="s">
        <v>162</v>
      </c>
      <c r="J161" t="s">
        <v>513</v>
      </c>
      <c r="K161" t="s">
        <v>490</v>
      </c>
      <c r="L161" t="s">
        <v>380</v>
      </c>
      <c r="M161" t="s">
        <v>131</v>
      </c>
      <c r="N161">
        <v>0</v>
      </c>
      <c r="O161">
        <v>0</v>
      </c>
      <c r="P161">
        <v>100</v>
      </c>
      <c r="Q161">
        <v>20</v>
      </c>
      <c r="R161" t="s">
        <v>333</v>
      </c>
      <c r="T161">
        <v>60</v>
      </c>
      <c r="U161">
        <v>182</v>
      </c>
      <c r="V161">
        <v>1250000</v>
      </c>
      <c r="W161" t="s">
        <v>46</v>
      </c>
      <c r="Z161">
        <v>60</v>
      </c>
      <c r="AA161">
        <v>75</v>
      </c>
      <c r="AB161">
        <v>85</v>
      </c>
      <c r="AC161">
        <v>100</v>
      </c>
      <c r="AD161">
        <v>85</v>
      </c>
      <c r="AE161">
        <v>115</v>
      </c>
      <c r="AF161">
        <v>520</v>
      </c>
      <c r="AG161">
        <v>0</v>
      </c>
      <c r="AH161">
        <v>0</v>
      </c>
      <c r="AI161">
        <v>0</v>
      </c>
      <c r="AJ161">
        <v>0</v>
      </c>
      <c r="AK161">
        <v>0</v>
      </c>
      <c r="AL161">
        <v>2</v>
      </c>
    </row>
    <row r="162" spans="1:38" x14ac:dyDescent="0.25">
      <c r="A162" t="s">
        <v>517</v>
      </c>
      <c r="B162" t="s">
        <v>517</v>
      </c>
      <c r="C162" s="1">
        <v>122</v>
      </c>
      <c r="D162" s="1" t="s">
        <v>516</v>
      </c>
      <c r="E162">
        <v>1</v>
      </c>
      <c r="F162">
        <v>1.3</v>
      </c>
      <c r="G162">
        <v>54.5</v>
      </c>
      <c r="H162" t="s">
        <v>162</v>
      </c>
      <c r="I162" t="s">
        <v>157</v>
      </c>
      <c r="J162" t="s">
        <v>445</v>
      </c>
      <c r="K162" t="s">
        <v>518</v>
      </c>
      <c r="L162" t="s">
        <v>258</v>
      </c>
      <c r="M162" t="s">
        <v>199</v>
      </c>
      <c r="N162">
        <v>50</v>
      </c>
      <c r="O162">
        <v>50</v>
      </c>
      <c r="P162">
        <v>0</v>
      </c>
      <c r="Q162">
        <v>25</v>
      </c>
      <c r="R162" t="s">
        <v>307</v>
      </c>
      <c r="T162">
        <v>45</v>
      </c>
      <c r="U162">
        <v>161</v>
      </c>
      <c r="V162">
        <v>1000000</v>
      </c>
      <c r="W162" t="s">
        <v>46</v>
      </c>
      <c r="Z162">
        <v>40</v>
      </c>
      <c r="AA162">
        <v>45</v>
      </c>
      <c r="AB162">
        <v>65</v>
      </c>
      <c r="AC162">
        <v>100</v>
      </c>
      <c r="AD162">
        <v>120</v>
      </c>
      <c r="AE162">
        <v>90</v>
      </c>
      <c r="AF162">
        <v>460</v>
      </c>
      <c r="AG162">
        <v>0</v>
      </c>
      <c r="AH162">
        <v>0</v>
      </c>
      <c r="AI162">
        <v>0</v>
      </c>
      <c r="AJ162">
        <v>0</v>
      </c>
      <c r="AK162">
        <v>2</v>
      </c>
      <c r="AL162">
        <v>0</v>
      </c>
    </row>
    <row r="163" spans="1:38" x14ac:dyDescent="0.25">
      <c r="A163" t="s">
        <v>517</v>
      </c>
      <c r="B163" t="s">
        <v>520</v>
      </c>
      <c r="C163" s="1">
        <v>122</v>
      </c>
      <c r="D163" s="1" t="s">
        <v>519</v>
      </c>
      <c r="E163">
        <v>8</v>
      </c>
      <c r="F163">
        <v>1.4</v>
      </c>
      <c r="G163">
        <v>56.8</v>
      </c>
      <c r="H163" t="s">
        <v>170</v>
      </c>
      <c r="I163" t="s">
        <v>162</v>
      </c>
      <c r="J163" t="s">
        <v>280</v>
      </c>
      <c r="K163" t="s">
        <v>521</v>
      </c>
      <c r="L163" t="s">
        <v>396</v>
      </c>
      <c r="M163" t="s">
        <v>100</v>
      </c>
      <c r="N163">
        <v>50</v>
      </c>
      <c r="O163">
        <v>50</v>
      </c>
      <c r="P163">
        <v>0</v>
      </c>
      <c r="Q163">
        <v>25</v>
      </c>
      <c r="R163" t="s">
        <v>307</v>
      </c>
      <c r="T163">
        <v>45</v>
      </c>
      <c r="U163">
        <v>161</v>
      </c>
      <c r="V163">
        <v>1000000</v>
      </c>
      <c r="W163" t="s">
        <v>46</v>
      </c>
      <c r="Y163" t="s">
        <v>264</v>
      </c>
      <c r="Z163">
        <v>50</v>
      </c>
      <c r="AA163">
        <v>65</v>
      </c>
      <c r="AB163">
        <v>65</v>
      </c>
      <c r="AC163">
        <v>90</v>
      </c>
      <c r="AD163">
        <v>90</v>
      </c>
      <c r="AE163">
        <v>100</v>
      </c>
      <c r="AF163">
        <v>460</v>
      </c>
      <c r="AG163">
        <v>0</v>
      </c>
      <c r="AH163">
        <v>0</v>
      </c>
      <c r="AI163">
        <v>0</v>
      </c>
      <c r="AJ163">
        <v>0</v>
      </c>
      <c r="AK163">
        <v>0</v>
      </c>
      <c r="AL163">
        <v>2</v>
      </c>
    </row>
    <row r="164" spans="1:38" x14ac:dyDescent="0.25">
      <c r="A164" t="s">
        <v>523</v>
      </c>
      <c r="B164" t="s">
        <v>523</v>
      </c>
      <c r="C164" s="1">
        <v>123</v>
      </c>
      <c r="D164" s="1" t="s">
        <v>522</v>
      </c>
      <c r="E164">
        <v>1</v>
      </c>
      <c r="F164">
        <v>1.5</v>
      </c>
      <c r="G164">
        <v>56</v>
      </c>
      <c r="H164" t="s">
        <v>90</v>
      </c>
      <c r="I164" t="s">
        <v>66</v>
      </c>
      <c r="J164" t="s">
        <v>109</v>
      </c>
      <c r="K164" t="s">
        <v>258</v>
      </c>
      <c r="L164" t="s">
        <v>317</v>
      </c>
      <c r="M164" t="s">
        <v>44</v>
      </c>
      <c r="N164">
        <v>50</v>
      </c>
      <c r="O164">
        <v>50</v>
      </c>
      <c r="P164">
        <v>0</v>
      </c>
      <c r="Q164">
        <v>25</v>
      </c>
      <c r="R164" t="s">
        <v>90</v>
      </c>
      <c r="T164">
        <v>45</v>
      </c>
      <c r="U164">
        <v>100</v>
      </c>
      <c r="V164">
        <v>1000000</v>
      </c>
      <c r="W164" t="s">
        <v>46</v>
      </c>
      <c r="Z164">
        <v>70</v>
      </c>
      <c r="AA164">
        <v>110</v>
      </c>
      <c r="AB164">
        <v>80</v>
      </c>
      <c r="AC164">
        <v>55</v>
      </c>
      <c r="AD164">
        <v>80</v>
      </c>
      <c r="AE164">
        <v>105</v>
      </c>
      <c r="AF164">
        <v>500</v>
      </c>
      <c r="AG164">
        <v>0</v>
      </c>
      <c r="AH164">
        <v>1</v>
      </c>
      <c r="AI164">
        <v>0</v>
      </c>
      <c r="AJ164">
        <v>0</v>
      </c>
      <c r="AK164">
        <v>0</v>
      </c>
      <c r="AL164">
        <v>0</v>
      </c>
    </row>
    <row r="165" spans="1:38" x14ac:dyDescent="0.25">
      <c r="A165" t="s">
        <v>525</v>
      </c>
      <c r="B165" t="s">
        <v>525</v>
      </c>
      <c r="C165" s="1">
        <v>124</v>
      </c>
      <c r="D165" s="1" t="s">
        <v>524</v>
      </c>
      <c r="E165">
        <v>1</v>
      </c>
      <c r="F165">
        <v>1.4</v>
      </c>
      <c r="G165">
        <v>40.6</v>
      </c>
      <c r="H165" t="s">
        <v>170</v>
      </c>
      <c r="I165" t="s">
        <v>162</v>
      </c>
      <c r="J165" t="s">
        <v>365</v>
      </c>
      <c r="K165" t="s">
        <v>435</v>
      </c>
      <c r="L165" t="s">
        <v>235</v>
      </c>
      <c r="M165" t="s">
        <v>60</v>
      </c>
      <c r="N165">
        <v>0</v>
      </c>
      <c r="O165">
        <v>100</v>
      </c>
      <c r="P165">
        <v>0</v>
      </c>
      <c r="Q165">
        <v>25</v>
      </c>
      <c r="R165" t="s">
        <v>307</v>
      </c>
      <c r="T165">
        <v>45</v>
      </c>
      <c r="U165">
        <v>159</v>
      </c>
      <c r="V165">
        <v>1000000</v>
      </c>
      <c r="W165" t="s">
        <v>46</v>
      </c>
      <c r="Z165">
        <v>65</v>
      </c>
      <c r="AA165">
        <v>50</v>
      </c>
      <c r="AB165">
        <v>35</v>
      </c>
      <c r="AC165">
        <v>115</v>
      </c>
      <c r="AD165">
        <v>95</v>
      </c>
      <c r="AE165">
        <v>95</v>
      </c>
      <c r="AF165">
        <v>455</v>
      </c>
      <c r="AG165">
        <v>0</v>
      </c>
      <c r="AH165">
        <v>0</v>
      </c>
      <c r="AI165">
        <v>0</v>
      </c>
      <c r="AJ165">
        <v>2</v>
      </c>
      <c r="AK165">
        <v>0</v>
      </c>
      <c r="AL165">
        <v>0</v>
      </c>
    </row>
    <row r="166" spans="1:38" x14ac:dyDescent="0.25">
      <c r="A166" t="s">
        <v>527</v>
      </c>
      <c r="B166" t="s">
        <v>527</v>
      </c>
      <c r="C166" s="1">
        <v>125</v>
      </c>
      <c r="D166" s="1" t="s">
        <v>526</v>
      </c>
      <c r="E166">
        <v>1</v>
      </c>
      <c r="F166">
        <v>1.1000000000000001</v>
      </c>
      <c r="G166">
        <v>30</v>
      </c>
      <c r="H166" t="s">
        <v>154</v>
      </c>
      <c r="J166" t="s">
        <v>155</v>
      </c>
      <c r="L166" t="s">
        <v>280</v>
      </c>
      <c r="M166" t="s">
        <v>106</v>
      </c>
      <c r="N166">
        <v>75</v>
      </c>
      <c r="O166">
        <v>25</v>
      </c>
      <c r="P166">
        <v>0</v>
      </c>
      <c r="Q166">
        <v>25</v>
      </c>
      <c r="R166" t="s">
        <v>307</v>
      </c>
      <c r="T166">
        <v>45</v>
      </c>
      <c r="U166">
        <v>172</v>
      </c>
      <c r="V166">
        <v>1000000</v>
      </c>
      <c r="W166" t="s">
        <v>46</v>
      </c>
      <c r="Z166">
        <v>65</v>
      </c>
      <c r="AA166">
        <v>83</v>
      </c>
      <c r="AB166">
        <v>57</v>
      </c>
      <c r="AC166">
        <v>95</v>
      </c>
      <c r="AD166">
        <v>85</v>
      </c>
      <c r="AE166">
        <v>105</v>
      </c>
      <c r="AF166">
        <v>490</v>
      </c>
      <c r="AG166">
        <v>0</v>
      </c>
      <c r="AH166">
        <v>0</v>
      </c>
      <c r="AI166">
        <v>0</v>
      </c>
      <c r="AJ166">
        <v>0</v>
      </c>
      <c r="AK166">
        <v>0</v>
      </c>
      <c r="AL166">
        <v>2</v>
      </c>
    </row>
    <row r="167" spans="1:38" x14ac:dyDescent="0.25">
      <c r="A167" t="s">
        <v>529</v>
      </c>
      <c r="B167" t="s">
        <v>529</v>
      </c>
      <c r="C167" s="1">
        <v>126</v>
      </c>
      <c r="D167" s="1" t="s">
        <v>528</v>
      </c>
      <c r="E167">
        <v>1</v>
      </c>
      <c r="F167">
        <v>1.3</v>
      </c>
      <c r="G167">
        <v>44.5</v>
      </c>
      <c r="H167" t="s">
        <v>57</v>
      </c>
      <c r="J167" t="s">
        <v>354</v>
      </c>
      <c r="L167" t="s">
        <v>280</v>
      </c>
      <c r="M167" t="s">
        <v>60</v>
      </c>
      <c r="N167">
        <v>75</v>
      </c>
      <c r="O167">
        <v>25</v>
      </c>
      <c r="P167">
        <v>0</v>
      </c>
      <c r="Q167">
        <v>25</v>
      </c>
      <c r="R167" t="s">
        <v>307</v>
      </c>
      <c r="T167">
        <v>45</v>
      </c>
      <c r="U167">
        <v>173</v>
      </c>
      <c r="V167">
        <v>1000000</v>
      </c>
      <c r="W167" t="s">
        <v>46</v>
      </c>
      <c r="Z167">
        <v>65</v>
      </c>
      <c r="AA167">
        <v>95</v>
      </c>
      <c r="AB167">
        <v>57</v>
      </c>
      <c r="AC167">
        <v>100</v>
      </c>
      <c r="AD167">
        <v>85</v>
      </c>
      <c r="AE167">
        <v>93</v>
      </c>
      <c r="AF167">
        <v>495</v>
      </c>
      <c r="AG167">
        <v>0</v>
      </c>
      <c r="AH167">
        <v>0</v>
      </c>
      <c r="AI167">
        <v>0</v>
      </c>
      <c r="AJ167">
        <v>2</v>
      </c>
      <c r="AK167">
        <v>0</v>
      </c>
      <c r="AL167">
        <v>0</v>
      </c>
    </row>
    <row r="168" spans="1:38" x14ac:dyDescent="0.25">
      <c r="A168" t="s">
        <v>531</v>
      </c>
      <c r="B168" t="s">
        <v>531</v>
      </c>
      <c r="C168" s="1">
        <v>127</v>
      </c>
      <c r="D168" s="1" t="s">
        <v>530</v>
      </c>
      <c r="E168">
        <v>1</v>
      </c>
      <c r="F168">
        <v>1.5</v>
      </c>
      <c r="G168">
        <v>55</v>
      </c>
      <c r="H168" t="s">
        <v>90</v>
      </c>
      <c r="J168" t="s">
        <v>440</v>
      </c>
      <c r="K168" t="s">
        <v>532</v>
      </c>
      <c r="L168" t="s">
        <v>533</v>
      </c>
      <c r="M168" t="s">
        <v>103</v>
      </c>
      <c r="N168">
        <v>50</v>
      </c>
      <c r="O168">
        <v>50</v>
      </c>
      <c r="P168">
        <v>0</v>
      </c>
      <c r="Q168">
        <v>25</v>
      </c>
      <c r="R168" t="s">
        <v>90</v>
      </c>
      <c r="T168">
        <v>45</v>
      </c>
      <c r="U168">
        <v>175</v>
      </c>
      <c r="V168">
        <v>1250000</v>
      </c>
      <c r="W168" t="s">
        <v>46</v>
      </c>
      <c r="Z168">
        <v>65</v>
      </c>
      <c r="AA168">
        <v>125</v>
      </c>
      <c r="AB168">
        <v>100</v>
      </c>
      <c r="AC168">
        <v>55</v>
      </c>
      <c r="AD168">
        <v>70</v>
      </c>
      <c r="AE168">
        <v>85</v>
      </c>
      <c r="AF168">
        <v>500</v>
      </c>
      <c r="AG168">
        <v>0</v>
      </c>
      <c r="AH168">
        <v>2</v>
      </c>
      <c r="AI168">
        <v>0</v>
      </c>
      <c r="AJ168">
        <v>0</v>
      </c>
      <c r="AK168">
        <v>0</v>
      </c>
      <c r="AL168">
        <v>0</v>
      </c>
    </row>
    <row r="169" spans="1:38" x14ac:dyDescent="0.25">
      <c r="A169" t="s">
        <v>531</v>
      </c>
      <c r="B169" t="s">
        <v>535</v>
      </c>
      <c r="C169" s="1">
        <v>127</v>
      </c>
      <c r="D169" s="1" t="s">
        <v>534</v>
      </c>
      <c r="E169">
        <v>1</v>
      </c>
      <c r="F169">
        <v>1.7</v>
      </c>
      <c r="G169">
        <v>59</v>
      </c>
      <c r="H169" t="s">
        <v>90</v>
      </c>
      <c r="I169" t="s">
        <v>66</v>
      </c>
      <c r="J169" t="s">
        <v>536</v>
      </c>
      <c r="M169" t="s">
        <v>103</v>
      </c>
      <c r="N169">
        <v>50</v>
      </c>
      <c r="O169">
        <v>50</v>
      </c>
      <c r="P169">
        <v>0</v>
      </c>
      <c r="Q169">
        <v>25</v>
      </c>
      <c r="R169" t="s">
        <v>90</v>
      </c>
      <c r="T169">
        <v>45</v>
      </c>
      <c r="U169">
        <v>210</v>
      </c>
      <c r="V169">
        <v>1250000</v>
      </c>
      <c r="W169" t="s">
        <v>46</v>
      </c>
      <c r="X169" t="s">
        <v>54</v>
      </c>
      <c r="Z169">
        <v>65</v>
      </c>
      <c r="AA169">
        <v>155</v>
      </c>
      <c r="AB169">
        <v>120</v>
      </c>
      <c r="AC169">
        <v>65</v>
      </c>
      <c r="AD169">
        <v>90</v>
      </c>
      <c r="AE169">
        <v>105</v>
      </c>
      <c r="AF169">
        <v>600</v>
      </c>
      <c r="AG169">
        <v>0</v>
      </c>
      <c r="AH169">
        <v>2</v>
      </c>
      <c r="AI169">
        <v>0</v>
      </c>
      <c r="AJ169">
        <v>0</v>
      </c>
      <c r="AK169">
        <v>0</v>
      </c>
      <c r="AL169">
        <v>0</v>
      </c>
    </row>
    <row r="170" spans="1:38" x14ac:dyDescent="0.25">
      <c r="A170" t="s">
        <v>538</v>
      </c>
      <c r="B170" t="s">
        <v>538</v>
      </c>
      <c r="C170" s="1">
        <v>128</v>
      </c>
      <c r="D170" s="1" t="s">
        <v>537</v>
      </c>
      <c r="E170">
        <v>1</v>
      </c>
      <c r="F170">
        <v>1.4</v>
      </c>
      <c r="G170">
        <v>88.4</v>
      </c>
      <c r="H170" t="s">
        <v>116</v>
      </c>
      <c r="J170" t="s">
        <v>148</v>
      </c>
      <c r="K170" t="s">
        <v>281</v>
      </c>
      <c r="L170" t="s">
        <v>187</v>
      </c>
      <c r="M170" t="s">
        <v>103</v>
      </c>
      <c r="N170">
        <v>100</v>
      </c>
      <c r="O170">
        <v>0</v>
      </c>
      <c r="P170">
        <v>0</v>
      </c>
      <c r="Q170">
        <v>20</v>
      </c>
      <c r="R170" t="s">
        <v>132</v>
      </c>
      <c r="T170">
        <v>45</v>
      </c>
      <c r="U170">
        <v>172</v>
      </c>
      <c r="V170">
        <v>1250000</v>
      </c>
      <c r="W170" t="s">
        <v>46</v>
      </c>
      <c r="Z170">
        <v>75</v>
      </c>
      <c r="AA170">
        <v>100</v>
      </c>
      <c r="AB170">
        <v>95</v>
      </c>
      <c r="AC170">
        <v>40</v>
      </c>
      <c r="AD170">
        <v>70</v>
      </c>
      <c r="AE170">
        <v>110</v>
      </c>
      <c r="AF170">
        <v>490</v>
      </c>
      <c r="AG170">
        <v>0</v>
      </c>
      <c r="AH170">
        <v>1</v>
      </c>
      <c r="AI170">
        <v>0</v>
      </c>
      <c r="AJ170">
        <v>0</v>
      </c>
      <c r="AK170">
        <v>0</v>
      </c>
      <c r="AL170">
        <v>1</v>
      </c>
    </row>
    <row r="171" spans="1:38" x14ac:dyDescent="0.25">
      <c r="A171" t="s">
        <v>538</v>
      </c>
      <c r="B171" t="s">
        <v>540</v>
      </c>
      <c r="C171" s="1">
        <v>128</v>
      </c>
      <c r="D171" s="1" t="s">
        <v>539</v>
      </c>
      <c r="E171">
        <v>1</v>
      </c>
      <c r="F171">
        <v>1.4</v>
      </c>
      <c r="G171">
        <v>115</v>
      </c>
      <c r="H171" t="s">
        <v>279</v>
      </c>
      <c r="J171" t="s">
        <v>148</v>
      </c>
      <c r="K171" t="s">
        <v>281</v>
      </c>
      <c r="L171" t="s">
        <v>541</v>
      </c>
      <c r="M171" t="s">
        <v>103</v>
      </c>
      <c r="N171">
        <v>100</v>
      </c>
      <c r="O171">
        <v>0</v>
      </c>
      <c r="P171">
        <v>0</v>
      </c>
      <c r="Q171">
        <v>20</v>
      </c>
      <c r="R171" t="s">
        <v>132</v>
      </c>
      <c r="T171">
        <v>45</v>
      </c>
      <c r="U171">
        <v>172</v>
      </c>
      <c r="V171">
        <v>1250000</v>
      </c>
      <c r="W171" t="s">
        <v>46</v>
      </c>
      <c r="Z171">
        <v>75</v>
      </c>
      <c r="AA171">
        <v>110</v>
      </c>
      <c r="AB171">
        <v>105</v>
      </c>
      <c r="AC171">
        <v>30</v>
      </c>
      <c r="AD171">
        <v>70</v>
      </c>
      <c r="AE171">
        <v>100</v>
      </c>
      <c r="AF171">
        <v>490</v>
      </c>
      <c r="AG171">
        <v>0</v>
      </c>
      <c r="AH171">
        <v>2</v>
      </c>
      <c r="AI171">
        <v>0</v>
      </c>
      <c r="AJ171">
        <v>0</v>
      </c>
      <c r="AK171">
        <v>0</v>
      </c>
      <c r="AL171">
        <v>0</v>
      </c>
    </row>
    <row r="172" spans="1:38" x14ac:dyDescent="0.25">
      <c r="A172" t="s">
        <v>538</v>
      </c>
      <c r="B172" t="s">
        <v>543</v>
      </c>
      <c r="C172" s="1">
        <v>128</v>
      </c>
      <c r="D172" s="1" t="s">
        <v>542</v>
      </c>
      <c r="E172">
        <v>9</v>
      </c>
      <c r="F172">
        <v>1.4</v>
      </c>
      <c r="G172">
        <v>85</v>
      </c>
      <c r="H172" t="s">
        <v>279</v>
      </c>
      <c r="I172" t="s">
        <v>57</v>
      </c>
      <c r="J172" t="s">
        <v>148</v>
      </c>
      <c r="K172" t="s">
        <v>281</v>
      </c>
      <c r="L172" t="s">
        <v>541</v>
      </c>
      <c r="M172" t="s">
        <v>103</v>
      </c>
      <c r="N172">
        <v>100</v>
      </c>
      <c r="O172">
        <v>0</v>
      </c>
      <c r="P172">
        <v>0</v>
      </c>
      <c r="Q172">
        <v>20</v>
      </c>
      <c r="R172" t="s">
        <v>132</v>
      </c>
      <c r="T172">
        <v>45</v>
      </c>
      <c r="U172">
        <v>172</v>
      </c>
      <c r="V172">
        <v>1250000</v>
      </c>
      <c r="W172" t="s">
        <v>46</v>
      </c>
      <c r="Y172" t="s">
        <v>544</v>
      </c>
      <c r="Z172">
        <v>75</v>
      </c>
      <c r="AA172">
        <v>110</v>
      </c>
      <c r="AB172">
        <v>105</v>
      </c>
      <c r="AC172">
        <v>30</v>
      </c>
      <c r="AD172">
        <v>70</v>
      </c>
      <c r="AE172">
        <v>100</v>
      </c>
      <c r="AF172">
        <v>490</v>
      </c>
      <c r="AG172">
        <v>0</v>
      </c>
      <c r="AH172">
        <v>2</v>
      </c>
      <c r="AI172">
        <v>0</v>
      </c>
      <c r="AJ172">
        <v>0</v>
      </c>
      <c r="AK172">
        <v>0</v>
      </c>
      <c r="AL172">
        <v>0</v>
      </c>
    </row>
    <row r="173" spans="1:38" x14ac:dyDescent="0.25">
      <c r="A173" t="s">
        <v>538</v>
      </c>
      <c r="B173" t="s">
        <v>546</v>
      </c>
      <c r="C173" s="1">
        <v>128</v>
      </c>
      <c r="D173" s="1" t="s">
        <v>545</v>
      </c>
      <c r="E173">
        <v>9</v>
      </c>
      <c r="F173">
        <v>1.4</v>
      </c>
      <c r="G173">
        <v>110</v>
      </c>
      <c r="H173" t="s">
        <v>279</v>
      </c>
      <c r="I173" t="s">
        <v>76</v>
      </c>
      <c r="J173" t="s">
        <v>148</v>
      </c>
      <c r="K173" t="s">
        <v>281</v>
      </c>
      <c r="L173" t="s">
        <v>541</v>
      </c>
      <c r="M173" t="s">
        <v>103</v>
      </c>
      <c r="N173">
        <v>100</v>
      </c>
      <c r="O173">
        <v>0</v>
      </c>
      <c r="P173">
        <v>0</v>
      </c>
      <c r="Q173">
        <v>20</v>
      </c>
      <c r="R173" t="s">
        <v>132</v>
      </c>
      <c r="T173">
        <v>45</v>
      </c>
      <c r="U173">
        <v>172</v>
      </c>
      <c r="V173">
        <v>1250000</v>
      </c>
      <c r="W173" t="s">
        <v>46</v>
      </c>
      <c r="Y173" t="s">
        <v>544</v>
      </c>
      <c r="Z173">
        <v>75</v>
      </c>
      <c r="AA173">
        <v>110</v>
      </c>
      <c r="AB173">
        <v>105</v>
      </c>
      <c r="AC173">
        <v>30</v>
      </c>
      <c r="AD173">
        <v>70</v>
      </c>
      <c r="AE173">
        <v>100</v>
      </c>
      <c r="AF173">
        <v>490</v>
      </c>
      <c r="AG173">
        <v>0</v>
      </c>
      <c r="AH173">
        <v>2</v>
      </c>
      <c r="AI173">
        <v>0</v>
      </c>
      <c r="AJ173">
        <v>0</v>
      </c>
      <c r="AK173">
        <v>0</v>
      </c>
      <c r="AL173">
        <v>0</v>
      </c>
    </row>
    <row r="174" spans="1:38" x14ac:dyDescent="0.25">
      <c r="A174" t="s">
        <v>548</v>
      </c>
      <c r="B174" t="s">
        <v>548</v>
      </c>
      <c r="C174" s="1">
        <v>129</v>
      </c>
      <c r="D174" s="1" t="s">
        <v>547</v>
      </c>
      <c r="E174">
        <v>1</v>
      </c>
      <c r="F174">
        <v>0.9</v>
      </c>
      <c r="G174">
        <v>10</v>
      </c>
      <c r="H174" t="s">
        <v>76</v>
      </c>
      <c r="J174" t="s">
        <v>274</v>
      </c>
      <c r="L174" t="s">
        <v>261</v>
      </c>
      <c r="M174" t="s">
        <v>60</v>
      </c>
      <c r="N174">
        <v>50</v>
      </c>
      <c r="O174">
        <v>50</v>
      </c>
      <c r="P174">
        <v>0</v>
      </c>
      <c r="Q174">
        <v>5</v>
      </c>
      <c r="R174" t="s">
        <v>508</v>
      </c>
      <c r="S174" t="s">
        <v>61</v>
      </c>
      <c r="T174">
        <v>255</v>
      </c>
      <c r="U174">
        <v>40</v>
      </c>
      <c r="V174">
        <v>1250000</v>
      </c>
      <c r="W174" t="s">
        <v>46</v>
      </c>
      <c r="Z174">
        <v>20</v>
      </c>
      <c r="AA174">
        <v>10</v>
      </c>
      <c r="AB174">
        <v>55</v>
      </c>
      <c r="AC174">
        <v>15</v>
      </c>
      <c r="AD174">
        <v>20</v>
      </c>
      <c r="AE174">
        <v>80</v>
      </c>
      <c r="AF174">
        <v>200</v>
      </c>
      <c r="AG174">
        <v>0</v>
      </c>
      <c r="AH174">
        <v>0</v>
      </c>
      <c r="AI174">
        <v>0</v>
      </c>
      <c r="AJ174">
        <v>0</v>
      </c>
      <c r="AK174">
        <v>0</v>
      </c>
      <c r="AL174">
        <v>1</v>
      </c>
    </row>
    <row r="175" spans="1:38" x14ac:dyDescent="0.25">
      <c r="A175" t="s">
        <v>550</v>
      </c>
      <c r="B175" t="s">
        <v>550</v>
      </c>
      <c r="C175" s="1">
        <v>130</v>
      </c>
      <c r="D175" s="1" t="s">
        <v>549</v>
      </c>
      <c r="E175">
        <v>1</v>
      </c>
      <c r="F175">
        <v>6.5</v>
      </c>
      <c r="G175">
        <v>235</v>
      </c>
      <c r="H175" t="s">
        <v>76</v>
      </c>
      <c r="I175" t="s">
        <v>66</v>
      </c>
      <c r="J175" t="s">
        <v>148</v>
      </c>
      <c r="L175" t="s">
        <v>533</v>
      </c>
      <c r="M175" t="s">
        <v>79</v>
      </c>
      <c r="N175">
        <v>50</v>
      </c>
      <c r="O175">
        <v>50</v>
      </c>
      <c r="P175">
        <v>0</v>
      </c>
      <c r="Q175">
        <v>5</v>
      </c>
      <c r="R175" t="s">
        <v>508</v>
      </c>
      <c r="S175" t="s">
        <v>61</v>
      </c>
      <c r="T175">
        <v>45</v>
      </c>
      <c r="U175">
        <v>189</v>
      </c>
      <c r="V175">
        <v>1250000</v>
      </c>
      <c r="W175" t="s">
        <v>46</v>
      </c>
      <c r="Z175">
        <v>95</v>
      </c>
      <c r="AA175">
        <v>125</v>
      </c>
      <c r="AB175">
        <v>79</v>
      </c>
      <c r="AC175">
        <v>60</v>
      </c>
      <c r="AD175">
        <v>100</v>
      </c>
      <c r="AE175">
        <v>81</v>
      </c>
      <c r="AF175">
        <v>540</v>
      </c>
      <c r="AG175">
        <v>0</v>
      </c>
      <c r="AH175">
        <v>2</v>
      </c>
      <c r="AI175">
        <v>0</v>
      </c>
      <c r="AJ175">
        <v>0</v>
      </c>
      <c r="AK175">
        <v>0</v>
      </c>
      <c r="AL175">
        <v>0</v>
      </c>
    </row>
    <row r="176" spans="1:38" x14ac:dyDescent="0.25">
      <c r="A176" t="s">
        <v>550</v>
      </c>
      <c r="B176" t="s">
        <v>552</v>
      </c>
      <c r="C176" s="1">
        <v>130</v>
      </c>
      <c r="D176" s="1" t="s">
        <v>551</v>
      </c>
      <c r="E176">
        <v>1</v>
      </c>
      <c r="F176">
        <v>6.5</v>
      </c>
      <c r="G176">
        <v>305</v>
      </c>
      <c r="H176" t="s">
        <v>76</v>
      </c>
      <c r="I176" t="s">
        <v>135</v>
      </c>
      <c r="J176" t="s">
        <v>532</v>
      </c>
      <c r="M176" t="s">
        <v>79</v>
      </c>
      <c r="N176">
        <v>50</v>
      </c>
      <c r="O176">
        <v>50</v>
      </c>
      <c r="P176">
        <v>0</v>
      </c>
      <c r="Q176">
        <v>5</v>
      </c>
      <c r="R176" t="s">
        <v>508</v>
      </c>
      <c r="S176" t="s">
        <v>61</v>
      </c>
      <c r="T176">
        <v>45</v>
      </c>
      <c r="U176">
        <v>224</v>
      </c>
      <c r="V176">
        <v>1250000</v>
      </c>
      <c r="W176" t="s">
        <v>46</v>
      </c>
      <c r="X176" t="s">
        <v>54</v>
      </c>
      <c r="Z176">
        <v>95</v>
      </c>
      <c r="AA176">
        <v>155</v>
      </c>
      <c r="AB176">
        <v>109</v>
      </c>
      <c r="AC176">
        <v>70</v>
      </c>
      <c r="AD176">
        <v>130</v>
      </c>
      <c r="AE176">
        <v>81</v>
      </c>
      <c r="AF176">
        <v>640</v>
      </c>
      <c r="AG176">
        <v>0</v>
      </c>
      <c r="AH176">
        <v>2</v>
      </c>
      <c r="AI176">
        <v>0</v>
      </c>
      <c r="AJ176">
        <v>0</v>
      </c>
      <c r="AK176">
        <v>0</v>
      </c>
      <c r="AL176">
        <v>0</v>
      </c>
    </row>
    <row r="177" spans="1:38" x14ac:dyDescent="0.25">
      <c r="A177" t="s">
        <v>554</v>
      </c>
      <c r="B177" t="s">
        <v>554</v>
      </c>
      <c r="C177" s="1">
        <v>131</v>
      </c>
      <c r="D177" s="1" t="s">
        <v>553</v>
      </c>
      <c r="E177">
        <v>1</v>
      </c>
      <c r="F177">
        <v>2.5</v>
      </c>
      <c r="G177">
        <v>220</v>
      </c>
      <c r="H177" t="s">
        <v>76</v>
      </c>
      <c r="I177" t="s">
        <v>170</v>
      </c>
      <c r="J177" t="s">
        <v>299</v>
      </c>
      <c r="K177" t="s">
        <v>377</v>
      </c>
      <c r="L177" t="s">
        <v>395</v>
      </c>
      <c r="M177" t="s">
        <v>79</v>
      </c>
      <c r="N177">
        <v>50</v>
      </c>
      <c r="O177">
        <v>50</v>
      </c>
      <c r="P177">
        <v>0</v>
      </c>
      <c r="Q177">
        <v>40</v>
      </c>
      <c r="R177" t="s">
        <v>45</v>
      </c>
      <c r="S177" t="s">
        <v>80</v>
      </c>
      <c r="T177">
        <v>45</v>
      </c>
      <c r="U177">
        <v>187</v>
      </c>
      <c r="V177">
        <v>1250000</v>
      </c>
      <c r="W177" t="s">
        <v>46</v>
      </c>
      <c r="Z177">
        <v>130</v>
      </c>
      <c r="AA177">
        <v>85</v>
      </c>
      <c r="AB177">
        <v>80</v>
      </c>
      <c r="AC177">
        <v>85</v>
      </c>
      <c r="AD177">
        <v>95</v>
      </c>
      <c r="AE177">
        <v>60</v>
      </c>
      <c r="AF177">
        <v>535</v>
      </c>
      <c r="AG177">
        <v>2</v>
      </c>
      <c r="AH177">
        <v>0</v>
      </c>
      <c r="AI177">
        <v>0</v>
      </c>
      <c r="AJ177">
        <v>0</v>
      </c>
      <c r="AK177">
        <v>0</v>
      </c>
      <c r="AL177">
        <v>0</v>
      </c>
    </row>
    <row r="178" spans="1:38" x14ac:dyDescent="0.25">
      <c r="A178" t="s">
        <v>556</v>
      </c>
      <c r="B178" t="s">
        <v>556</v>
      </c>
      <c r="C178" s="1">
        <v>132</v>
      </c>
      <c r="D178" s="1" t="s">
        <v>555</v>
      </c>
      <c r="E178">
        <v>1</v>
      </c>
      <c r="F178">
        <v>0.3</v>
      </c>
      <c r="G178">
        <v>4</v>
      </c>
      <c r="H178" t="s">
        <v>116</v>
      </c>
      <c r="J178" t="s">
        <v>267</v>
      </c>
      <c r="L178" t="s">
        <v>557</v>
      </c>
      <c r="M178" t="s">
        <v>131</v>
      </c>
      <c r="N178">
        <v>0</v>
      </c>
      <c r="O178">
        <v>0</v>
      </c>
      <c r="P178">
        <v>100</v>
      </c>
      <c r="Q178">
        <v>20</v>
      </c>
      <c r="R178" t="s">
        <v>556</v>
      </c>
      <c r="T178">
        <v>35</v>
      </c>
      <c r="U178">
        <v>101</v>
      </c>
      <c r="V178">
        <v>1000000</v>
      </c>
      <c r="W178" t="s">
        <v>46</v>
      </c>
      <c r="Z178">
        <v>48</v>
      </c>
      <c r="AA178">
        <v>48</v>
      </c>
      <c r="AB178">
        <v>48</v>
      </c>
      <c r="AC178">
        <v>48</v>
      </c>
      <c r="AD178">
        <v>48</v>
      </c>
      <c r="AE178">
        <v>48</v>
      </c>
      <c r="AF178">
        <v>288</v>
      </c>
      <c r="AG178">
        <v>1</v>
      </c>
      <c r="AH178">
        <v>0</v>
      </c>
      <c r="AI178">
        <v>0</v>
      </c>
      <c r="AJ178">
        <v>0</v>
      </c>
      <c r="AK178">
        <v>0</v>
      </c>
      <c r="AL178">
        <v>0</v>
      </c>
    </row>
    <row r="179" spans="1:38" x14ac:dyDescent="0.25">
      <c r="A179" t="s">
        <v>559</v>
      </c>
      <c r="B179" t="s">
        <v>559</v>
      </c>
      <c r="C179" s="1">
        <v>133</v>
      </c>
      <c r="D179" s="1" t="s">
        <v>558</v>
      </c>
      <c r="E179">
        <v>1</v>
      </c>
      <c r="F179">
        <v>0.3</v>
      </c>
      <c r="G179">
        <v>6.5</v>
      </c>
      <c r="H179" t="s">
        <v>116</v>
      </c>
      <c r="J179" t="s">
        <v>92</v>
      </c>
      <c r="K179" t="s">
        <v>113</v>
      </c>
      <c r="L179" t="s">
        <v>358</v>
      </c>
      <c r="M179" t="s">
        <v>103</v>
      </c>
      <c r="N179">
        <v>87.5</v>
      </c>
      <c r="O179">
        <v>12.5</v>
      </c>
      <c r="P179">
        <v>0</v>
      </c>
      <c r="Q179">
        <v>35</v>
      </c>
      <c r="R179" t="s">
        <v>132</v>
      </c>
      <c r="T179">
        <v>45</v>
      </c>
      <c r="U179">
        <v>65</v>
      </c>
      <c r="V179">
        <v>1000000</v>
      </c>
      <c r="W179" t="s">
        <v>46</v>
      </c>
      <c r="Z179">
        <v>55</v>
      </c>
      <c r="AA179">
        <v>55</v>
      </c>
      <c r="AB179">
        <v>50</v>
      </c>
      <c r="AC179">
        <v>45</v>
      </c>
      <c r="AD179">
        <v>65</v>
      </c>
      <c r="AE179">
        <v>55</v>
      </c>
      <c r="AF179">
        <v>325</v>
      </c>
      <c r="AG179">
        <v>0</v>
      </c>
      <c r="AH179">
        <v>0</v>
      </c>
      <c r="AI179">
        <v>0</v>
      </c>
      <c r="AJ179">
        <v>0</v>
      </c>
      <c r="AK179">
        <v>1</v>
      </c>
      <c r="AL179">
        <v>0</v>
      </c>
    </row>
    <row r="180" spans="1:38" x14ac:dyDescent="0.25">
      <c r="A180" t="s">
        <v>561</v>
      </c>
      <c r="B180" t="s">
        <v>561</v>
      </c>
      <c r="C180" s="1">
        <v>134</v>
      </c>
      <c r="D180" s="1" t="s">
        <v>560</v>
      </c>
      <c r="E180">
        <v>1</v>
      </c>
      <c r="F180">
        <v>1</v>
      </c>
      <c r="G180">
        <v>29</v>
      </c>
      <c r="H180" t="s">
        <v>76</v>
      </c>
      <c r="J180" t="s">
        <v>299</v>
      </c>
      <c r="L180" t="s">
        <v>395</v>
      </c>
      <c r="M180" t="s">
        <v>79</v>
      </c>
      <c r="N180">
        <v>87.5</v>
      </c>
      <c r="O180">
        <v>12.5</v>
      </c>
      <c r="P180">
        <v>0</v>
      </c>
      <c r="Q180">
        <v>35</v>
      </c>
      <c r="R180" t="s">
        <v>132</v>
      </c>
      <c r="T180">
        <v>45</v>
      </c>
      <c r="U180">
        <v>184</v>
      </c>
      <c r="V180">
        <v>1000000</v>
      </c>
      <c r="W180" t="s">
        <v>46</v>
      </c>
      <c r="Z180">
        <v>130</v>
      </c>
      <c r="AA180">
        <v>65</v>
      </c>
      <c r="AB180">
        <v>60</v>
      </c>
      <c r="AC180">
        <v>110</v>
      </c>
      <c r="AD180">
        <v>95</v>
      </c>
      <c r="AE180">
        <v>65</v>
      </c>
      <c r="AF180">
        <v>525</v>
      </c>
      <c r="AG180">
        <v>2</v>
      </c>
      <c r="AH180">
        <v>0</v>
      </c>
      <c r="AI180">
        <v>0</v>
      </c>
      <c r="AJ180">
        <v>0</v>
      </c>
      <c r="AK180">
        <v>0</v>
      </c>
      <c r="AL180">
        <v>0</v>
      </c>
    </row>
    <row r="181" spans="1:38" x14ac:dyDescent="0.25">
      <c r="A181" t="s">
        <v>563</v>
      </c>
      <c r="B181" t="s">
        <v>563</v>
      </c>
      <c r="C181" s="1">
        <v>135</v>
      </c>
      <c r="D181" s="1" t="s">
        <v>562</v>
      </c>
      <c r="E181">
        <v>1</v>
      </c>
      <c r="F181">
        <v>0.8</v>
      </c>
      <c r="G181">
        <v>24.5</v>
      </c>
      <c r="H181" t="s">
        <v>154</v>
      </c>
      <c r="J181" t="s">
        <v>564</v>
      </c>
      <c r="L181" t="s">
        <v>565</v>
      </c>
      <c r="M181" t="s">
        <v>106</v>
      </c>
      <c r="N181">
        <v>87.5</v>
      </c>
      <c r="O181">
        <v>12.5</v>
      </c>
      <c r="P181">
        <v>0</v>
      </c>
      <c r="Q181">
        <v>35</v>
      </c>
      <c r="R181" t="s">
        <v>132</v>
      </c>
      <c r="T181">
        <v>45</v>
      </c>
      <c r="U181">
        <v>184</v>
      </c>
      <c r="V181">
        <v>1000000</v>
      </c>
      <c r="W181" t="s">
        <v>46</v>
      </c>
      <c r="Z181">
        <v>65</v>
      </c>
      <c r="AA181">
        <v>65</v>
      </c>
      <c r="AB181">
        <v>60</v>
      </c>
      <c r="AC181">
        <v>110</v>
      </c>
      <c r="AD181">
        <v>95</v>
      </c>
      <c r="AE181">
        <v>130</v>
      </c>
      <c r="AF181">
        <v>525</v>
      </c>
      <c r="AG181">
        <v>0</v>
      </c>
      <c r="AH181">
        <v>0</v>
      </c>
      <c r="AI181">
        <v>0</v>
      </c>
      <c r="AJ181">
        <v>0</v>
      </c>
      <c r="AK181">
        <v>0</v>
      </c>
      <c r="AL181">
        <v>2</v>
      </c>
    </row>
    <row r="182" spans="1:38" x14ac:dyDescent="0.25">
      <c r="A182" t="s">
        <v>567</v>
      </c>
      <c r="B182" t="s">
        <v>567</v>
      </c>
      <c r="C182" s="1">
        <v>136</v>
      </c>
      <c r="D182" s="1" t="s">
        <v>566</v>
      </c>
      <c r="E182">
        <v>1</v>
      </c>
      <c r="F182">
        <v>0.9</v>
      </c>
      <c r="G182">
        <v>25</v>
      </c>
      <c r="H182" t="s">
        <v>57</v>
      </c>
      <c r="J182" t="s">
        <v>205</v>
      </c>
      <c r="L182" t="s">
        <v>129</v>
      </c>
      <c r="M182" t="s">
        <v>60</v>
      </c>
      <c r="N182">
        <v>87.5</v>
      </c>
      <c r="O182">
        <v>12.5</v>
      </c>
      <c r="P182">
        <v>0</v>
      </c>
      <c r="Q182">
        <v>35</v>
      </c>
      <c r="R182" t="s">
        <v>132</v>
      </c>
      <c r="T182">
        <v>45</v>
      </c>
      <c r="U182">
        <v>184</v>
      </c>
      <c r="V182">
        <v>1000000</v>
      </c>
      <c r="W182" t="s">
        <v>46</v>
      </c>
      <c r="Z182">
        <v>65</v>
      </c>
      <c r="AA182">
        <v>130</v>
      </c>
      <c r="AB182">
        <v>60</v>
      </c>
      <c r="AC182">
        <v>95</v>
      </c>
      <c r="AD182">
        <v>110</v>
      </c>
      <c r="AE182">
        <v>65</v>
      </c>
      <c r="AF182">
        <v>525</v>
      </c>
      <c r="AG182">
        <v>0</v>
      </c>
      <c r="AH182">
        <v>2</v>
      </c>
      <c r="AI182">
        <v>0</v>
      </c>
      <c r="AJ182">
        <v>0</v>
      </c>
      <c r="AK182">
        <v>0</v>
      </c>
      <c r="AL182">
        <v>0</v>
      </c>
    </row>
    <row r="183" spans="1:38" x14ac:dyDescent="0.25">
      <c r="A183" t="s">
        <v>569</v>
      </c>
      <c r="B183" t="s">
        <v>569</v>
      </c>
      <c r="C183" s="1">
        <v>137</v>
      </c>
      <c r="D183" s="1" t="s">
        <v>568</v>
      </c>
      <c r="E183">
        <v>1</v>
      </c>
      <c r="F183">
        <v>0.8</v>
      </c>
      <c r="G183">
        <v>36.5</v>
      </c>
      <c r="H183" t="s">
        <v>116</v>
      </c>
      <c r="J183" t="s">
        <v>314</v>
      </c>
      <c r="K183" t="s">
        <v>570</v>
      </c>
      <c r="L183" t="s">
        <v>380</v>
      </c>
      <c r="M183" t="s">
        <v>199</v>
      </c>
      <c r="N183">
        <v>0</v>
      </c>
      <c r="O183">
        <v>0</v>
      </c>
      <c r="P183">
        <v>100</v>
      </c>
      <c r="Q183">
        <v>20</v>
      </c>
      <c r="R183" t="s">
        <v>339</v>
      </c>
      <c r="T183">
        <v>45</v>
      </c>
      <c r="U183">
        <v>79</v>
      </c>
      <c r="V183">
        <v>1000000</v>
      </c>
      <c r="W183" t="s">
        <v>46</v>
      </c>
      <c r="Z183">
        <v>65</v>
      </c>
      <c r="AA183">
        <v>60</v>
      </c>
      <c r="AB183">
        <v>70</v>
      </c>
      <c r="AC183">
        <v>85</v>
      </c>
      <c r="AD183">
        <v>75</v>
      </c>
      <c r="AE183">
        <v>40</v>
      </c>
      <c r="AF183">
        <v>395</v>
      </c>
      <c r="AG183">
        <v>0</v>
      </c>
      <c r="AH183">
        <v>0</v>
      </c>
      <c r="AI183">
        <v>0</v>
      </c>
      <c r="AJ183">
        <v>1</v>
      </c>
      <c r="AK183">
        <v>0</v>
      </c>
      <c r="AL183">
        <v>0</v>
      </c>
    </row>
    <row r="184" spans="1:38" x14ac:dyDescent="0.25">
      <c r="A184" t="s">
        <v>572</v>
      </c>
      <c r="B184" t="s">
        <v>572</v>
      </c>
      <c r="C184" s="1">
        <v>138</v>
      </c>
      <c r="D184" s="1" t="s">
        <v>571</v>
      </c>
      <c r="E184">
        <v>1</v>
      </c>
      <c r="F184">
        <v>0.4</v>
      </c>
      <c r="G184">
        <v>7.5</v>
      </c>
      <c r="H184" t="s">
        <v>290</v>
      </c>
      <c r="I184" t="s">
        <v>76</v>
      </c>
      <c r="J184" t="s">
        <v>274</v>
      </c>
      <c r="K184" t="s">
        <v>377</v>
      </c>
      <c r="L184" t="s">
        <v>431</v>
      </c>
      <c r="M184" t="s">
        <v>79</v>
      </c>
      <c r="N184">
        <v>87.5</v>
      </c>
      <c r="O184">
        <v>12.5</v>
      </c>
      <c r="P184">
        <v>0</v>
      </c>
      <c r="Q184">
        <v>30</v>
      </c>
      <c r="R184" t="s">
        <v>80</v>
      </c>
      <c r="S184" t="s">
        <v>333</v>
      </c>
      <c r="T184">
        <v>45</v>
      </c>
      <c r="U184">
        <v>71</v>
      </c>
      <c r="V184">
        <v>1000000</v>
      </c>
      <c r="W184" t="s">
        <v>46</v>
      </c>
      <c r="Z184">
        <v>35</v>
      </c>
      <c r="AA184">
        <v>40</v>
      </c>
      <c r="AB184">
        <v>100</v>
      </c>
      <c r="AC184">
        <v>90</v>
      </c>
      <c r="AD184">
        <v>55</v>
      </c>
      <c r="AE184">
        <v>35</v>
      </c>
      <c r="AF184">
        <v>355</v>
      </c>
      <c r="AG184">
        <v>0</v>
      </c>
      <c r="AH184">
        <v>0</v>
      </c>
      <c r="AI184">
        <v>1</v>
      </c>
      <c r="AJ184">
        <v>0</v>
      </c>
      <c r="AK184">
        <v>0</v>
      </c>
      <c r="AL184">
        <v>0</v>
      </c>
    </row>
    <row r="185" spans="1:38" x14ac:dyDescent="0.25">
      <c r="A185" t="s">
        <v>574</v>
      </c>
      <c r="B185" t="s">
        <v>574</v>
      </c>
      <c r="C185" s="1">
        <v>139</v>
      </c>
      <c r="D185" s="1" t="s">
        <v>573</v>
      </c>
      <c r="E185">
        <v>1</v>
      </c>
      <c r="F185">
        <v>1</v>
      </c>
      <c r="G185">
        <v>35</v>
      </c>
      <c r="H185" t="s">
        <v>290</v>
      </c>
      <c r="I185" t="s">
        <v>76</v>
      </c>
      <c r="J185" t="s">
        <v>274</v>
      </c>
      <c r="K185" t="s">
        <v>377</v>
      </c>
      <c r="L185" t="s">
        <v>431</v>
      </c>
      <c r="M185" t="s">
        <v>79</v>
      </c>
      <c r="N185">
        <v>87.5</v>
      </c>
      <c r="O185">
        <v>12.5</v>
      </c>
      <c r="P185">
        <v>0</v>
      </c>
      <c r="Q185">
        <v>30</v>
      </c>
      <c r="R185" t="s">
        <v>80</v>
      </c>
      <c r="S185" t="s">
        <v>333</v>
      </c>
      <c r="T185">
        <v>45</v>
      </c>
      <c r="U185">
        <v>173</v>
      </c>
      <c r="V185">
        <v>1000000</v>
      </c>
      <c r="W185" t="s">
        <v>46</v>
      </c>
      <c r="Z185">
        <v>70</v>
      </c>
      <c r="AA185">
        <v>60</v>
      </c>
      <c r="AB185">
        <v>125</v>
      </c>
      <c r="AC185">
        <v>115</v>
      </c>
      <c r="AD185">
        <v>70</v>
      </c>
      <c r="AE185">
        <v>55</v>
      </c>
      <c r="AF185">
        <v>495</v>
      </c>
      <c r="AG185">
        <v>0</v>
      </c>
      <c r="AH185">
        <v>0</v>
      </c>
      <c r="AI185">
        <v>2</v>
      </c>
      <c r="AJ185">
        <v>0</v>
      </c>
      <c r="AK185">
        <v>0</v>
      </c>
      <c r="AL185">
        <v>0</v>
      </c>
    </row>
    <row r="186" spans="1:38" x14ac:dyDescent="0.25">
      <c r="A186" t="s">
        <v>576</v>
      </c>
      <c r="B186" t="s">
        <v>576</v>
      </c>
      <c r="C186" s="1">
        <v>140</v>
      </c>
      <c r="D186" s="1" t="s">
        <v>575</v>
      </c>
      <c r="E186">
        <v>1</v>
      </c>
      <c r="F186">
        <v>0.5</v>
      </c>
      <c r="G186">
        <v>11.5</v>
      </c>
      <c r="H186" t="s">
        <v>290</v>
      </c>
      <c r="I186" t="s">
        <v>76</v>
      </c>
      <c r="J186" t="s">
        <v>274</v>
      </c>
      <c r="K186" t="s">
        <v>462</v>
      </c>
      <c r="L186" t="s">
        <v>431</v>
      </c>
      <c r="M186" t="s">
        <v>103</v>
      </c>
      <c r="N186">
        <v>87.5</v>
      </c>
      <c r="O186">
        <v>12.5</v>
      </c>
      <c r="P186">
        <v>0</v>
      </c>
      <c r="Q186">
        <v>30</v>
      </c>
      <c r="R186" t="s">
        <v>80</v>
      </c>
      <c r="S186" t="s">
        <v>333</v>
      </c>
      <c r="T186">
        <v>45</v>
      </c>
      <c r="U186">
        <v>71</v>
      </c>
      <c r="V186">
        <v>1000000</v>
      </c>
      <c r="W186" t="s">
        <v>46</v>
      </c>
      <c r="Z186">
        <v>30</v>
      </c>
      <c r="AA186">
        <v>80</v>
      </c>
      <c r="AB186">
        <v>90</v>
      </c>
      <c r="AC186">
        <v>55</v>
      </c>
      <c r="AD186">
        <v>45</v>
      </c>
      <c r="AE186">
        <v>55</v>
      </c>
      <c r="AF186">
        <v>355</v>
      </c>
      <c r="AG186">
        <v>0</v>
      </c>
      <c r="AH186">
        <v>0</v>
      </c>
      <c r="AI186">
        <v>1</v>
      </c>
      <c r="AJ186">
        <v>0</v>
      </c>
      <c r="AK186">
        <v>0</v>
      </c>
      <c r="AL186">
        <v>0</v>
      </c>
    </row>
    <row r="187" spans="1:38" x14ac:dyDescent="0.25">
      <c r="A187" t="s">
        <v>578</v>
      </c>
      <c r="B187" t="s">
        <v>578</v>
      </c>
      <c r="C187" s="1">
        <v>141</v>
      </c>
      <c r="D187" s="1" t="s">
        <v>577</v>
      </c>
      <c r="E187">
        <v>1</v>
      </c>
      <c r="F187">
        <v>1.3</v>
      </c>
      <c r="G187">
        <v>40.5</v>
      </c>
      <c r="H187" t="s">
        <v>290</v>
      </c>
      <c r="I187" t="s">
        <v>76</v>
      </c>
      <c r="J187" t="s">
        <v>274</v>
      </c>
      <c r="K187" t="s">
        <v>462</v>
      </c>
      <c r="L187" t="s">
        <v>431</v>
      </c>
      <c r="M187" t="s">
        <v>103</v>
      </c>
      <c r="N187">
        <v>87.5</v>
      </c>
      <c r="O187">
        <v>12.5</v>
      </c>
      <c r="P187">
        <v>0</v>
      </c>
      <c r="Q187">
        <v>30</v>
      </c>
      <c r="R187" t="s">
        <v>80</v>
      </c>
      <c r="S187" t="s">
        <v>333</v>
      </c>
      <c r="T187">
        <v>45</v>
      </c>
      <c r="U187">
        <v>173</v>
      </c>
      <c r="V187">
        <v>1000000</v>
      </c>
      <c r="W187" t="s">
        <v>46</v>
      </c>
      <c r="Z187">
        <v>60</v>
      </c>
      <c r="AA187">
        <v>115</v>
      </c>
      <c r="AB187">
        <v>105</v>
      </c>
      <c r="AC187">
        <v>65</v>
      </c>
      <c r="AD187">
        <v>70</v>
      </c>
      <c r="AE187">
        <v>80</v>
      </c>
      <c r="AF187">
        <v>495</v>
      </c>
      <c r="AG187">
        <v>0</v>
      </c>
      <c r="AH187">
        <v>2</v>
      </c>
      <c r="AI187">
        <v>0</v>
      </c>
      <c r="AJ187">
        <v>0</v>
      </c>
      <c r="AK187">
        <v>0</v>
      </c>
      <c r="AL187">
        <v>0</v>
      </c>
    </row>
    <row r="188" spans="1:38" x14ac:dyDescent="0.25">
      <c r="A188" t="s">
        <v>580</v>
      </c>
      <c r="B188" t="s">
        <v>580</v>
      </c>
      <c r="C188" s="1">
        <v>142</v>
      </c>
      <c r="D188" s="1" t="s">
        <v>579</v>
      </c>
      <c r="E188">
        <v>1</v>
      </c>
      <c r="F188">
        <v>1.8</v>
      </c>
      <c r="G188">
        <v>59</v>
      </c>
      <c r="H188" t="s">
        <v>290</v>
      </c>
      <c r="I188" t="s">
        <v>66</v>
      </c>
      <c r="J188" t="s">
        <v>291</v>
      </c>
      <c r="K188" t="s">
        <v>581</v>
      </c>
      <c r="L188" t="s">
        <v>149</v>
      </c>
      <c r="M188" t="s">
        <v>131</v>
      </c>
      <c r="N188">
        <v>87.5</v>
      </c>
      <c r="O188">
        <v>12.5</v>
      </c>
      <c r="P188">
        <v>0</v>
      </c>
      <c r="Q188">
        <v>35</v>
      </c>
      <c r="R188" t="s">
        <v>66</v>
      </c>
      <c r="T188">
        <v>45</v>
      </c>
      <c r="U188">
        <v>180</v>
      </c>
      <c r="V188">
        <v>1250000</v>
      </c>
      <c r="W188" t="s">
        <v>46</v>
      </c>
      <c r="Z188">
        <v>80</v>
      </c>
      <c r="AA188">
        <v>105</v>
      </c>
      <c r="AB188">
        <v>65</v>
      </c>
      <c r="AC188">
        <v>60</v>
      </c>
      <c r="AD188">
        <v>75</v>
      </c>
      <c r="AE188">
        <v>130</v>
      </c>
      <c r="AF188">
        <v>515</v>
      </c>
      <c r="AG188">
        <v>0</v>
      </c>
      <c r="AH188">
        <v>0</v>
      </c>
      <c r="AI188">
        <v>0</v>
      </c>
      <c r="AJ188">
        <v>0</v>
      </c>
      <c r="AK188">
        <v>0</v>
      </c>
      <c r="AL188">
        <v>2</v>
      </c>
    </row>
    <row r="189" spans="1:38" x14ac:dyDescent="0.25">
      <c r="A189" t="s">
        <v>580</v>
      </c>
      <c r="B189" t="s">
        <v>583</v>
      </c>
      <c r="C189" s="1">
        <v>142</v>
      </c>
      <c r="D189" s="1" t="s">
        <v>582</v>
      </c>
      <c r="E189">
        <v>1</v>
      </c>
      <c r="F189">
        <v>2.1</v>
      </c>
      <c r="G189">
        <v>79</v>
      </c>
      <c r="H189" t="s">
        <v>290</v>
      </c>
      <c r="I189" t="s">
        <v>66</v>
      </c>
      <c r="J189" t="s">
        <v>69</v>
      </c>
      <c r="M189" t="s">
        <v>131</v>
      </c>
      <c r="N189">
        <v>87.5</v>
      </c>
      <c r="O189">
        <v>12.5</v>
      </c>
      <c r="P189">
        <v>0</v>
      </c>
      <c r="Q189">
        <v>35</v>
      </c>
      <c r="R189" t="s">
        <v>66</v>
      </c>
      <c r="T189">
        <v>45</v>
      </c>
      <c r="U189">
        <v>215</v>
      </c>
      <c r="V189">
        <v>1250000</v>
      </c>
      <c r="W189" t="s">
        <v>46</v>
      </c>
      <c r="X189" t="s">
        <v>54</v>
      </c>
      <c r="Z189">
        <v>80</v>
      </c>
      <c r="AA189">
        <v>135</v>
      </c>
      <c r="AB189">
        <v>85</v>
      </c>
      <c r="AC189">
        <v>70</v>
      </c>
      <c r="AD189">
        <v>95</v>
      </c>
      <c r="AE189">
        <v>150</v>
      </c>
      <c r="AF189">
        <v>615</v>
      </c>
      <c r="AG189">
        <v>0</v>
      </c>
      <c r="AH189">
        <v>0</v>
      </c>
      <c r="AI189">
        <v>0</v>
      </c>
      <c r="AJ189">
        <v>0</v>
      </c>
      <c r="AK189">
        <v>0</v>
      </c>
      <c r="AL189">
        <v>2</v>
      </c>
    </row>
    <row r="190" spans="1:38" x14ac:dyDescent="0.25">
      <c r="A190" t="s">
        <v>585</v>
      </c>
      <c r="B190" t="s">
        <v>585</v>
      </c>
      <c r="C190" s="1">
        <v>143</v>
      </c>
      <c r="D190" s="1" t="s">
        <v>584</v>
      </c>
      <c r="E190">
        <v>1</v>
      </c>
      <c r="F190">
        <v>2.1</v>
      </c>
      <c r="G190">
        <v>460</v>
      </c>
      <c r="H190" t="s">
        <v>116</v>
      </c>
      <c r="J190" t="s">
        <v>586</v>
      </c>
      <c r="K190" t="s">
        <v>53</v>
      </c>
      <c r="L190" t="s">
        <v>136</v>
      </c>
      <c r="M190" t="s">
        <v>70</v>
      </c>
      <c r="N190">
        <v>87.5</v>
      </c>
      <c r="O190">
        <v>12.5</v>
      </c>
      <c r="P190">
        <v>0</v>
      </c>
      <c r="Q190">
        <v>40</v>
      </c>
      <c r="R190" t="s">
        <v>45</v>
      </c>
      <c r="T190">
        <v>25</v>
      </c>
      <c r="U190">
        <v>189</v>
      </c>
      <c r="V190">
        <v>1250000</v>
      </c>
      <c r="W190" t="s">
        <v>46</v>
      </c>
      <c r="Z190">
        <v>160</v>
      </c>
      <c r="AA190">
        <v>110</v>
      </c>
      <c r="AB190">
        <v>65</v>
      </c>
      <c r="AC190">
        <v>65</v>
      </c>
      <c r="AD190">
        <v>110</v>
      </c>
      <c r="AE190">
        <v>30</v>
      </c>
      <c r="AF190">
        <v>540</v>
      </c>
      <c r="AG190">
        <v>2</v>
      </c>
      <c r="AH190">
        <v>0</v>
      </c>
      <c r="AI190">
        <v>0</v>
      </c>
      <c r="AJ190">
        <v>0</v>
      </c>
      <c r="AK190">
        <v>0</v>
      </c>
      <c r="AL190">
        <v>0</v>
      </c>
    </row>
    <row r="191" spans="1:38" x14ac:dyDescent="0.25">
      <c r="A191" t="s">
        <v>588</v>
      </c>
      <c r="B191" t="s">
        <v>588</v>
      </c>
      <c r="C191" s="1">
        <v>144</v>
      </c>
      <c r="D191" s="1" t="s">
        <v>587</v>
      </c>
      <c r="E191">
        <v>1</v>
      </c>
      <c r="F191">
        <v>1.7</v>
      </c>
      <c r="G191">
        <v>55.4</v>
      </c>
      <c r="H191" t="s">
        <v>170</v>
      </c>
      <c r="I191" t="s">
        <v>66</v>
      </c>
      <c r="J191" t="s">
        <v>581</v>
      </c>
      <c r="L191" t="s">
        <v>172</v>
      </c>
      <c r="M191" t="s">
        <v>79</v>
      </c>
      <c r="N191">
        <v>0</v>
      </c>
      <c r="O191">
        <v>0</v>
      </c>
      <c r="P191">
        <v>100</v>
      </c>
      <c r="Q191">
        <v>80</v>
      </c>
      <c r="R191" t="s">
        <v>184</v>
      </c>
      <c r="T191">
        <v>3</v>
      </c>
      <c r="U191">
        <v>290</v>
      </c>
      <c r="V191">
        <v>1250000</v>
      </c>
      <c r="W191" t="s">
        <v>589</v>
      </c>
      <c r="Z191">
        <v>90</v>
      </c>
      <c r="AA191">
        <v>85</v>
      </c>
      <c r="AB191">
        <v>100</v>
      </c>
      <c r="AC191">
        <v>95</v>
      </c>
      <c r="AD191">
        <v>125</v>
      </c>
      <c r="AE191">
        <v>85</v>
      </c>
      <c r="AF191">
        <v>580</v>
      </c>
      <c r="AG191">
        <v>0</v>
      </c>
      <c r="AH191">
        <v>0</v>
      </c>
      <c r="AI191">
        <v>0</v>
      </c>
      <c r="AJ191">
        <v>0</v>
      </c>
      <c r="AK191">
        <v>3</v>
      </c>
      <c r="AL191">
        <v>0</v>
      </c>
    </row>
    <row r="192" spans="1:38" x14ac:dyDescent="0.25">
      <c r="A192" t="s">
        <v>588</v>
      </c>
      <c r="B192" t="s">
        <v>591</v>
      </c>
      <c r="C192" s="1">
        <v>144</v>
      </c>
      <c r="D192" s="1" t="s">
        <v>590</v>
      </c>
      <c r="E192">
        <v>8</v>
      </c>
      <c r="F192">
        <v>1.7</v>
      </c>
      <c r="G192">
        <v>50.9</v>
      </c>
      <c r="H192" t="s">
        <v>162</v>
      </c>
      <c r="I192" t="s">
        <v>66</v>
      </c>
      <c r="J192" t="s">
        <v>215</v>
      </c>
      <c r="M192" t="s">
        <v>131</v>
      </c>
      <c r="N192">
        <v>0</v>
      </c>
      <c r="O192">
        <v>0</v>
      </c>
      <c r="P192">
        <v>100</v>
      </c>
      <c r="Q192">
        <v>120</v>
      </c>
      <c r="R192" t="s">
        <v>184</v>
      </c>
      <c r="T192">
        <v>3</v>
      </c>
      <c r="U192">
        <v>290</v>
      </c>
      <c r="V192">
        <v>1250000</v>
      </c>
      <c r="W192" t="s">
        <v>589</v>
      </c>
      <c r="Y192" t="s">
        <v>264</v>
      </c>
      <c r="Z192">
        <v>90</v>
      </c>
      <c r="AA192">
        <v>85</v>
      </c>
      <c r="AB192">
        <v>85</v>
      </c>
      <c r="AC192">
        <v>125</v>
      </c>
      <c r="AD192">
        <v>100</v>
      </c>
      <c r="AE192">
        <v>95</v>
      </c>
      <c r="AF192">
        <v>580</v>
      </c>
      <c r="AG192">
        <v>0</v>
      </c>
      <c r="AH192">
        <v>0</v>
      </c>
      <c r="AI192">
        <v>0</v>
      </c>
      <c r="AJ192">
        <v>3</v>
      </c>
      <c r="AK192">
        <v>0</v>
      </c>
      <c r="AL192">
        <v>0</v>
      </c>
    </row>
    <row r="193" spans="1:38" x14ac:dyDescent="0.25">
      <c r="A193" t="s">
        <v>593</v>
      </c>
      <c r="B193" t="s">
        <v>593</v>
      </c>
      <c r="C193" s="1">
        <v>145</v>
      </c>
      <c r="D193" s="1" t="s">
        <v>592</v>
      </c>
      <c r="E193">
        <v>1</v>
      </c>
      <c r="F193">
        <v>1.6</v>
      </c>
      <c r="G193">
        <v>52.6</v>
      </c>
      <c r="H193" t="s">
        <v>154</v>
      </c>
      <c r="I193" t="s">
        <v>66</v>
      </c>
      <c r="J193" t="s">
        <v>581</v>
      </c>
      <c r="L193" t="s">
        <v>155</v>
      </c>
      <c r="M193" t="s">
        <v>106</v>
      </c>
      <c r="N193">
        <v>0</v>
      </c>
      <c r="O193">
        <v>0</v>
      </c>
      <c r="P193">
        <v>100</v>
      </c>
      <c r="Q193">
        <v>80</v>
      </c>
      <c r="R193" t="s">
        <v>184</v>
      </c>
      <c r="T193">
        <v>3</v>
      </c>
      <c r="U193">
        <v>290</v>
      </c>
      <c r="V193">
        <v>1250000</v>
      </c>
      <c r="W193" t="s">
        <v>589</v>
      </c>
      <c r="Z193">
        <v>90</v>
      </c>
      <c r="AA193">
        <v>90</v>
      </c>
      <c r="AB193">
        <v>85</v>
      </c>
      <c r="AC193">
        <v>125</v>
      </c>
      <c r="AD193">
        <v>90</v>
      </c>
      <c r="AE193">
        <v>100</v>
      </c>
      <c r="AF193">
        <v>580</v>
      </c>
      <c r="AG193">
        <v>0</v>
      </c>
      <c r="AH193">
        <v>0</v>
      </c>
      <c r="AI193">
        <v>0</v>
      </c>
      <c r="AJ193">
        <v>3</v>
      </c>
      <c r="AK193">
        <v>0</v>
      </c>
      <c r="AL193">
        <v>0</v>
      </c>
    </row>
    <row r="194" spans="1:38" x14ac:dyDescent="0.25">
      <c r="A194" t="s">
        <v>593</v>
      </c>
      <c r="B194" t="s">
        <v>595</v>
      </c>
      <c r="C194" s="1">
        <v>145</v>
      </c>
      <c r="D194" s="1" t="s">
        <v>594</v>
      </c>
      <c r="E194">
        <v>8</v>
      </c>
      <c r="F194">
        <v>1.6</v>
      </c>
      <c r="G194">
        <v>58.2</v>
      </c>
      <c r="H194" t="s">
        <v>279</v>
      </c>
      <c r="I194" t="s">
        <v>66</v>
      </c>
      <c r="J194" t="s">
        <v>282</v>
      </c>
      <c r="M194" t="s">
        <v>106</v>
      </c>
      <c r="N194">
        <v>0</v>
      </c>
      <c r="O194">
        <v>0</v>
      </c>
      <c r="P194">
        <v>100</v>
      </c>
      <c r="Q194">
        <v>120</v>
      </c>
      <c r="R194" t="s">
        <v>184</v>
      </c>
      <c r="T194">
        <v>3</v>
      </c>
      <c r="U194">
        <v>290</v>
      </c>
      <c r="V194">
        <v>1250000</v>
      </c>
      <c r="W194" t="s">
        <v>589</v>
      </c>
      <c r="Y194" t="s">
        <v>264</v>
      </c>
      <c r="Z194">
        <v>90</v>
      </c>
      <c r="AA194">
        <v>125</v>
      </c>
      <c r="AB194">
        <v>90</v>
      </c>
      <c r="AC194">
        <v>85</v>
      </c>
      <c r="AD194">
        <v>90</v>
      </c>
      <c r="AE194">
        <v>100</v>
      </c>
      <c r="AF194">
        <v>580</v>
      </c>
      <c r="AG194">
        <v>0</v>
      </c>
      <c r="AH194">
        <v>3</v>
      </c>
      <c r="AI194">
        <v>0</v>
      </c>
      <c r="AJ194">
        <v>0</v>
      </c>
      <c r="AK194">
        <v>0</v>
      </c>
      <c r="AL194">
        <v>0</v>
      </c>
    </row>
    <row r="195" spans="1:38" x14ac:dyDescent="0.25">
      <c r="A195" t="s">
        <v>597</v>
      </c>
      <c r="B195" t="s">
        <v>597</v>
      </c>
      <c r="C195" s="1">
        <v>146</v>
      </c>
      <c r="D195" s="1" t="s">
        <v>596</v>
      </c>
      <c r="E195">
        <v>1</v>
      </c>
      <c r="F195">
        <v>2</v>
      </c>
      <c r="G195">
        <v>60</v>
      </c>
      <c r="H195" t="s">
        <v>57</v>
      </c>
      <c r="I195" t="s">
        <v>66</v>
      </c>
      <c r="J195" t="s">
        <v>581</v>
      </c>
      <c r="L195" t="s">
        <v>354</v>
      </c>
      <c r="M195" t="s">
        <v>106</v>
      </c>
      <c r="N195">
        <v>0</v>
      </c>
      <c r="O195">
        <v>0</v>
      </c>
      <c r="P195">
        <v>100</v>
      </c>
      <c r="Q195">
        <v>80</v>
      </c>
      <c r="R195" t="s">
        <v>184</v>
      </c>
      <c r="T195">
        <v>3</v>
      </c>
      <c r="U195">
        <v>290</v>
      </c>
      <c r="V195">
        <v>1250000</v>
      </c>
      <c r="W195" t="s">
        <v>589</v>
      </c>
      <c r="Z195">
        <v>90</v>
      </c>
      <c r="AA195">
        <v>100</v>
      </c>
      <c r="AB195">
        <v>90</v>
      </c>
      <c r="AC195">
        <v>125</v>
      </c>
      <c r="AD195">
        <v>85</v>
      </c>
      <c r="AE195">
        <v>90</v>
      </c>
      <c r="AF195">
        <v>580</v>
      </c>
      <c r="AG195">
        <v>0</v>
      </c>
      <c r="AH195">
        <v>0</v>
      </c>
      <c r="AI195">
        <v>0</v>
      </c>
      <c r="AJ195">
        <v>3</v>
      </c>
      <c r="AK195">
        <v>0</v>
      </c>
      <c r="AL195">
        <v>0</v>
      </c>
    </row>
    <row r="196" spans="1:38" x14ac:dyDescent="0.25">
      <c r="A196" t="s">
        <v>597</v>
      </c>
      <c r="B196" t="s">
        <v>599</v>
      </c>
      <c r="C196" s="1">
        <v>146</v>
      </c>
      <c r="D196" s="1" t="s">
        <v>598</v>
      </c>
      <c r="E196">
        <v>8</v>
      </c>
      <c r="F196">
        <v>2</v>
      </c>
      <c r="G196">
        <v>66</v>
      </c>
      <c r="H196" t="s">
        <v>135</v>
      </c>
      <c r="I196" t="s">
        <v>66</v>
      </c>
      <c r="J196" t="s">
        <v>600</v>
      </c>
      <c r="M196" t="s">
        <v>60</v>
      </c>
      <c r="N196">
        <v>0</v>
      </c>
      <c r="O196">
        <v>0</v>
      </c>
      <c r="P196">
        <v>100</v>
      </c>
      <c r="Q196">
        <v>120</v>
      </c>
      <c r="R196" t="s">
        <v>184</v>
      </c>
      <c r="T196">
        <v>3</v>
      </c>
      <c r="U196">
        <v>290</v>
      </c>
      <c r="V196">
        <v>1250000</v>
      </c>
      <c r="W196" t="s">
        <v>589</v>
      </c>
      <c r="Y196" t="s">
        <v>264</v>
      </c>
      <c r="Z196">
        <v>90</v>
      </c>
      <c r="AA196">
        <v>85</v>
      </c>
      <c r="AB196">
        <v>90</v>
      </c>
      <c r="AC196">
        <v>100</v>
      </c>
      <c r="AD196">
        <v>125</v>
      </c>
      <c r="AE196">
        <v>90</v>
      </c>
      <c r="AF196">
        <v>580</v>
      </c>
      <c r="AG196">
        <v>0</v>
      </c>
      <c r="AH196">
        <v>0</v>
      </c>
      <c r="AI196">
        <v>0</v>
      </c>
      <c r="AJ196">
        <v>0</v>
      </c>
      <c r="AK196">
        <v>3</v>
      </c>
      <c r="AL196">
        <v>0</v>
      </c>
    </row>
    <row r="197" spans="1:38" x14ac:dyDescent="0.25">
      <c r="A197" t="s">
        <v>602</v>
      </c>
      <c r="B197" t="s">
        <v>602</v>
      </c>
      <c r="C197" s="1">
        <v>147</v>
      </c>
      <c r="D197" s="1" t="s">
        <v>601</v>
      </c>
      <c r="E197">
        <v>1</v>
      </c>
      <c r="F197">
        <v>1.8</v>
      </c>
      <c r="G197">
        <v>3.3</v>
      </c>
      <c r="H197" t="s">
        <v>61</v>
      </c>
      <c r="J197" t="s">
        <v>95</v>
      </c>
      <c r="L197" t="s">
        <v>603</v>
      </c>
      <c r="M197" t="s">
        <v>79</v>
      </c>
      <c r="N197">
        <v>50</v>
      </c>
      <c r="O197">
        <v>50</v>
      </c>
      <c r="P197">
        <v>0</v>
      </c>
      <c r="Q197">
        <v>40</v>
      </c>
      <c r="R197" t="s">
        <v>80</v>
      </c>
      <c r="S197" t="s">
        <v>61</v>
      </c>
      <c r="T197">
        <v>45</v>
      </c>
      <c r="U197">
        <v>60</v>
      </c>
      <c r="V197">
        <v>1250000</v>
      </c>
      <c r="W197" t="s">
        <v>46</v>
      </c>
      <c r="Z197">
        <v>41</v>
      </c>
      <c r="AA197">
        <v>64</v>
      </c>
      <c r="AB197">
        <v>45</v>
      </c>
      <c r="AC197">
        <v>50</v>
      </c>
      <c r="AD197">
        <v>50</v>
      </c>
      <c r="AE197">
        <v>50</v>
      </c>
      <c r="AF197">
        <v>300</v>
      </c>
      <c r="AG197">
        <v>0</v>
      </c>
      <c r="AH197">
        <v>1</v>
      </c>
      <c r="AI197">
        <v>0</v>
      </c>
      <c r="AJ197">
        <v>0</v>
      </c>
      <c r="AK197">
        <v>0</v>
      </c>
      <c r="AL197">
        <v>0</v>
      </c>
    </row>
    <row r="198" spans="1:38" x14ac:dyDescent="0.25">
      <c r="A198" t="s">
        <v>605</v>
      </c>
      <c r="B198" t="s">
        <v>605</v>
      </c>
      <c r="C198" s="1">
        <v>148</v>
      </c>
      <c r="D198" s="1" t="s">
        <v>604</v>
      </c>
      <c r="E198">
        <v>1</v>
      </c>
      <c r="F198">
        <v>4</v>
      </c>
      <c r="G198">
        <v>16.5</v>
      </c>
      <c r="H198" t="s">
        <v>61</v>
      </c>
      <c r="J198" t="s">
        <v>95</v>
      </c>
      <c r="L198" t="s">
        <v>603</v>
      </c>
      <c r="M198" t="s">
        <v>79</v>
      </c>
      <c r="N198">
        <v>50</v>
      </c>
      <c r="O198">
        <v>50</v>
      </c>
      <c r="P198">
        <v>0</v>
      </c>
      <c r="Q198">
        <v>40</v>
      </c>
      <c r="R198" t="s">
        <v>80</v>
      </c>
      <c r="S198" t="s">
        <v>61</v>
      </c>
      <c r="T198">
        <v>45</v>
      </c>
      <c r="U198">
        <v>147</v>
      </c>
      <c r="V198">
        <v>1250000</v>
      </c>
      <c r="W198" t="s">
        <v>46</v>
      </c>
      <c r="Z198">
        <v>61</v>
      </c>
      <c r="AA198">
        <v>84</v>
      </c>
      <c r="AB198">
        <v>65</v>
      </c>
      <c r="AC198">
        <v>70</v>
      </c>
      <c r="AD198">
        <v>70</v>
      </c>
      <c r="AE198">
        <v>70</v>
      </c>
      <c r="AF198">
        <v>420</v>
      </c>
      <c r="AG198">
        <v>0</v>
      </c>
      <c r="AH198">
        <v>2</v>
      </c>
      <c r="AI198">
        <v>0</v>
      </c>
      <c r="AJ198">
        <v>0</v>
      </c>
      <c r="AK198">
        <v>0</v>
      </c>
      <c r="AL198">
        <v>0</v>
      </c>
    </row>
    <row r="199" spans="1:38" x14ac:dyDescent="0.25">
      <c r="A199" t="s">
        <v>607</v>
      </c>
      <c r="B199" t="s">
        <v>607</v>
      </c>
      <c r="C199" s="1">
        <v>149</v>
      </c>
      <c r="D199" s="1" t="s">
        <v>606</v>
      </c>
      <c r="E199">
        <v>1</v>
      </c>
      <c r="F199">
        <v>2.2000000000000002</v>
      </c>
      <c r="G199">
        <v>210</v>
      </c>
      <c r="H199" t="s">
        <v>61</v>
      </c>
      <c r="I199" t="s">
        <v>66</v>
      </c>
      <c r="J199" t="s">
        <v>221</v>
      </c>
      <c r="L199" t="s">
        <v>608</v>
      </c>
      <c r="M199" t="s">
        <v>103</v>
      </c>
      <c r="N199">
        <v>50</v>
      </c>
      <c r="O199">
        <v>50</v>
      </c>
      <c r="P199">
        <v>0</v>
      </c>
      <c r="Q199">
        <v>40</v>
      </c>
      <c r="R199" t="s">
        <v>80</v>
      </c>
      <c r="S199" t="s">
        <v>61</v>
      </c>
      <c r="T199">
        <v>45</v>
      </c>
      <c r="U199">
        <v>300</v>
      </c>
      <c r="V199">
        <v>1250000</v>
      </c>
      <c r="W199" t="s">
        <v>46</v>
      </c>
      <c r="Z199">
        <v>91</v>
      </c>
      <c r="AA199">
        <v>134</v>
      </c>
      <c r="AB199">
        <v>95</v>
      </c>
      <c r="AC199">
        <v>100</v>
      </c>
      <c r="AD199">
        <v>100</v>
      </c>
      <c r="AE199">
        <v>80</v>
      </c>
      <c r="AF199">
        <v>600</v>
      </c>
      <c r="AG199">
        <v>0</v>
      </c>
      <c r="AH199">
        <v>3</v>
      </c>
      <c r="AI199">
        <v>0</v>
      </c>
      <c r="AJ199">
        <v>0</v>
      </c>
      <c r="AK199">
        <v>0</v>
      </c>
      <c r="AL199">
        <v>0</v>
      </c>
    </row>
    <row r="200" spans="1:38" x14ac:dyDescent="0.25">
      <c r="A200" t="s">
        <v>610</v>
      </c>
      <c r="B200" t="s">
        <v>610</v>
      </c>
      <c r="C200" s="1">
        <v>150</v>
      </c>
      <c r="D200" s="1" t="s">
        <v>609</v>
      </c>
      <c r="E200">
        <v>1</v>
      </c>
      <c r="F200">
        <v>2</v>
      </c>
      <c r="G200">
        <v>122</v>
      </c>
      <c r="H200" t="s">
        <v>162</v>
      </c>
      <c r="J200" t="s">
        <v>581</v>
      </c>
      <c r="L200" t="s">
        <v>149</v>
      </c>
      <c r="M200" t="s">
        <v>131</v>
      </c>
      <c r="N200">
        <v>0</v>
      </c>
      <c r="O200">
        <v>0</v>
      </c>
      <c r="P200">
        <v>100</v>
      </c>
      <c r="Q200">
        <v>120</v>
      </c>
      <c r="R200" t="s">
        <v>184</v>
      </c>
      <c r="T200">
        <v>3</v>
      </c>
      <c r="U200">
        <v>340</v>
      </c>
      <c r="V200">
        <v>1250000</v>
      </c>
      <c r="W200" t="s">
        <v>611</v>
      </c>
      <c r="Z200">
        <v>106</v>
      </c>
      <c r="AA200">
        <v>110</v>
      </c>
      <c r="AB200">
        <v>90</v>
      </c>
      <c r="AC200">
        <v>154</v>
      </c>
      <c r="AD200">
        <v>90</v>
      </c>
      <c r="AE200">
        <v>130</v>
      </c>
      <c r="AF200">
        <v>680</v>
      </c>
      <c r="AG200">
        <v>0</v>
      </c>
      <c r="AH200">
        <v>0</v>
      </c>
      <c r="AI200">
        <v>0</v>
      </c>
      <c r="AJ200">
        <v>3</v>
      </c>
      <c r="AK200">
        <v>0</v>
      </c>
      <c r="AL200">
        <v>0</v>
      </c>
    </row>
    <row r="201" spans="1:38" x14ac:dyDescent="0.25">
      <c r="A201" t="s">
        <v>610</v>
      </c>
      <c r="B201" t="s">
        <v>613</v>
      </c>
      <c r="C201" s="1">
        <v>150</v>
      </c>
      <c r="D201" s="1" t="s">
        <v>612</v>
      </c>
      <c r="E201">
        <v>1</v>
      </c>
      <c r="F201">
        <v>2.2999999999999998</v>
      </c>
      <c r="G201">
        <v>127</v>
      </c>
      <c r="H201" t="s">
        <v>162</v>
      </c>
      <c r="I201" t="s">
        <v>279</v>
      </c>
      <c r="J201" t="s">
        <v>317</v>
      </c>
      <c r="M201" t="s">
        <v>131</v>
      </c>
      <c r="N201">
        <v>0</v>
      </c>
      <c r="O201">
        <v>0</v>
      </c>
      <c r="P201">
        <v>100</v>
      </c>
      <c r="Q201">
        <v>120</v>
      </c>
      <c r="R201" t="s">
        <v>184</v>
      </c>
      <c r="T201">
        <v>3</v>
      </c>
      <c r="U201">
        <v>351</v>
      </c>
      <c r="V201">
        <v>1250000</v>
      </c>
      <c r="W201" t="s">
        <v>611</v>
      </c>
      <c r="X201" t="s">
        <v>54</v>
      </c>
      <c r="Z201">
        <v>106</v>
      </c>
      <c r="AA201">
        <v>190</v>
      </c>
      <c r="AB201">
        <v>100</v>
      </c>
      <c r="AC201">
        <v>154</v>
      </c>
      <c r="AD201">
        <v>100</v>
      </c>
      <c r="AE201">
        <v>130</v>
      </c>
      <c r="AF201">
        <v>780</v>
      </c>
      <c r="AG201">
        <v>0</v>
      </c>
      <c r="AH201">
        <v>0</v>
      </c>
      <c r="AI201">
        <v>0</v>
      </c>
      <c r="AJ201">
        <v>3</v>
      </c>
      <c r="AK201">
        <v>0</v>
      </c>
      <c r="AL201">
        <v>0</v>
      </c>
    </row>
    <row r="202" spans="1:38" x14ac:dyDescent="0.25">
      <c r="A202" t="s">
        <v>610</v>
      </c>
      <c r="B202" t="s">
        <v>615</v>
      </c>
      <c r="C202" s="1">
        <v>150</v>
      </c>
      <c r="D202" s="1" t="s">
        <v>614</v>
      </c>
      <c r="E202">
        <v>1</v>
      </c>
      <c r="F202">
        <v>1.5</v>
      </c>
      <c r="G202">
        <v>33</v>
      </c>
      <c r="H202" t="s">
        <v>162</v>
      </c>
      <c r="J202" t="s">
        <v>434</v>
      </c>
      <c r="M202" t="s">
        <v>131</v>
      </c>
      <c r="N202">
        <v>0</v>
      </c>
      <c r="O202">
        <v>0</v>
      </c>
      <c r="P202">
        <v>100</v>
      </c>
      <c r="Q202">
        <v>120</v>
      </c>
      <c r="R202" t="s">
        <v>184</v>
      </c>
      <c r="T202">
        <v>3</v>
      </c>
      <c r="U202">
        <v>351</v>
      </c>
      <c r="V202">
        <v>1250000</v>
      </c>
      <c r="W202" t="s">
        <v>611</v>
      </c>
      <c r="X202" t="s">
        <v>54</v>
      </c>
      <c r="Z202">
        <v>106</v>
      </c>
      <c r="AA202">
        <v>150</v>
      </c>
      <c r="AB202">
        <v>70</v>
      </c>
      <c r="AC202">
        <v>194</v>
      </c>
      <c r="AD202">
        <v>120</v>
      </c>
      <c r="AE202">
        <v>140</v>
      </c>
      <c r="AF202">
        <v>780</v>
      </c>
      <c r="AG202">
        <v>0</v>
      </c>
      <c r="AH202">
        <v>0</v>
      </c>
      <c r="AI202">
        <v>0</v>
      </c>
      <c r="AJ202">
        <v>3</v>
      </c>
      <c r="AK202">
        <v>0</v>
      </c>
      <c r="AL202">
        <v>0</v>
      </c>
    </row>
    <row r="203" spans="1:38" x14ac:dyDescent="0.25">
      <c r="A203" t="s">
        <v>617</v>
      </c>
      <c r="B203" t="s">
        <v>617</v>
      </c>
      <c r="C203" s="1">
        <v>151</v>
      </c>
      <c r="D203" s="1" t="s">
        <v>616</v>
      </c>
      <c r="E203">
        <v>1</v>
      </c>
      <c r="F203">
        <v>0.4</v>
      </c>
      <c r="G203">
        <v>4</v>
      </c>
      <c r="H203" t="s">
        <v>162</v>
      </c>
      <c r="J203" t="s">
        <v>306</v>
      </c>
      <c r="M203" t="s">
        <v>199</v>
      </c>
      <c r="N203">
        <v>0</v>
      </c>
      <c r="O203">
        <v>0</v>
      </c>
      <c r="P203">
        <v>100</v>
      </c>
      <c r="Q203">
        <v>120</v>
      </c>
      <c r="R203" t="s">
        <v>184</v>
      </c>
      <c r="T203">
        <v>45</v>
      </c>
      <c r="U203">
        <v>300</v>
      </c>
      <c r="V203">
        <v>1059860</v>
      </c>
      <c r="W203" t="s">
        <v>618</v>
      </c>
      <c r="Z203">
        <v>100</v>
      </c>
      <c r="AA203">
        <v>100</v>
      </c>
      <c r="AB203">
        <v>100</v>
      </c>
      <c r="AC203">
        <v>100</v>
      </c>
      <c r="AD203">
        <v>100</v>
      </c>
      <c r="AE203">
        <v>100</v>
      </c>
      <c r="AF203">
        <v>600</v>
      </c>
      <c r="AG203">
        <v>3</v>
      </c>
      <c r="AH203">
        <v>0</v>
      </c>
      <c r="AI203">
        <v>0</v>
      </c>
      <c r="AJ203">
        <v>0</v>
      </c>
      <c r="AK203">
        <v>0</v>
      </c>
      <c r="AL203">
        <v>0</v>
      </c>
    </row>
    <row r="204" spans="1:38" x14ac:dyDescent="0.25">
      <c r="A204" t="s">
        <v>620</v>
      </c>
      <c r="B204" t="s">
        <v>620</v>
      </c>
      <c r="C204" s="1">
        <v>152</v>
      </c>
      <c r="D204" s="1" t="s">
        <v>619</v>
      </c>
      <c r="E204">
        <v>2</v>
      </c>
      <c r="F204">
        <v>0.9</v>
      </c>
      <c r="G204">
        <v>6.4</v>
      </c>
      <c r="H204" t="s">
        <v>40</v>
      </c>
      <c r="J204" t="s">
        <v>42</v>
      </c>
      <c r="L204" t="s">
        <v>495</v>
      </c>
      <c r="M204" t="s">
        <v>44</v>
      </c>
      <c r="N204">
        <v>87.5</v>
      </c>
      <c r="O204">
        <v>12.5</v>
      </c>
      <c r="P204">
        <v>0</v>
      </c>
      <c r="Q204">
        <v>20</v>
      </c>
      <c r="R204" t="s">
        <v>45</v>
      </c>
      <c r="S204" t="s">
        <v>40</v>
      </c>
      <c r="T204">
        <v>45</v>
      </c>
      <c r="U204">
        <v>64</v>
      </c>
      <c r="V204">
        <v>1059860</v>
      </c>
      <c r="W204" t="s">
        <v>46</v>
      </c>
      <c r="Z204">
        <v>45</v>
      </c>
      <c r="AA204">
        <v>49</v>
      </c>
      <c r="AB204">
        <v>65</v>
      </c>
      <c r="AC204">
        <v>49</v>
      </c>
      <c r="AD204">
        <v>65</v>
      </c>
      <c r="AE204">
        <v>45</v>
      </c>
      <c r="AF204">
        <v>318</v>
      </c>
      <c r="AG204">
        <v>0</v>
      </c>
      <c r="AH204">
        <v>0</v>
      </c>
      <c r="AI204">
        <v>0</v>
      </c>
      <c r="AJ204">
        <v>0</v>
      </c>
      <c r="AK204">
        <v>1</v>
      </c>
      <c r="AL204">
        <v>0</v>
      </c>
    </row>
    <row r="205" spans="1:38" x14ac:dyDescent="0.25">
      <c r="A205" t="s">
        <v>622</v>
      </c>
      <c r="B205" t="s">
        <v>622</v>
      </c>
      <c r="C205" s="1">
        <v>153</v>
      </c>
      <c r="D205" s="1" t="s">
        <v>621</v>
      </c>
      <c r="E205">
        <v>2</v>
      </c>
      <c r="F205">
        <v>1.2</v>
      </c>
      <c r="G205">
        <v>15.8</v>
      </c>
      <c r="H205" t="s">
        <v>40</v>
      </c>
      <c r="J205" t="s">
        <v>42</v>
      </c>
      <c r="L205" t="s">
        <v>495</v>
      </c>
      <c r="M205" t="s">
        <v>44</v>
      </c>
      <c r="N205">
        <v>87.5</v>
      </c>
      <c r="O205">
        <v>12.5</v>
      </c>
      <c r="P205">
        <v>0</v>
      </c>
      <c r="Q205">
        <v>20</v>
      </c>
      <c r="R205" t="s">
        <v>45</v>
      </c>
      <c r="S205" t="s">
        <v>40</v>
      </c>
      <c r="T205">
        <v>45</v>
      </c>
      <c r="U205">
        <v>142</v>
      </c>
      <c r="V205">
        <v>1059860</v>
      </c>
      <c r="W205" t="s">
        <v>46</v>
      </c>
      <c r="Z205">
        <v>60</v>
      </c>
      <c r="AA205">
        <v>62</v>
      </c>
      <c r="AB205">
        <v>80</v>
      </c>
      <c r="AC205">
        <v>63</v>
      </c>
      <c r="AD205">
        <v>80</v>
      </c>
      <c r="AE205">
        <v>60</v>
      </c>
      <c r="AF205">
        <v>405</v>
      </c>
      <c r="AG205">
        <v>0</v>
      </c>
      <c r="AH205">
        <v>0</v>
      </c>
      <c r="AI205">
        <v>1</v>
      </c>
      <c r="AJ205">
        <v>0</v>
      </c>
      <c r="AK205">
        <v>1</v>
      </c>
      <c r="AL205">
        <v>0</v>
      </c>
    </row>
    <row r="206" spans="1:38" x14ac:dyDescent="0.25">
      <c r="A206" t="s">
        <v>624</v>
      </c>
      <c r="B206" t="s">
        <v>624</v>
      </c>
      <c r="C206" s="1">
        <v>154</v>
      </c>
      <c r="D206" s="1" t="s">
        <v>623</v>
      </c>
      <c r="E206">
        <v>2</v>
      </c>
      <c r="F206">
        <v>1.8</v>
      </c>
      <c r="G206">
        <v>100.5</v>
      </c>
      <c r="H206" t="s">
        <v>40</v>
      </c>
      <c r="J206" t="s">
        <v>42</v>
      </c>
      <c r="L206" t="s">
        <v>495</v>
      </c>
      <c r="M206" t="s">
        <v>44</v>
      </c>
      <c r="N206">
        <v>87.5</v>
      </c>
      <c r="O206">
        <v>12.5</v>
      </c>
      <c r="P206">
        <v>0</v>
      </c>
      <c r="Q206">
        <v>20</v>
      </c>
      <c r="R206" t="s">
        <v>45</v>
      </c>
      <c r="S206" t="s">
        <v>40</v>
      </c>
      <c r="T206">
        <v>45</v>
      </c>
      <c r="U206">
        <v>263</v>
      </c>
      <c r="V206">
        <v>1059860</v>
      </c>
      <c r="W206" t="s">
        <v>46</v>
      </c>
      <c r="Z206">
        <v>80</v>
      </c>
      <c r="AA206">
        <v>82</v>
      </c>
      <c r="AB206">
        <v>100</v>
      </c>
      <c r="AC206">
        <v>83</v>
      </c>
      <c r="AD206">
        <v>100</v>
      </c>
      <c r="AE206">
        <v>80</v>
      </c>
      <c r="AF206">
        <v>525</v>
      </c>
      <c r="AG206">
        <v>0</v>
      </c>
      <c r="AH206">
        <v>0</v>
      </c>
      <c r="AI206">
        <v>1</v>
      </c>
      <c r="AJ206">
        <v>0</v>
      </c>
      <c r="AK206">
        <v>2</v>
      </c>
      <c r="AL206">
        <v>0</v>
      </c>
    </row>
    <row r="207" spans="1:38" x14ac:dyDescent="0.25">
      <c r="A207" t="s">
        <v>626</v>
      </c>
      <c r="B207" t="s">
        <v>626</v>
      </c>
      <c r="C207" s="1">
        <v>155</v>
      </c>
      <c r="D207" s="1" t="s">
        <v>625</v>
      </c>
      <c r="E207">
        <v>2</v>
      </c>
      <c r="F207">
        <v>0.5</v>
      </c>
      <c r="G207">
        <v>7.9</v>
      </c>
      <c r="H207" t="s">
        <v>57</v>
      </c>
      <c r="J207" t="s">
        <v>58</v>
      </c>
      <c r="L207" t="s">
        <v>205</v>
      </c>
      <c r="M207" t="s">
        <v>106</v>
      </c>
      <c r="N207">
        <v>87.5</v>
      </c>
      <c r="O207">
        <v>12.5</v>
      </c>
      <c r="P207">
        <v>0</v>
      </c>
      <c r="Q207">
        <v>20</v>
      </c>
      <c r="R207" t="s">
        <v>132</v>
      </c>
      <c r="T207">
        <v>45</v>
      </c>
      <c r="U207">
        <v>62</v>
      </c>
      <c r="V207">
        <v>1059860</v>
      </c>
      <c r="W207" t="s">
        <v>46</v>
      </c>
      <c r="Z207">
        <v>39</v>
      </c>
      <c r="AA207">
        <v>52</v>
      </c>
      <c r="AB207">
        <v>43</v>
      </c>
      <c r="AC207">
        <v>60</v>
      </c>
      <c r="AD207">
        <v>50</v>
      </c>
      <c r="AE207">
        <v>65</v>
      </c>
      <c r="AF207">
        <v>309</v>
      </c>
      <c r="AG207">
        <v>0</v>
      </c>
      <c r="AH207">
        <v>0</v>
      </c>
      <c r="AI207">
        <v>0</v>
      </c>
      <c r="AJ207">
        <v>0</v>
      </c>
      <c r="AK207">
        <v>0</v>
      </c>
      <c r="AL207">
        <v>1</v>
      </c>
    </row>
    <row r="208" spans="1:38" x14ac:dyDescent="0.25">
      <c r="A208" t="s">
        <v>628</v>
      </c>
      <c r="B208" t="s">
        <v>628</v>
      </c>
      <c r="C208" s="1">
        <v>156</v>
      </c>
      <c r="D208" s="1" t="s">
        <v>627</v>
      </c>
      <c r="E208">
        <v>2</v>
      </c>
      <c r="F208">
        <v>0.9</v>
      </c>
      <c r="G208">
        <v>19</v>
      </c>
      <c r="H208" t="s">
        <v>57</v>
      </c>
      <c r="J208" t="s">
        <v>58</v>
      </c>
      <c r="L208" t="s">
        <v>205</v>
      </c>
      <c r="M208" t="s">
        <v>106</v>
      </c>
      <c r="N208">
        <v>87.5</v>
      </c>
      <c r="O208">
        <v>12.5</v>
      </c>
      <c r="P208">
        <v>0</v>
      </c>
      <c r="Q208">
        <v>20</v>
      </c>
      <c r="R208" t="s">
        <v>132</v>
      </c>
      <c r="T208">
        <v>45</v>
      </c>
      <c r="U208">
        <v>142</v>
      </c>
      <c r="V208">
        <v>1059860</v>
      </c>
      <c r="W208" t="s">
        <v>46</v>
      </c>
      <c r="Z208">
        <v>58</v>
      </c>
      <c r="AA208">
        <v>64</v>
      </c>
      <c r="AB208">
        <v>58</v>
      </c>
      <c r="AC208">
        <v>80</v>
      </c>
      <c r="AD208">
        <v>65</v>
      </c>
      <c r="AE208">
        <v>80</v>
      </c>
      <c r="AF208">
        <v>405</v>
      </c>
      <c r="AG208">
        <v>0</v>
      </c>
      <c r="AH208">
        <v>0</v>
      </c>
      <c r="AI208">
        <v>0</v>
      </c>
      <c r="AJ208">
        <v>1</v>
      </c>
      <c r="AK208">
        <v>0</v>
      </c>
      <c r="AL208">
        <v>1</v>
      </c>
    </row>
    <row r="209" spans="1:38" x14ac:dyDescent="0.25">
      <c r="A209" t="s">
        <v>630</v>
      </c>
      <c r="B209" t="s">
        <v>630</v>
      </c>
      <c r="C209" s="1">
        <v>157</v>
      </c>
      <c r="D209" s="1" t="s">
        <v>629</v>
      </c>
      <c r="E209">
        <v>2</v>
      </c>
      <c r="F209">
        <v>1.7</v>
      </c>
      <c r="G209">
        <v>79.5</v>
      </c>
      <c r="H209" t="s">
        <v>57</v>
      </c>
      <c r="J209" t="s">
        <v>58</v>
      </c>
      <c r="L209" t="s">
        <v>205</v>
      </c>
      <c r="M209" t="s">
        <v>106</v>
      </c>
      <c r="N209">
        <v>87.5</v>
      </c>
      <c r="O209">
        <v>12.5</v>
      </c>
      <c r="P209">
        <v>0</v>
      </c>
      <c r="Q209">
        <v>20</v>
      </c>
      <c r="R209" t="s">
        <v>132</v>
      </c>
      <c r="T209">
        <v>45</v>
      </c>
      <c r="U209">
        <v>267</v>
      </c>
      <c r="V209">
        <v>1059860</v>
      </c>
      <c r="W209" t="s">
        <v>46</v>
      </c>
      <c r="Z209">
        <v>78</v>
      </c>
      <c r="AA209">
        <v>84</v>
      </c>
      <c r="AB209">
        <v>78</v>
      </c>
      <c r="AC209">
        <v>109</v>
      </c>
      <c r="AD209">
        <v>85</v>
      </c>
      <c r="AE209">
        <v>100</v>
      </c>
      <c r="AF209">
        <v>534</v>
      </c>
      <c r="AG209">
        <v>0</v>
      </c>
      <c r="AH209">
        <v>0</v>
      </c>
      <c r="AI209">
        <v>0</v>
      </c>
      <c r="AJ209">
        <v>3</v>
      </c>
      <c r="AK209">
        <v>0</v>
      </c>
      <c r="AL209">
        <v>0</v>
      </c>
    </row>
    <row r="210" spans="1:38" x14ac:dyDescent="0.25">
      <c r="A210" t="s">
        <v>630</v>
      </c>
      <c r="B210" t="s">
        <v>632</v>
      </c>
      <c r="C210" s="1">
        <v>157</v>
      </c>
      <c r="D210" s="1" t="s">
        <v>631</v>
      </c>
      <c r="E210">
        <v>8</v>
      </c>
      <c r="F210">
        <v>1.6</v>
      </c>
      <c r="G210">
        <v>69.8</v>
      </c>
      <c r="H210" t="s">
        <v>57</v>
      </c>
      <c r="I210" t="s">
        <v>419</v>
      </c>
      <c r="J210" t="s">
        <v>58</v>
      </c>
      <c r="L210" t="s">
        <v>218</v>
      </c>
      <c r="M210" t="s">
        <v>106</v>
      </c>
      <c r="N210">
        <v>87.5</v>
      </c>
      <c r="O210">
        <v>12.5</v>
      </c>
      <c r="P210">
        <v>0</v>
      </c>
      <c r="Q210">
        <v>20</v>
      </c>
      <c r="R210" t="s">
        <v>132</v>
      </c>
      <c r="T210">
        <v>45</v>
      </c>
      <c r="U210">
        <v>267</v>
      </c>
      <c r="V210">
        <v>1059860</v>
      </c>
      <c r="W210" t="s">
        <v>46</v>
      </c>
      <c r="Y210" t="s">
        <v>292</v>
      </c>
      <c r="Z210">
        <v>73</v>
      </c>
      <c r="AA210">
        <v>84</v>
      </c>
      <c r="AB210">
        <v>78</v>
      </c>
      <c r="AC210">
        <v>119</v>
      </c>
      <c r="AD210">
        <v>85</v>
      </c>
      <c r="AE210">
        <v>95</v>
      </c>
      <c r="AF210">
        <v>534</v>
      </c>
      <c r="AG210">
        <v>0</v>
      </c>
      <c r="AH210">
        <v>0</v>
      </c>
      <c r="AI210">
        <v>0</v>
      </c>
      <c r="AJ210">
        <v>3</v>
      </c>
      <c r="AK210">
        <v>0</v>
      </c>
      <c r="AL210">
        <v>0</v>
      </c>
    </row>
    <row r="211" spans="1:38" x14ac:dyDescent="0.25">
      <c r="A211" t="s">
        <v>634</v>
      </c>
      <c r="B211" t="s">
        <v>634</v>
      </c>
      <c r="C211" s="1">
        <v>158</v>
      </c>
      <c r="D211" s="1" t="s">
        <v>633</v>
      </c>
      <c r="E211">
        <v>2</v>
      </c>
      <c r="F211">
        <v>0.6</v>
      </c>
      <c r="G211">
        <v>9.5</v>
      </c>
      <c r="H211" t="s">
        <v>76</v>
      </c>
      <c r="J211" t="s">
        <v>77</v>
      </c>
      <c r="L211" t="s">
        <v>187</v>
      </c>
      <c r="M211" t="s">
        <v>79</v>
      </c>
      <c r="N211">
        <v>87.5</v>
      </c>
      <c r="O211">
        <v>12.5</v>
      </c>
      <c r="P211">
        <v>0</v>
      </c>
      <c r="Q211">
        <v>20</v>
      </c>
      <c r="R211" t="s">
        <v>45</v>
      </c>
      <c r="S211" t="s">
        <v>80</v>
      </c>
      <c r="T211">
        <v>45</v>
      </c>
      <c r="U211">
        <v>63</v>
      </c>
      <c r="V211">
        <v>1059860</v>
      </c>
      <c r="W211" t="s">
        <v>46</v>
      </c>
      <c r="Z211">
        <v>50</v>
      </c>
      <c r="AA211">
        <v>65</v>
      </c>
      <c r="AB211">
        <v>64</v>
      </c>
      <c r="AC211">
        <v>44</v>
      </c>
      <c r="AD211">
        <v>48</v>
      </c>
      <c r="AE211">
        <v>43</v>
      </c>
      <c r="AF211">
        <v>314</v>
      </c>
      <c r="AG211">
        <v>0</v>
      </c>
      <c r="AH211">
        <v>1</v>
      </c>
      <c r="AI211">
        <v>0</v>
      </c>
      <c r="AJ211">
        <v>0</v>
      </c>
      <c r="AK211">
        <v>0</v>
      </c>
      <c r="AL211">
        <v>0</v>
      </c>
    </row>
    <row r="212" spans="1:38" x14ac:dyDescent="0.25">
      <c r="A212" t="s">
        <v>636</v>
      </c>
      <c r="B212" t="s">
        <v>636</v>
      </c>
      <c r="C212" s="1">
        <v>159</v>
      </c>
      <c r="D212" s="1" t="s">
        <v>635</v>
      </c>
      <c r="E212">
        <v>2</v>
      </c>
      <c r="F212">
        <v>1.1000000000000001</v>
      </c>
      <c r="G212">
        <v>25</v>
      </c>
      <c r="H212" t="s">
        <v>76</v>
      </c>
      <c r="J212" t="s">
        <v>77</v>
      </c>
      <c r="L212" t="s">
        <v>187</v>
      </c>
      <c r="M212" t="s">
        <v>79</v>
      </c>
      <c r="N212">
        <v>87.5</v>
      </c>
      <c r="O212">
        <v>12.5</v>
      </c>
      <c r="P212">
        <v>0</v>
      </c>
      <c r="Q212">
        <v>20</v>
      </c>
      <c r="R212" t="s">
        <v>45</v>
      </c>
      <c r="S212" t="s">
        <v>80</v>
      </c>
      <c r="T212">
        <v>45</v>
      </c>
      <c r="U212">
        <v>142</v>
      </c>
      <c r="V212">
        <v>1059860</v>
      </c>
      <c r="W212" t="s">
        <v>46</v>
      </c>
      <c r="Z212">
        <v>65</v>
      </c>
      <c r="AA212">
        <v>80</v>
      </c>
      <c r="AB212">
        <v>80</v>
      </c>
      <c r="AC212">
        <v>59</v>
      </c>
      <c r="AD212">
        <v>63</v>
      </c>
      <c r="AE212">
        <v>58</v>
      </c>
      <c r="AF212">
        <v>405</v>
      </c>
      <c r="AG212">
        <v>0</v>
      </c>
      <c r="AH212">
        <v>1</v>
      </c>
      <c r="AI212">
        <v>1</v>
      </c>
      <c r="AJ212">
        <v>0</v>
      </c>
      <c r="AK212">
        <v>0</v>
      </c>
      <c r="AL212">
        <v>0</v>
      </c>
    </row>
    <row r="213" spans="1:38" x14ac:dyDescent="0.25">
      <c r="A213" t="s">
        <v>638</v>
      </c>
      <c r="B213" t="s">
        <v>638</v>
      </c>
      <c r="C213" s="1">
        <v>160</v>
      </c>
      <c r="D213" s="1" t="s">
        <v>637</v>
      </c>
      <c r="E213">
        <v>2</v>
      </c>
      <c r="F213">
        <v>2.2999999999999998</v>
      </c>
      <c r="G213">
        <v>88.8</v>
      </c>
      <c r="H213" t="s">
        <v>76</v>
      </c>
      <c r="J213" t="s">
        <v>77</v>
      </c>
      <c r="L213" t="s">
        <v>187</v>
      </c>
      <c r="M213" t="s">
        <v>79</v>
      </c>
      <c r="N213">
        <v>87.5</v>
      </c>
      <c r="O213">
        <v>12.5</v>
      </c>
      <c r="P213">
        <v>0</v>
      </c>
      <c r="Q213">
        <v>20</v>
      </c>
      <c r="R213" t="s">
        <v>45</v>
      </c>
      <c r="S213" t="s">
        <v>80</v>
      </c>
      <c r="T213">
        <v>45</v>
      </c>
      <c r="U213">
        <v>265</v>
      </c>
      <c r="V213">
        <v>1059860</v>
      </c>
      <c r="W213" t="s">
        <v>46</v>
      </c>
      <c r="Z213">
        <v>85</v>
      </c>
      <c r="AA213">
        <v>105</v>
      </c>
      <c r="AB213">
        <v>100</v>
      </c>
      <c r="AC213">
        <v>79</v>
      </c>
      <c r="AD213">
        <v>83</v>
      </c>
      <c r="AE213">
        <v>78</v>
      </c>
      <c r="AF213">
        <v>530</v>
      </c>
      <c r="AG213">
        <v>0</v>
      </c>
      <c r="AH213">
        <v>2</v>
      </c>
      <c r="AI213">
        <v>1</v>
      </c>
      <c r="AJ213">
        <v>0</v>
      </c>
      <c r="AK213">
        <v>0</v>
      </c>
      <c r="AL213">
        <v>0</v>
      </c>
    </row>
    <row r="214" spans="1:38" x14ac:dyDescent="0.25">
      <c r="A214" t="s">
        <v>640</v>
      </c>
      <c r="B214" t="s">
        <v>640</v>
      </c>
      <c r="C214" s="1">
        <v>161</v>
      </c>
      <c r="D214" s="1" t="s">
        <v>639</v>
      </c>
      <c r="E214">
        <v>2</v>
      </c>
      <c r="F214">
        <v>0.8</v>
      </c>
      <c r="G214">
        <v>6</v>
      </c>
      <c r="H214" t="s">
        <v>116</v>
      </c>
      <c r="J214" t="s">
        <v>92</v>
      </c>
      <c r="K214" t="s">
        <v>117</v>
      </c>
      <c r="L214" t="s">
        <v>218</v>
      </c>
      <c r="M214" t="s">
        <v>103</v>
      </c>
      <c r="N214">
        <v>50</v>
      </c>
      <c r="O214">
        <v>50</v>
      </c>
      <c r="P214">
        <v>0</v>
      </c>
      <c r="Q214">
        <v>15</v>
      </c>
      <c r="R214" t="s">
        <v>132</v>
      </c>
      <c r="T214">
        <v>255</v>
      </c>
      <c r="U214">
        <v>43</v>
      </c>
      <c r="V214">
        <v>1000000</v>
      </c>
      <c r="W214" t="s">
        <v>46</v>
      </c>
      <c r="Z214">
        <v>35</v>
      </c>
      <c r="AA214">
        <v>46</v>
      </c>
      <c r="AB214">
        <v>34</v>
      </c>
      <c r="AC214">
        <v>35</v>
      </c>
      <c r="AD214">
        <v>45</v>
      </c>
      <c r="AE214">
        <v>20</v>
      </c>
      <c r="AF214">
        <v>215</v>
      </c>
      <c r="AG214">
        <v>0</v>
      </c>
      <c r="AH214">
        <v>1</v>
      </c>
      <c r="AI214">
        <v>0</v>
      </c>
      <c r="AJ214">
        <v>0</v>
      </c>
      <c r="AK214">
        <v>0</v>
      </c>
      <c r="AL214">
        <v>0</v>
      </c>
    </row>
    <row r="215" spans="1:38" x14ac:dyDescent="0.25">
      <c r="A215" t="s">
        <v>642</v>
      </c>
      <c r="B215" t="s">
        <v>642</v>
      </c>
      <c r="C215" s="1">
        <v>162</v>
      </c>
      <c r="D215" s="1" t="s">
        <v>641</v>
      </c>
      <c r="E215">
        <v>2</v>
      </c>
      <c r="F215">
        <v>1.8</v>
      </c>
      <c r="G215">
        <v>32.5</v>
      </c>
      <c r="H215" t="s">
        <v>116</v>
      </c>
      <c r="J215" t="s">
        <v>92</v>
      </c>
      <c r="K215" t="s">
        <v>117</v>
      </c>
      <c r="L215" t="s">
        <v>218</v>
      </c>
      <c r="M215" t="s">
        <v>103</v>
      </c>
      <c r="N215">
        <v>50</v>
      </c>
      <c r="O215">
        <v>50</v>
      </c>
      <c r="P215">
        <v>0</v>
      </c>
      <c r="Q215">
        <v>15</v>
      </c>
      <c r="R215" t="s">
        <v>132</v>
      </c>
      <c r="T215">
        <v>90</v>
      </c>
      <c r="U215">
        <v>145</v>
      </c>
      <c r="V215">
        <v>1000000</v>
      </c>
      <c r="W215" t="s">
        <v>46</v>
      </c>
      <c r="Z215">
        <v>85</v>
      </c>
      <c r="AA215">
        <v>76</v>
      </c>
      <c r="AB215">
        <v>64</v>
      </c>
      <c r="AC215">
        <v>45</v>
      </c>
      <c r="AD215">
        <v>55</v>
      </c>
      <c r="AE215">
        <v>90</v>
      </c>
      <c r="AF215">
        <v>415</v>
      </c>
      <c r="AG215">
        <v>0</v>
      </c>
      <c r="AH215">
        <v>0</v>
      </c>
      <c r="AI215">
        <v>0</v>
      </c>
      <c r="AJ215">
        <v>0</v>
      </c>
      <c r="AK215">
        <v>0</v>
      </c>
      <c r="AL215">
        <v>2</v>
      </c>
    </row>
    <row r="216" spans="1:38" x14ac:dyDescent="0.25">
      <c r="A216" t="s">
        <v>644</v>
      </c>
      <c r="B216" t="s">
        <v>644</v>
      </c>
      <c r="C216" s="1">
        <v>163</v>
      </c>
      <c r="D216" s="1" t="s">
        <v>643</v>
      </c>
      <c r="E216">
        <v>2</v>
      </c>
      <c r="F216">
        <v>0.7</v>
      </c>
      <c r="G216">
        <v>21.2</v>
      </c>
      <c r="H216" t="s">
        <v>116</v>
      </c>
      <c r="I216" t="s">
        <v>66</v>
      </c>
      <c r="J216" t="s">
        <v>434</v>
      </c>
      <c r="K216" t="s">
        <v>117</v>
      </c>
      <c r="L216" t="s">
        <v>99</v>
      </c>
      <c r="M216" t="s">
        <v>103</v>
      </c>
      <c r="N216">
        <v>50</v>
      </c>
      <c r="O216">
        <v>50</v>
      </c>
      <c r="P216">
        <v>0</v>
      </c>
      <c r="Q216">
        <v>15</v>
      </c>
      <c r="R216" t="s">
        <v>66</v>
      </c>
      <c r="T216">
        <v>255</v>
      </c>
      <c r="U216">
        <v>52</v>
      </c>
      <c r="V216">
        <v>1000000</v>
      </c>
      <c r="W216" t="s">
        <v>46</v>
      </c>
      <c r="Z216">
        <v>60</v>
      </c>
      <c r="AA216">
        <v>30</v>
      </c>
      <c r="AB216">
        <v>30</v>
      </c>
      <c r="AC216">
        <v>36</v>
      </c>
      <c r="AD216">
        <v>56</v>
      </c>
      <c r="AE216">
        <v>50</v>
      </c>
      <c r="AF216">
        <v>262</v>
      </c>
      <c r="AG216">
        <v>1</v>
      </c>
      <c r="AH216">
        <v>0</v>
      </c>
      <c r="AI216">
        <v>0</v>
      </c>
      <c r="AJ216">
        <v>0</v>
      </c>
      <c r="AK216">
        <v>0</v>
      </c>
      <c r="AL216">
        <v>0</v>
      </c>
    </row>
    <row r="217" spans="1:38" x14ac:dyDescent="0.25">
      <c r="A217" t="s">
        <v>646</v>
      </c>
      <c r="B217" t="s">
        <v>646</v>
      </c>
      <c r="C217" s="1">
        <v>164</v>
      </c>
      <c r="D217" s="1" t="s">
        <v>645</v>
      </c>
      <c r="E217">
        <v>2</v>
      </c>
      <c r="F217">
        <v>1.6</v>
      </c>
      <c r="G217">
        <v>40.799999999999997</v>
      </c>
      <c r="H217" t="s">
        <v>116</v>
      </c>
      <c r="I217" t="s">
        <v>66</v>
      </c>
      <c r="J217" t="s">
        <v>434</v>
      </c>
      <c r="K217" t="s">
        <v>117</v>
      </c>
      <c r="L217" t="s">
        <v>99</v>
      </c>
      <c r="M217" t="s">
        <v>103</v>
      </c>
      <c r="N217">
        <v>50</v>
      </c>
      <c r="O217">
        <v>50</v>
      </c>
      <c r="P217">
        <v>0</v>
      </c>
      <c r="Q217">
        <v>15</v>
      </c>
      <c r="R217" t="s">
        <v>66</v>
      </c>
      <c r="T217">
        <v>90</v>
      </c>
      <c r="U217">
        <v>158</v>
      </c>
      <c r="V217">
        <v>1000000</v>
      </c>
      <c r="W217" t="s">
        <v>46</v>
      </c>
      <c r="Z217">
        <v>100</v>
      </c>
      <c r="AA217">
        <v>50</v>
      </c>
      <c r="AB217">
        <v>50</v>
      </c>
      <c r="AC217">
        <v>86</v>
      </c>
      <c r="AD217">
        <v>96</v>
      </c>
      <c r="AE217">
        <v>70</v>
      </c>
      <c r="AF217">
        <v>452</v>
      </c>
      <c r="AG217">
        <v>2</v>
      </c>
      <c r="AH217">
        <v>0</v>
      </c>
      <c r="AI217">
        <v>0</v>
      </c>
      <c r="AJ217">
        <v>0</v>
      </c>
      <c r="AK217">
        <v>0</v>
      </c>
      <c r="AL217">
        <v>0</v>
      </c>
    </row>
    <row r="218" spans="1:38" x14ac:dyDescent="0.25">
      <c r="A218" t="s">
        <v>648</v>
      </c>
      <c r="B218" t="s">
        <v>648</v>
      </c>
      <c r="C218" s="1">
        <v>165</v>
      </c>
      <c r="D218" s="1" t="s">
        <v>647</v>
      </c>
      <c r="E218">
        <v>2</v>
      </c>
      <c r="F218">
        <v>1</v>
      </c>
      <c r="G218">
        <v>10.8</v>
      </c>
      <c r="H218" t="s">
        <v>90</v>
      </c>
      <c r="I218" t="s">
        <v>66</v>
      </c>
      <c r="J218" t="s">
        <v>109</v>
      </c>
      <c r="K218" t="s">
        <v>390</v>
      </c>
      <c r="L218" t="s">
        <v>261</v>
      </c>
      <c r="M218" t="s">
        <v>60</v>
      </c>
      <c r="N218">
        <v>50</v>
      </c>
      <c r="O218">
        <v>50</v>
      </c>
      <c r="P218">
        <v>0</v>
      </c>
      <c r="Q218">
        <v>15</v>
      </c>
      <c r="R218" t="s">
        <v>90</v>
      </c>
      <c r="T218">
        <v>255</v>
      </c>
      <c r="U218">
        <v>53</v>
      </c>
      <c r="V218">
        <v>800000</v>
      </c>
      <c r="W218" t="s">
        <v>46</v>
      </c>
      <c r="Z218">
        <v>40</v>
      </c>
      <c r="AA218">
        <v>20</v>
      </c>
      <c r="AB218">
        <v>30</v>
      </c>
      <c r="AC218">
        <v>40</v>
      </c>
      <c r="AD218">
        <v>80</v>
      </c>
      <c r="AE218">
        <v>55</v>
      </c>
      <c r="AF218">
        <v>265</v>
      </c>
      <c r="AG218">
        <v>0</v>
      </c>
      <c r="AH218">
        <v>0</v>
      </c>
      <c r="AI218">
        <v>0</v>
      </c>
      <c r="AJ218">
        <v>0</v>
      </c>
      <c r="AK218">
        <v>1</v>
      </c>
      <c r="AL218">
        <v>0</v>
      </c>
    </row>
    <row r="219" spans="1:38" x14ac:dyDescent="0.25">
      <c r="A219" t="s">
        <v>650</v>
      </c>
      <c r="B219" t="s">
        <v>650</v>
      </c>
      <c r="C219" s="1">
        <v>166</v>
      </c>
      <c r="D219" s="1" t="s">
        <v>649</v>
      </c>
      <c r="E219">
        <v>2</v>
      </c>
      <c r="F219">
        <v>1.4</v>
      </c>
      <c r="G219">
        <v>35.6</v>
      </c>
      <c r="H219" t="s">
        <v>90</v>
      </c>
      <c r="I219" t="s">
        <v>66</v>
      </c>
      <c r="J219" t="s">
        <v>109</v>
      </c>
      <c r="K219" t="s">
        <v>390</v>
      </c>
      <c r="L219" t="s">
        <v>473</v>
      </c>
      <c r="M219" t="s">
        <v>60</v>
      </c>
      <c r="N219">
        <v>50</v>
      </c>
      <c r="O219">
        <v>50</v>
      </c>
      <c r="P219">
        <v>0</v>
      </c>
      <c r="Q219">
        <v>15</v>
      </c>
      <c r="R219" t="s">
        <v>90</v>
      </c>
      <c r="T219">
        <v>90</v>
      </c>
      <c r="U219">
        <v>137</v>
      </c>
      <c r="V219">
        <v>800000</v>
      </c>
      <c r="W219" t="s">
        <v>46</v>
      </c>
      <c r="Z219">
        <v>55</v>
      </c>
      <c r="AA219">
        <v>35</v>
      </c>
      <c r="AB219">
        <v>50</v>
      </c>
      <c r="AC219">
        <v>55</v>
      </c>
      <c r="AD219">
        <v>110</v>
      </c>
      <c r="AE219">
        <v>85</v>
      </c>
      <c r="AF219">
        <v>390</v>
      </c>
      <c r="AG219">
        <v>0</v>
      </c>
      <c r="AH219">
        <v>0</v>
      </c>
      <c r="AI219">
        <v>0</v>
      </c>
      <c r="AJ219">
        <v>0</v>
      </c>
      <c r="AK219">
        <v>2</v>
      </c>
      <c r="AL219">
        <v>0</v>
      </c>
    </row>
    <row r="220" spans="1:38" x14ac:dyDescent="0.25">
      <c r="A220" t="s">
        <v>652</v>
      </c>
      <c r="B220" t="s">
        <v>652</v>
      </c>
      <c r="C220" s="1">
        <v>167</v>
      </c>
      <c r="D220" s="1" t="s">
        <v>651</v>
      </c>
      <c r="E220">
        <v>2</v>
      </c>
      <c r="F220">
        <v>0.5</v>
      </c>
      <c r="G220">
        <v>8.5</v>
      </c>
      <c r="H220" t="s">
        <v>90</v>
      </c>
      <c r="I220" t="s">
        <v>41</v>
      </c>
      <c r="J220" t="s">
        <v>109</v>
      </c>
      <c r="K220" t="s">
        <v>434</v>
      </c>
      <c r="L220" t="s">
        <v>110</v>
      </c>
      <c r="M220" t="s">
        <v>44</v>
      </c>
      <c r="N220">
        <v>50</v>
      </c>
      <c r="O220">
        <v>50</v>
      </c>
      <c r="P220">
        <v>0</v>
      </c>
      <c r="Q220">
        <v>15</v>
      </c>
      <c r="R220" t="s">
        <v>90</v>
      </c>
      <c r="T220">
        <v>255</v>
      </c>
      <c r="U220">
        <v>50</v>
      </c>
      <c r="V220">
        <v>800000</v>
      </c>
      <c r="W220" t="s">
        <v>46</v>
      </c>
      <c r="Z220">
        <v>40</v>
      </c>
      <c r="AA220">
        <v>60</v>
      </c>
      <c r="AB220">
        <v>40</v>
      </c>
      <c r="AC220">
        <v>40</v>
      </c>
      <c r="AD220">
        <v>40</v>
      </c>
      <c r="AE220">
        <v>30</v>
      </c>
      <c r="AF220">
        <v>250</v>
      </c>
      <c r="AG220">
        <v>0</v>
      </c>
      <c r="AH220">
        <v>1</v>
      </c>
      <c r="AI220">
        <v>0</v>
      </c>
      <c r="AJ220">
        <v>0</v>
      </c>
      <c r="AK220">
        <v>0</v>
      </c>
      <c r="AL220">
        <v>0</v>
      </c>
    </row>
    <row r="221" spans="1:38" x14ac:dyDescent="0.25">
      <c r="A221" t="s">
        <v>654</v>
      </c>
      <c r="B221" t="s">
        <v>654</v>
      </c>
      <c r="C221" s="1">
        <v>168</v>
      </c>
      <c r="D221" s="1" t="s">
        <v>653</v>
      </c>
      <c r="E221">
        <v>2</v>
      </c>
      <c r="F221">
        <v>1.1000000000000001</v>
      </c>
      <c r="G221">
        <v>33.5</v>
      </c>
      <c r="H221" t="s">
        <v>90</v>
      </c>
      <c r="I221" t="s">
        <v>41</v>
      </c>
      <c r="J221" t="s">
        <v>109</v>
      </c>
      <c r="K221" t="s">
        <v>434</v>
      </c>
      <c r="L221" t="s">
        <v>110</v>
      </c>
      <c r="M221" t="s">
        <v>60</v>
      </c>
      <c r="N221">
        <v>50</v>
      </c>
      <c r="O221">
        <v>50</v>
      </c>
      <c r="P221">
        <v>0</v>
      </c>
      <c r="Q221">
        <v>15</v>
      </c>
      <c r="R221" t="s">
        <v>90</v>
      </c>
      <c r="T221">
        <v>90</v>
      </c>
      <c r="U221">
        <v>140</v>
      </c>
      <c r="V221">
        <v>800000</v>
      </c>
      <c r="W221" t="s">
        <v>46</v>
      </c>
      <c r="Z221">
        <v>70</v>
      </c>
      <c r="AA221">
        <v>90</v>
      </c>
      <c r="AB221">
        <v>70</v>
      </c>
      <c r="AC221">
        <v>60</v>
      </c>
      <c r="AD221">
        <v>70</v>
      </c>
      <c r="AE221">
        <v>40</v>
      </c>
      <c r="AF221">
        <v>400</v>
      </c>
      <c r="AG221">
        <v>0</v>
      </c>
      <c r="AH221">
        <v>2</v>
      </c>
      <c r="AI221">
        <v>0</v>
      </c>
      <c r="AJ221">
        <v>0</v>
      </c>
      <c r="AK221">
        <v>0</v>
      </c>
      <c r="AL221">
        <v>0</v>
      </c>
    </row>
    <row r="222" spans="1:38" x14ac:dyDescent="0.25">
      <c r="A222" t="s">
        <v>656</v>
      </c>
      <c r="B222" t="s">
        <v>656</v>
      </c>
      <c r="C222" s="1">
        <v>169</v>
      </c>
      <c r="D222" s="1" t="s">
        <v>655</v>
      </c>
      <c r="E222">
        <v>2</v>
      </c>
      <c r="F222">
        <v>1.8</v>
      </c>
      <c r="G222">
        <v>75</v>
      </c>
      <c r="H222" t="s">
        <v>41</v>
      </c>
      <c r="I222" t="s">
        <v>66</v>
      </c>
      <c r="J222" t="s">
        <v>221</v>
      </c>
      <c r="L222" t="s">
        <v>222</v>
      </c>
      <c r="M222" t="s">
        <v>131</v>
      </c>
      <c r="N222">
        <v>50</v>
      </c>
      <c r="O222">
        <v>50</v>
      </c>
      <c r="P222">
        <v>0</v>
      </c>
      <c r="Q222">
        <v>15</v>
      </c>
      <c r="R222" t="s">
        <v>66</v>
      </c>
      <c r="T222">
        <v>90</v>
      </c>
      <c r="U222">
        <v>268</v>
      </c>
      <c r="V222">
        <v>1000000</v>
      </c>
      <c r="W222" t="s">
        <v>46</v>
      </c>
      <c r="Z222">
        <v>85</v>
      </c>
      <c r="AA222">
        <v>90</v>
      </c>
      <c r="AB222">
        <v>80</v>
      </c>
      <c r="AC222">
        <v>70</v>
      </c>
      <c r="AD222">
        <v>80</v>
      </c>
      <c r="AE222">
        <v>130</v>
      </c>
      <c r="AF222">
        <v>535</v>
      </c>
      <c r="AG222">
        <v>0</v>
      </c>
      <c r="AH222">
        <v>0</v>
      </c>
      <c r="AI222">
        <v>0</v>
      </c>
      <c r="AJ222">
        <v>0</v>
      </c>
      <c r="AK222">
        <v>0</v>
      </c>
      <c r="AL222">
        <v>3</v>
      </c>
    </row>
    <row r="223" spans="1:38" x14ac:dyDescent="0.25">
      <c r="A223" t="s">
        <v>658</v>
      </c>
      <c r="B223" t="s">
        <v>658</v>
      </c>
      <c r="C223" s="1">
        <v>170</v>
      </c>
      <c r="D223" s="1" t="s">
        <v>657</v>
      </c>
      <c r="E223">
        <v>2</v>
      </c>
      <c r="F223">
        <v>0.5</v>
      </c>
      <c r="G223">
        <v>12</v>
      </c>
      <c r="H223" t="s">
        <v>76</v>
      </c>
      <c r="I223" t="s">
        <v>154</v>
      </c>
      <c r="J223" t="s">
        <v>564</v>
      </c>
      <c r="K223" t="s">
        <v>513</v>
      </c>
      <c r="L223" t="s">
        <v>299</v>
      </c>
      <c r="M223" t="s">
        <v>79</v>
      </c>
      <c r="N223">
        <v>50</v>
      </c>
      <c r="O223">
        <v>50</v>
      </c>
      <c r="P223">
        <v>0</v>
      </c>
      <c r="Q223">
        <v>20</v>
      </c>
      <c r="R223" t="s">
        <v>508</v>
      </c>
      <c r="T223">
        <v>190</v>
      </c>
      <c r="U223">
        <v>66</v>
      </c>
      <c r="V223">
        <v>1250000</v>
      </c>
      <c r="W223" t="s">
        <v>46</v>
      </c>
      <c r="Z223">
        <v>75</v>
      </c>
      <c r="AA223">
        <v>38</v>
      </c>
      <c r="AB223">
        <v>38</v>
      </c>
      <c r="AC223">
        <v>56</v>
      </c>
      <c r="AD223">
        <v>56</v>
      </c>
      <c r="AE223">
        <v>67</v>
      </c>
      <c r="AF223">
        <v>330</v>
      </c>
      <c r="AG223">
        <v>1</v>
      </c>
      <c r="AH223">
        <v>0</v>
      </c>
      <c r="AI223">
        <v>0</v>
      </c>
      <c r="AJ223">
        <v>0</v>
      </c>
      <c r="AK223">
        <v>0</v>
      </c>
      <c r="AL223">
        <v>0</v>
      </c>
    </row>
    <row r="224" spans="1:38" x14ac:dyDescent="0.25">
      <c r="A224" t="s">
        <v>660</v>
      </c>
      <c r="B224" t="s">
        <v>660</v>
      </c>
      <c r="C224" s="1">
        <v>171</v>
      </c>
      <c r="D224" s="1" t="s">
        <v>659</v>
      </c>
      <c r="E224">
        <v>2</v>
      </c>
      <c r="F224">
        <v>1.2</v>
      </c>
      <c r="G224">
        <v>22.5</v>
      </c>
      <c r="H224" t="s">
        <v>76</v>
      </c>
      <c r="I224" t="s">
        <v>154</v>
      </c>
      <c r="J224" t="s">
        <v>564</v>
      </c>
      <c r="K224" t="s">
        <v>513</v>
      </c>
      <c r="L224" t="s">
        <v>299</v>
      </c>
      <c r="M224" t="s">
        <v>79</v>
      </c>
      <c r="N224">
        <v>50</v>
      </c>
      <c r="O224">
        <v>50</v>
      </c>
      <c r="P224">
        <v>0</v>
      </c>
      <c r="Q224">
        <v>20</v>
      </c>
      <c r="R224" t="s">
        <v>508</v>
      </c>
      <c r="T224">
        <v>75</v>
      </c>
      <c r="U224">
        <v>161</v>
      </c>
      <c r="V224">
        <v>1250000</v>
      </c>
      <c r="W224" t="s">
        <v>46</v>
      </c>
      <c r="Z224">
        <v>125</v>
      </c>
      <c r="AA224">
        <v>58</v>
      </c>
      <c r="AB224">
        <v>58</v>
      </c>
      <c r="AC224">
        <v>76</v>
      </c>
      <c r="AD224">
        <v>76</v>
      </c>
      <c r="AE224">
        <v>67</v>
      </c>
      <c r="AF224">
        <v>460</v>
      </c>
      <c r="AG224">
        <v>2</v>
      </c>
      <c r="AH224">
        <v>0</v>
      </c>
      <c r="AI224">
        <v>0</v>
      </c>
      <c r="AJ224">
        <v>0</v>
      </c>
      <c r="AK224">
        <v>0</v>
      </c>
      <c r="AL224">
        <v>0</v>
      </c>
    </row>
    <row r="225" spans="1:38" x14ac:dyDescent="0.25">
      <c r="A225" t="s">
        <v>662</v>
      </c>
      <c r="B225" t="s">
        <v>662</v>
      </c>
      <c r="C225" s="1">
        <v>172</v>
      </c>
      <c r="D225" s="1" t="s">
        <v>661</v>
      </c>
      <c r="E225">
        <v>2</v>
      </c>
      <c r="F225">
        <v>0.3</v>
      </c>
      <c r="G225">
        <v>2</v>
      </c>
      <c r="H225" t="s">
        <v>154</v>
      </c>
      <c r="J225" t="s">
        <v>155</v>
      </c>
      <c r="L225" t="s">
        <v>156</v>
      </c>
      <c r="M225" t="s">
        <v>106</v>
      </c>
      <c r="N225">
        <v>50</v>
      </c>
      <c r="O225">
        <v>50</v>
      </c>
      <c r="P225">
        <v>0</v>
      </c>
      <c r="Q225">
        <v>10</v>
      </c>
      <c r="R225" t="s">
        <v>184</v>
      </c>
      <c r="T225">
        <v>190</v>
      </c>
      <c r="U225">
        <v>41</v>
      </c>
      <c r="V225">
        <v>1000000</v>
      </c>
      <c r="W225" t="s">
        <v>46</v>
      </c>
      <c r="Z225">
        <v>20</v>
      </c>
      <c r="AA225">
        <v>40</v>
      </c>
      <c r="AB225">
        <v>15</v>
      </c>
      <c r="AC225">
        <v>35</v>
      </c>
      <c r="AD225">
        <v>35</v>
      </c>
      <c r="AE225">
        <v>60</v>
      </c>
      <c r="AF225">
        <v>205</v>
      </c>
      <c r="AG225">
        <v>0</v>
      </c>
      <c r="AH225">
        <v>0</v>
      </c>
      <c r="AI225">
        <v>0</v>
      </c>
      <c r="AJ225">
        <v>0</v>
      </c>
      <c r="AK225">
        <v>0</v>
      </c>
      <c r="AL225">
        <v>1</v>
      </c>
    </row>
    <row r="226" spans="1:38" x14ac:dyDescent="0.25">
      <c r="A226" t="s">
        <v>664</v>
      </c>
      <c r="B226" t="s">
        <v>664</v>
      </c>
      <c r="C226" s="1">
        <v>173</v>
      </c>
      <c r="D226" s="1" t="s">
        <v>663</v>
      </c>
      <c r="E226">
        <v>2</v>
      </c>
      <c r="F226">
        <v>0.3</v>
      </c>
      <c r="G226">
        <v>3</v>
      </c>
      <c r="H226" t="s">
        <v>157</v>
      </c>
      <c r="J226" t="s">
        <v>196</v>
      </c>
      <c r="K226" t="s">
        <v>197</v>
      </c>
      <c r="L226" t="s">
        <v>198</v>
      </c>
      <c r="M226" t="s">
        <v>199</v>
      </c>
      <c r="N226">
        <v>25</v>
      </c>
      <c r="O226">
        <v>75</v>
      </c>
      <c r="P226">
        <v>0</v>
      </c>
      <c r="Q226">
        <v>10</v>
      </c>
      <c r="R226" t="s">
        <v>184</v>
      </c>
      <c r="T226">
        <v>150</v>
      </c>
      <c r="U226">
        <v>44</v>
      </c>
      <c r="V226">
        <v>800000</v>
      </c>
      <c r="W226" t="s">
        <v>46</v>
      </c>
      <c r="Z226">
        <v>50</v>
      </c>
      <c r="AA226">
        <v>25</v>
      </c>
      <c r="AB226">
        <v>28</v>
      </c>
      <c r="AC226">
        <v>45</v>
      </c>
      <c r="AD226">
        <v>55</v>
      </c>
      <c r="AE226">
        <v>15</v>
      </c>
      <c r="AF226">
        <v>218</v>
      </c>
      <c r="AG226">
        <v>0</v>
      </c>
      <c r="AH226">
        <v>0</v>
      </c>
      <c r="AI226">
        <v>0</v>
      </c>
      <c r="AJ226">
        <v>0</v>
      </c>
      <c r="AK226">
        <v>1</v>
      </c>
      <c r="AL226">
        <v>0</v>
      </c>
    </row>
    <row r="227" spans="1:38" x14ac:dyDescent="0.25">
      <c r="A227" t="s">
        <v>666</v>
      </c>
      <c r="B227" t="s">
        <v>666</v>
      </c>
      <c r="C227" s="1">
        <v>174</v>
      </c>
      <c r="D227" s="1" t="s">
        <v>665</v>
      </c>
      <c r="E227">
        <v>2</v>
      </c>
      <c r="F227">
        <v>0.3</v>
      </c>
      <c r="G227">
        <v>1</v>
      </c>
      <c r="H227" t="s">
        <v>116</v>
      </c>
      <c r="I227" t="s">
        <v>157</v>
      </c>
      <c r="J227" t="s">
        <v>196</v>
      </c>
      <c r="K227" t="s">
        <v>215</v>
      </c>
      <c r="L227" t="s">
        <v>198</v>
      </c>
      <c r="M227" t="s">
        <v>199</v>
      </c>
      <c r="N227">
        <v>25</v>
      </c>
      <c r="O227">
        <v>75</v>
      </c>
      <c r="P227">
        <v>0</v>
      </c>
      <c r="Q227">
        <v>10</v>
      </c>
      <c r="R227" t="s">
        <v>184</v>
      </c>
      <c r="T227">
        <v>170</v>
      </c>
      <c r="U227">
        <v>42</v>
      </c>
      <c r="V227">
        <v>800000</v>
      </c>
      <c r="W227" t="s">
        <v>46</v>
      </c>
      <c r="Z227">
        <v>90</v>
      </c>
      <c r="AA227">
        <v>30</v>
      </c>
      <c r="AB227">
        <v>15</v>
      </c>
      <c r="AC227">
        <v>40</v>
      </c>
      <c r="AD227">
        <v>20</v>
      </c>
      <c r="AE227">
        <v>15</v>
      </c>
      <c r="AF227">
        <v>210</v>
      </c>
      <c r="AG227">
        <v>1</v>
      </c>
      <c r="AH227">
        <v>0</v>
      </c>
      <c r="AI227">
        <v>0</v>
      </c>
      <c r="AJ227">
        <v>0</v>
      </c>
      <c r="AK227">
        <v>0</v>
      </c>
      <c r="AL227">
        <v>0</v>
      </c>
    </row>
    <row r="228" spans="1:38" x14ac:dyDescent="0.25">
      <c r="A228" t="s">
        <v>668</v>
      </c>
      <c r="B228" t="s">
        <v>668</v>
      </c>
      <c r="C228" s="1">
        <v>175</v>
      </c>
      <c r="D228" s="1" t="s">
        <v>667</v>
      </c>
      <c r="E228">
        <v>2</v>
      </c>
      <c r="F228">
        <v>0.3</v>
      </c>
      <c r="G228">
        <v>1.5</v>
      </c>
      <c r="H228" t="s">
        <v>157</v>
      </c>
      <c r="J228" t="s">
        <v>130</v>
      </c>
      <c r="K228" t="s">
        <v>491</v>
      </c>
      <c r="L228" t="s">
        <v>669</v>
      </c>
      <c r="M228" t="s">
        <v>100</v>
      </c>
      <c r="N228">
        <v>87.5</v>
      </c>
      <c r="O228">
        <v>12.5</v>
      </c>
      <c r="P228">
        <v>0</v>
      </c>
      <c r="Q228">
        <v>10</v>
      </c>
      <c r="R228" t="s">
        <v>184</v>
      </c>
      <c r="T228">
        <v>190</v>
      </c>
      <c r="U228">
        <v>49</v>
      </c>
      <c r="V228">
        <v>800000</v>
      </c>
      <c r="W228" t="s">
        <v>46</v>
      </c>
      <c r="Z228">
        <v>35</v>
      </c>
      <c r="AA228">
        <v>20</v>
      </c>
      <c r="AB228">
        <v>65</v>
      </c>
      <c r="AC228">
        <v>40</v>
      </c>
      <c r="AD228">
        <v>65</v>
      </c>
      <c r="AE228">
        <v>20</v>
      </c>
      <c r="AF228">
        <v>245</v>
      </c>
      <c r="AG228">
        <v>0</v>
      </c>
      <c r="AH228">
        <v>0</v>
      </c>
      <c r="AI228">
        <v>0</v>
      </c>
      <c r="AJ228">
        <v>0</v>
      </c>
      <c r="AK228">
        <v>1</v>
      </c>
      <c r="AL228">
        <v>0</v>
      </c>
    </row>
    <row r="229" spans="1:38" x14ac:dyDescent="0.25">
      <c r="A229" t="s">
        <v>671</v>
      </c>
      <c r="B229" t="s">
        <v>671</v>
      </c>
      <c r="C229" s="1">
        <v>176</v>
      </c>
      <c r="D229" s="1" t="s">
        <v>670</v>
      </c>
      <c r="E229">
        <v>2</v>
      </c>
      <c r="F229">
        <v>0.6</v>
      </c>
      <c r="G229">
        <v>3.2</v>
      </c>
      <c r="H229" t="s">
        <v>157</v>
      </c>
      <c r="I229" t="s">
        <v>66</v>
      </c>
      <c r="J229" t="s">
        <v>130</v>
      </c>
      <c r="K229" t="s">
        <v>491</v>
      </c>
      <c r="L229" t="s">
        <v>669</v>
      </c>
      <c r="M229" t="s">
        <v>100</v>
      </c>
      <c r="N229">
        <v>87.5</v>
      </c>
      <c r="O229">
        <v>12.5</v>
      </c>
      <c r="P229">
        <v>0</v>
      </c>
      <c r="Q229">
        <v>10</v>
      </c>
      <c r="R229" t="s">
        <v>66</v>
      </c>
      <c r="S229" t="s">
        <v>157</v>
      </c>
      <c r="T229">
        <v>75</v>
      </c>
      <c r="U229">
        <v>142</v>
      </c>
      <c r="V229">
        <v>800000</v>
      </c>
      <c r="W229" t="s">
        <v>46</v>
      </c>
      <c r="Z229">
        <v>55</v>
      </c>
      <c r="AA229">
        <v>40</v>
      </c>
      <c r="AB229">
        <v>85</v>
      </c>
      <c r="AC229">
        <v>80</v>
      </c>
      <c r="AD229">
        <v>105</v>
      </c>
      <c r="AE229">
        <v>40</v>
      </c>
      <c r="AF229">
        <v>405</v>
      </c>
      <c r="AG229">
        <v>0</v>
      </c>
      <c r="AH229">
        <v>0</v>
      </c>
      <c r="AI229">
        <v>0</v>
      </c>
      <c r="AJ229">
        <v>0</v>
      </c>
      <c r="AK229">
        <v>2</v>
      </c>
      <c r="AL229">
        <v>0</v>
      </c>
    </row>
    <row r="230" spans="1:38" x14ac:dyDescent="0.25">
      <c r="A230" t="s">
        <v>673</v>
      </c>
      <c r="B230" t="s">
        <v>673</v>
      </c>
      <c r="C230" s="1">
        <v>177</v>
      </c>
      <c r="D230" s="1" t="s">
        <v>672</v>
      </c>
      <c r="E230">
        <v>2</v>
      </c>
      <c r="F230">
        <v>0.2</v>
      </c>
      <c r="G230">
        <v>2</v>
      </c>
      <c r="H230" t="s">
        <v>162</v>
      </c>
      <c r="I230" t="s">
        <v>66</v>
      </c>
      <c r="J230" t="s">
        <v>306</v>
      </c>
      <c r="K230" t="s">
        <v>390</v>
      </c>
      <c r="L230" t="s">
        <v>674</v>
      </c>
      <c r="M230" t="s">
        <v>44</v>
      </c>
      <c r="N230">
        <v>50</v>
      </c>
      <c r="O230">
        <v>50</v>
      </c>
      <c r="P230">
        <v>0</v>
      </c>
      <c r="Q230">
        <v>20</v>
      </c>
      <c r="R230" t="s">
        <v>66</v>
      </c>
      <c r="T230">
        <v>190</v>
      </c>
      <c r="U230">
        <v>64</v>
      </c>
      <c r="V230">
        <v>1000000</v>
      </c>
      <c r="W230" t="s">
        <v>46</v>
      </c>
      <c r="Z230">
        <v>40</v>
      </c>
      <c r="AA230">
        <v>50</v>
      </c>
      <c r="AB230">
        <v>45</v>
      </c>
      <c r="AC230">
        <v>70</v>
      </c>
      <c r="AD230">
        <v>45</v>
      </c>
      <c r="AE230">
        <v>70</v>
      </c>
      <c r="AF230">
        <v>320</v>
      </c>
      <c r="AG230">
        <v>0</v>
      </c>
      <c r="AH230">
        <v>0</v>
      </c>
      <c r="AI230">
        <v>0</v>
      </c>
      <c r="AJ230">
        <v>1</v>
      </c>
      <c r="AK230">
        <v>0</v>
      </c>
      <c r="AL230">
        <v>0</v>
      </c>
    </row>
    <row r="231" spans="1:38" x14ac:dyDescent="0.25">
      <c r="A231" t="s">
        <v>676</v>
      </c>
      <c r="B231" t="s">
        <v>676</v>
      </c>
      <c r="C231" s="1">
        <v>178</v>
      </c>
      <c r="D231" s="1" t="s">
        <v>675</v>
      </c>
      <c r="E231">
        <v>2</v>
      </c>
      <c r="F231">
        <v>1.5</v>
      </c>
      <c r="G231">
        <v>15</v>
      </c>
      <c r="H231" t="s">
        <v>162</v>
      </c>
      <c r="I231" t="s">
        <v>66</v>
      </c>
      <c r="J231" t="s">
        <v>306</v>
      </c>
      <c r="K231" t="s">
        <v>390</v>
      </c>
      <c r="L231" t="s">
        <v>674</v>
      </c>
      <c r="M231" t="s">
        <v>44</v>
      </c>
      <c r="N231">
        <v>50</v>
      </c>
      <c r="O231">
        <v>50</v>
      </c>
      <c r="P231">
        <v>0</v>
      </c>
      <c r="Q231">
        <v>20</v>
      </c>
      <c r="R231" t="s">
        <v>66</v>
      </c>
      <c r="T231">
        <v>75</v>
      </c>
      <c r="U231">
        <v>165</v>
      </c>
      <c r="V231">
        <v>1000000</v>
      </c>
      <c r="W231" t="s">
        <v>46</v>
      </c>
      <c r="Z231">
        <v>65</v>
      </c>
      <c r="AA231">
        <v>75</v>
      </c>
      <c r="AB231">
        <v>70</v>
      </c>
      <c r="AC231">
        <v>95</v>
      </c>
      <c r="AD231">
        <v>70</v>
      </c>
      <c r="AE231">
        <v>95</v>
      </c>
      <c r="AF231">
        <v>470</v>
      </c>
      <c r="AG231">
        <v>0</v>
      </c>
      <c r="AH231">
        <v>0</v>
      </c>
      <c r="AI231">
        <v>0</v>
      </c>
      <c r="AJ231">
        <v>1</v>
      </c>
      <c r="AK231">
        <v>0</v>
      </c>
      <c r="AL231">
        <v>1</v>
      </c>
    </row>
    <row r="232" spans="1:38" x14ac:dyDescent="0.25">
      <c r="A232" t="s">
        <v>678</v>
      </c>
      <c r="B232" t="s">
        <v>678</v>
      </c>
      <c r="C232" s="1">
        <v>179</v>
      </c>
      <c r="D232" s="1" t="s">
        <v>677</v>
      </c>
      <c r="E232">
        <v>2</v>
      </c>
      <c r="F232">
        <v>0.6</v>
      </c>
      <c r="G232">
        <v>7.8</v>
      </c>
      <c r="H232" t="s">
        <v>154</v>
      </c>
      <c r="J232" t="s">
        <v>155</v>
      </c>
      <c r="L232" t="s">
        <v>679</v>
      </c>
      <c r="M232" t="s">
        <v>100</v>
      </c>
      <c r="N232">
        <v>50</v>
      </c>
      <c r="O232">
        <v>50</v>
      </c>
      <c r="P232">
        <v>0</v>
      </c>
      <c r="Q232">
        <v>20</v>
      </c>
      <c r="R232" t="s">
        <v>45</v>
      </c>
      <c r="S232" t="s">
        <v>132</v>
      </c>
      <c r="T232">
        <v>235</v>
      </c>
      <c r="U232">
        <v>56</v>
      </c>
      <c r="V232">
        <v>1059860</v>
      </c>
      <c r="W232" t="s">
        <v>46</v>
      </c>
      <c r="Z232">
        <v>55</v>
      </c>
      <c r="AA232">
        <v>40</v>
      </c>
      <c r="AB232">
        <v>40</v>
      </c>
      <c r="AC232">
        <v>65</v>
      </c>
      <c r="AD232">
        <v>45</v>
      </c>
      <c r="AE232">
        <v>35</v>
      </c>
      <c r="AF232">
        <v>280</v>
      </c>
      <c r="AG232">
        <v>0</v>
      </c>
      <c r="AH232">
        <v>0</v>
      </c>
      <c r="AI232">
        <v>0</v>
      </c>
      <c r="AJ232">
        <v>1</v>
      </c>
      <c r="AK232">
        <v>0</v>
      </c>
      <c r="AL232">
        <v>0</v>
      </c>
    </row>
    <row r="233" spans="1:38" x14ac:dyDescent="0.25">
      <c r="A233" t="s">
        <v>681</v>
      </c>
      <c r="B233" t="s">
        <v>681</v>
      </c>
      <c r="C233" s="1">
        <v>180</v>
      </c>
      <c r="D233" s="1" t="s">
        <v>680</v>
      </c>
      <c r="E233">
        <v>2</v>
      </c>
      <c r="F233">
        <v>0.8</v>
      </c>
      <c r="G233">
        <v>13.3</v>
      </c>
      <c r="H233" t="s">
        <v>154</v>
      </c>
      <c r="J233" t="s">
        <v>155</v>
      </c>
      <c r="L233" t="s">
        <v>679</v>
      </c>
      <c r="M233" t="s">
        <v>199</v>
      </c>
      <c r="N233">
        <v>50</v>
      </c>
      <c r="O233">
        <v>50</v>
      </c>
      <c r="P233">
        <v>0</v>
      </c>
      <c r="Q233">
        <v>20</v>
      </c>
      <c r="R233" t="s">
        <v>45</v>
      </c>
      <c r="S233" t="s">
        <v>132</v>
      </c>
      <c r="T233">
        <v>120</v>
      </c>
      <c r="U233">
        <v>128</v>
      </c>
      <c r="V233">
        <v>1059860</v>
      </c>
      <c r="W233" t="s">
        <v>46</v>
      </c>
      <c r="Z233">
        <v>70</v>
      </c>
      <c r="AA233">
        <v>55</v>
      </c>
      <c r="AB233">
        <v>55</v>
      </c>
      <c r="AC233">
        <v>80</v>
      </c>
      <c r="AD233">
        <v>60</v>
      </c>
      <c r="AE233">
        <v>45</v>
      </c>
      <c r="AF233">
        <v>365</v>
      </c>
      <c r="AG233">
        <v>0</v>
      </c>
      <c r="AH233">
        <v>0</v>
      </c>
      <c r="AI233">
        <v>0</v>
      </c>
      <c r="AJ233">
        <v>2</v>
      </c>
      <c r="AK233">
        <v>0</v>
      </c>
      <c r="AL233">
        <v>0</v>
      </c>
    </row>
    <row r="234" spans="1:38" x14ac:dyDescent="0.25">
      <c r="A234" t="s">
        <v>683</v>
      </c>
      <c r="B234" t="s">
        <v>683</v>
      </c>
      <c r="C234" s="1">
        <v>181</v>
      </c>
      <c r="D234" s="1" t="s">
        <v>682</v>
      </c>
      <c r="E234">
        <v>2</v>
      </c>
      <c r="F234">
        <v>1.4</v>
      </c>
      <c r="G234">
        <v>61.5</v>
      </c>
      <c r="H234" t="s">
        <v>154</v>
      </c>
      <c r="J234" t="s">
        <v>155</v>
      </c>
      <c r="L234" t="s">
        <v>679</v>
      </c>
      <c r="M234" t="s">
        <v>106</v>
      </c>
      <c r="N234">
        <v>50</v>
      </c>
      <c r="O234">
        <v>50</v>
      </c>
      <c r="P234">
        <v>0</v>
      </c>
      <c r="Q234">
        <v>20</v>
      </c>
      <c r="R234" t="s">
        <v>45</v>
      </c>
      <c r="S234" t="s">
        <v>132</v>
      </c>
      <c r="T234">
        <v>45</v>
      </c>
      <c r="U234">
        <v>255</v>
      </c>
      <c r="V234">
        <v>1059860</v>
      </c>
      <c r="W234" t="s">
        <v>46</v>
      </c>
      <c r="Z234">
        <v>90</v>
      </c>
      <c r="AA234">
        <v>75</v>
      </c>
      <c r="AB234">
        <v>85</v>
      </c>
      <c r="AC234">
        <v>115</v>
      </c>
      <c r="AD234">
        <v>90</v>
      </c>
      <c r="AE234">
        <v>55</v>
      </c>
      <c r="AF234">
        <v>510</v>
      </c>
      <c r="AG234">
        <v>0</v>
      </c>
      <c r="AH234">
        <v>0</v>
      </c>
      <c r="AI234">
        <v>0</v>
      </c>
      <c r="AJ234">
        <v>3</v>
      </c>
      <c r="AK234">
        <v>0</v>
      </c>
      <c r="AL234">
        <v>0</v>
      </c>
    </row>
    <row r="235" spans="1:38" x14ac:dyDescent="0.25">
      <c r="A235" t="s">
        <v>683</v>
      </c>
      <c r="B235" t="s">
        <v>685</v>
      </c>
      <c r="C235" s="1">
        <v>181</v>
      </c>
      <c r="D235" s="1" t="s">
        <v>684</v>
      </c>
      <c r="E235">
        <v>2</v>
      </c>
      <c r="F235">
        <v>1.4</v>
      </c>
      <c r="G235">
        <v>61.5</v>
      </c>
      <c r="H235" t="s">
        <v>154</v>
      </c>
      <c r="I235" t="s">
        <v>61</v>
      </c>
      <c r="J235" t="s">
        <v>532</v>
      </c>
      <c r="M235" t="s">
        <v>106</v>
      </c>
      <c r="N235">
        <v>50</v>
      </c>
      <c r="O235">
        <v>50</v>
      </c>
      <c r="P235">
        <v>0</v>
      </c>
      <c r="Q235">
        <v>20</v>
      </c>
      <c r="R235" t="s">
        <v>45</v>
      </c>
      <c r="S235" t="s">
        <v>132</v>
      </c>
      <c r="T235">
        <v>45</v>
      </c>
      <c r="U235">
        <v>275</v>
      </c>
      <c r="V235">
        <v>1059860</v>
      </c>
      <c r="W235" t="s">
        <v>46</v>
      </c>
      <c r="X235" t="s">
        <v>54</v>
      </c>
      <c r="Z235">
        <v>90</v>
      </c>
      <c r="AA235">
        <v>95</v>
      </c>
      <c r="AB235">
        <v>105</v>
      </c>
      <c r="AC235">
        <v>165</v>
      </c>
      <c r="AD235">
        <v>110</v>
      </c>
      <c r="AE235">
        <v>45</v>
      </c>
      <c r="AF235">
        <v>610</v>
      </c>
      <c r="AG235">
        <v>0</v>
      </c>
      <c r="AH235">
        <v>0</v>
      </c>
      <c r="AI235">
        <v>0</v>
      </c>
      <c r="AJ235">
        <v>3</v>
      </c>
      <c r="AK235">
        <v>0</v>
      </c>
      <c r="AL235">
        <v>0</v>
      </c>
    </row>
    <row r="236" spans="1:38" x14ac:dyDescent="0.25">
      <c r="A236" t="s">
        <v>687</v>
      </c>
      <c r="B236" t="s">
        <v>687</v>
      </c>
      <c r="C236" s="1">
        <v>182</v>
      </c>
      <c r="D236" s="1" t="s">
        <v>686</v>
      </c>
      <c r="E236">
        <v>2</v>
      </c>
      <c r="F236">
        <v>0.4</v>
      </c>
      <c r="G236">
        <v>5.8</v>
      </c>
      <c r="H236" t="s">
        <v>40</v>
      </c>
      <c r="J236" t="s">
        <v>43</v>
      </c>
      <c r="L236" t="s">
        <v>492</v>
      </c>
      <c r="M236" t="s">
        <v>44</v>
      </c>
      <c r="N236">
        <v>50</v>
      </c>
      <c r="O236">
        <v>50</v>
      </c>
      <c r="P236">
        <v>0</v>
      </c>
      <c r="Q236">
        <v>20</v>
      </c>
      <c r="R236" t="s">
        <v>40</v>
      </c>
      <c r="T236">
        <v>45</v>
      </c>
      <c r="U236">
        <v>245</v>
      </c>
      <c r="V236">
        <v>1059860</v>
      </c>
      <c r="W236" t="s">
        <v>46</v>
      </c>
      <c r="Z236">
        <v>75</v>
      </c>
      <c r="AA236">
        <v>80</v>
      </c>
      <c r="AB236">
        <v>95</v>
      </c>
      <c r="AC236">
        <v>90</v>
      </c>
      <c r="AD236">
        <v>100</v>
      </c>
      <c r="AE236">
        <v>50</v>
      </c>
      <c r="AF236">
        <v>490</v>
      </c>
      <c r="AG236">
        <v>0</v>
      </c>
      <c r="AH236">
        <v>0</v>
      </c>
      <c r="AI236">
        <v>0</v>
      </c>
      <c r="AJ236">
        <v>0</v>
      </c>
      <c r="AK236">
        <v>3</v>
      </c>
      <c r="AL236">
        <v>0</v>
      </c>
    </row>
    <row r="237" spans="1:38" x14ac:dyDescent="0.25">
      <c r="A237" t="s">
        <v>689</v>
      </c>
      <c r="B237" t="s">
        <v>689</v>
      </c>
      <c r="C237" s="1">
        <v>183</v>
      </c>
      <c r="D237" s="1" t="s">
        <v>688</v>
      </c>
      <c r="E237">
        <v>2</v>
      </c>
      <c r="F237">
        <v>0.4</v>
      </c>
      <c r="G237">
        <v>8.5</v>
      </c>
      <c r="H237" t="s">
        <v>76</v>
      </c>
      <c r="I237" t="s">
        <v>157</v>
      </c>
      <c r="J237" t="s">
        <v>53</v>
      </c>
      <c r="K237" t="s">
        <v>690</v>
      </c>
      <c r="L237" t="s">
        <v>691</v>
      </c>
      <c r="M237" t="s">
        <v>79</v>
      </c>
      <c r="N237">
        <v>50</v>
      </c>
      <c r="O237">
        <v>50</v>
      </c>
      <c r="P237">
        <v>0</v>
      </c>
      <c r="Q237">
        <v>10</v>
      </c>
      <c r="R237" t="s">
        <v>80</v>
      </c>
      <c r="S237" t="s">
        <v>157</v>
      </c>
      <c r="T237">
        <v>190</v>
      </c>
      <c r="U237">
        <v>88</v>
      </c>
      <c r="V237">
        <v>800000</v>
      </c>
      <c r="W237" t="s">
        <v>46</v>
      </c>
      <c r="Z237">
        <v>70</v>
      </c>
      <c r="AA237">
        <v>20</v>
      </c>
      <c r="AB237">
        <v>50</v>
      </c>
      <c r="AC237">
        <v>20</v>
      </c>
      <c r="AD237">
        <v>50</v>
      </c>
      <c r="AE237">
        <v>40</v>
      </c>
      <c r="AF237">
        <v>250</v>
      </c>
      <c r="AG237">
        <v>2</v>
      </c>
      <c r="AH237">
        <v>0</v>
      </c>
      <c r="AI237">
        <v>0</v>
      </c>
      <c r="AJ237">
        <v>0</v>
      </c>
      <c r="AK237">
        <v>0</v>
      </c>
      <c r="AL237">
        <v>0</v>
      </c>
    </row>
    <row r="238" spans="1:38" x14ac:dyDescent="0.25">
      <c r="A238" t="s">
        <v>693</v>
      </c>
      <c r="B238" t="s">
        <v>693</v>
      </c>
      <c r="C238" s="1">
        <v>184</v>
      </c>
      <c r="D238" s="1" t="s">
        <v>692</v>
      </c>
      <c r="E238">
        <v>2</v>
      </c>
      <c r="F238">
        <v>0.8</v>
      </c>
      <c r="G238">
        <v>28.5</v>
      </c>
      <c r="H238" t="s">
        <v>76</v>
      </c>
      <c r="I238" t="s">
        <v>157</v>
      </c>
      <c r="J238" t="s">
        <v>53</v>
      </c>
      <c r="K238" t="s">
        <v>690</v>
      </c>
      <c r="L238" t="s">
        <v>691</v>
      </c>
      <c r="M238" t="s">
        <v>79</v>
      </c>
      <c r="N238">
        <v>50</v>
      </c>
      <c r="O238">
        <v>50</v>
      </c>
      <c r="P238">
        <v>0</v>
      </c>
      <c r="Q238">
        <v>10</v>
      </c>
      <c r="R238" t="s">
        <v>80</v>
      </c>
      <c r="S238" t="s">
        <v>157</v>
      </c>
      <c r="T238">
        <v>75</v>
      </c>
      <c r="U238">
        <v>210</v>
      </c>
      <c r="V238">
        <v>800000</v>
      </c>
      <c r="W238" t="s">
        <v>46</v>
      </c>
      <c r="Z238">
        <v>100</v>
      </c>
      <c r="AA238">
        <v>50</v>
      </c>
      <c r="AB238">
        <v>80</v>
      </c>
      <c r="AC238">
        <v>60</v>
      </c>
      <c r="AD238">
        <v>80</v>
      </c>
      <c r="AE238">
        <v>50</v>
      </c>
      <c r="AF238">
        <v>420</v>
      </c>
      <c r="AG238">
        <v>3</v>
      </c>
      <c r="AH238">
        <v>0</v>
      </c>
      <c r="AI238">
        <v>0</v>
      </c>
      <c r="AJ238">
        <v>0</v>
      </c>
      <c r="AK238">
        <v>0</v>
      </c>
      <c r="AL238">
        <v>0</v>
      </c>
    </row>
    <row r="239" spans="1:38" x14ac:dyDescent="0.25">
      <c r="A239" t="s">
        <v>695</v>
      </c>
      <c r="B239" t="s">
        <v>695</v>
      </c>
      <c r="C239" s="1">
        <v>185</v>
      </c>
      <c r="D239" s="1" t="s">
        <v>694</v>
      </c>
      <c r="E239">
        <v>2</v>
      </c>
      <c r="F239">
        <v>1.2</v>
      </c>
      <c r="G239">
        <v>38</v>
      </c>
      <c r="H239" t="s">
        <v>290</v>
      </c>
      <c r="J239" t="s">
        <v>338</v>
      </c>
      <c r="K239" t="s">
        <v>291</v>
      </c>
      <c r="L239" t="s">
        <v>261</v>
      </c>
      <c r="M239" t="s">
        <v>103</v>
      </c>
      <c r="N239">
        <v>50</v>
      </c>
      <c r="O239">
        <v>50</v>
      </c>
      <c r="P239">
        <v>0</v>
      </c>
      <c r="Q239">
        <v>20</v>
      </c>
      <c r="R239" t="s">
        <v>339</v>
      </c>
      <c r="T239">
        <v>65</v>
      </c>
      <c r="U239">
        <v>144</v>
      </c>
      <c r="V239">
        <v>1000000</v>
      </c>
      <c r="W239" t="s">
        <v>46</v>
      </c>
      <c r="Z239">
        <v>70</v>
      </c>
      <c r="AA239">
        <v>100</v>
      </c>
      <c r="AB239">
        <v>115</v>
      </c>
      <c r="AC239">
        <v>30</v>
      </c>
      <c r="AD239">
        <v>65</v>
      </c>
      <c r="AE239">
        <v>30</v>
      </c>
      <c r="AF239">
        <v>410</v>
      </c>
      <c r="AG239">
        <v>0</v>
      </c>
      <c r="AH239">
        <v>0</v>
      </c>
      <c r="AI239">
        <v>2</v>
      </c>
      <c r="AJ239">
        <v>0</v>
      </c>
      <c r="AK239">
        <v>0</v>
      </c>
      <c r="AL239">
        <v>0</v>
      </c>
    </row>
    <row r="240" spans="1:38" x14ac:dyDescent="0.25">
      <c r="A240" t="s">
        <v>697</v>
      </c>
      <c r="B240" t="s">
        <v>697</v>
      </c>
      <c r="C240" s="1">
        <v>186</v>
      </c>
      <c r="D240" s="1" t="s">
        <v>696</v>
      </c>
      <c r="E240">
        <v>2</v>
      </c>
      <c r="F240">
        <v>1.1000000000000001</v>
      </c>
      <c r="G240">
        <v>33.9</v>
      </c>
      <c r="H240" t="s">
        <v>76</v>
      </c>
      <c r="J240" t="s">
        <v>299</v>
      </c>
      <c r="K240" t="s">
        <v>236</v>
      </c>
      <c r="L240" t="s">
        <v>698</v>
      </c>
      <c r="M240" t="s">
        <v>44</v>
      </c>
      <c r="N240">
        <v>50</v>
      </c>
      <c r="O240">
        <v>50</v>
      </c>
      <c r="P240">
        <v>0</v>
      </c>
      <c r="Q240">
        <v>20</v>
      </c>
      <c r="R240" t="s">
        <v>80</v>
      </c>
      <c r="T240">
        <v>45</v>
      </c>
      <c r="U240">
        <v>250</v>
      </c>
      <c r="V240">
        <v>1059860</v>
      </c>
      <c r="W240" t="s">
        <v>46</v>
      </c>
      <c r="Z240">
        <v>90</v>
      </c>
      <c r="AA240">
        <v>75</v>
      </c>
      <c r="AB240">
        <v>75</v>
      </c>
      <c r="AC240">
        <v>90</v>
      </c>
      <c r="AD240">
        <v>100</v>
      </c>
      <c r="AE240">
        <v>70</v>
      </c>
      <c r="AF240">
        <v>500</v>
      </c>
      <c r="AG240">
        <v>0</v>
      </c>
      <c r="AH240">
        <v>0</v>
      </c>
      <c r="AI240">
        <v>0</v>
      </c>
      <c r="AJ240">
        <v>0</v>
      </c>
      <c r="AK240">
        <v>3</v>
      </c>
      <c r="AL240">
        <v>0</v>
      </c>
    </row>
    <row r="241" spans="1:38" x14ac:dyDescent="0.25">
      <c r="A241" t="s">
        <v>700</v>
      </c>
      <c r="B241" t="s">
        <v>700</v>
      </c>
      <c r="C241" s="1">
        <v>187</v>
      </c>
      <c r="D241" s="1" t="s">
        <v>699</v>
      </c>
      <c r="E241">
        <v>2</v>
      </c>
      <c r="F241">
        <v>0.4</v>
      </c>
      <c r="G241">
        <v>0.5</v>
      </c>
      <c r="H241" t="s">
        <v>40</v>
      </c>
      <c r="I241" t="s">
        <v>66</v>
      </c>
      <c r="J241" t="s">
        <v>43</v>
      </c>
      <c r="K241" t="s">
        <v>495</v>
      </c>
      <c r="L241" t="s">
        <v>222</v>
      </c>
      <c r="M241" t="s">
        <v>199</v>
      </c>
      <c r="N241">
        <v>50</v>
      </c>
      <c r="O241">
        <v>50</v>
      </c>
      <c r="P241">
        <v>0</v>
      </c>
      <c r="Q241">
        <v>20</v>
      </c>
      <c r="R241" t="s">
        <v>157</v>
      </c>
      <c r="S241" t="s">
        <v>40</v>
      </c>
      <c r="T241">
        <v>255</v>
      </c>
      <c r="U241">
        <v>50</v>
      </c>
      <c r="V241">
        <v>1059860</v>
      </c>
      <c r="W241" t="s">
        <v>46</v>
      </c>
      <c r="Z241">
        <v>35</v>
      </c>
      <c r="AA241">
        <v>35</v>
      </c>
      <c r="AB241">
        <v>40</v>
      </c>
      <c r="AC241">
        <v>35</v>
      </c>
      <c r="AD241">
        <v>55</v>
      </c>
      <c r="AE241">
        <v>50</v>
      </c>
      <c r="AF241">
        <v>250</v>
      </c>
      <c r="AG241">
        <v>0</v>
      </c>
      <c r="AH241">
        <v>0</v>
      </c>
      <c r="AI241">
        <v>0</v>
      </c>
      <c r="AJ241">
        <v>0</v>
      </c>
      <c r="AK241">
        <v>1</v>
      </c>
      <c r="AL241">
        <v>0</v>
      </c>
    </row>
    <row r="242" spans="1:38" x14ac:dyDescent="0.25">
      <c r="A242" t="s">
        <v>702</v>
      </c>
      <c r="B242" t="s">
        <v>702</v>
      </c>
      <c r="C242" s="1">
        <v>188</v>
      </c>
      <c r="D242" s="1" t="s">
        <v>701</v>
      </c>
      <c r="E242">
        <v>2</v>
      </c>
      <c r="F242">
        <v>0.6</v>
      </c>
      <c r="G242">
        <v>1</v>
      </c>
      <c r="H242" t="s">
        <v>40</v>
      </c>
      <c r="I242" t="s">
        <v>66</v>
      </c>
      <c r="J242" t="s">
        <v>43</v>
      </c>
      <c r="K242" t="s">
        <v>495</v>
      </c>
      <c r="L242" t="s">
        <v>222</v>
      </c>
      <c r="M242" t="s">
        <v>44</v>
      </c>
      <c r="N242">
        <v>50</v>
      </c>
      <c r="O242">
        <v>50</v>
      </c>
      <c r="P242">
        <v>0</v>
      </c>
      <c r="Q242">
        <v>20</v>
      </c>
      <c r="R242" t="s">
        <v>157</v>
      </c>
      <c r="S242" t="s">
        <v>40</v>
      </c>
      <c r="T242">
        <v>120</v>
      </c>
      <c r="U242">
        <v>119</v>
      </c>
      <c r="V242">
        <v>1059860</v>
      </c>
      <c r="W242" t="s">
        <v>46</v>
      </c>
      <c r="Z242">
        <v>55</v>
      </c>
      <c r="AA242">
        <v>45</v>
      </c>
      <c r="AB242">
        <v>50</v>
      </c>
      <c r="AC242">
        <v>45</v>
      </c>
      <c r="AD242">
        <v>65</v>
      </c>
      <c r="AE242">
        <v>80</v>
      </c>
      <c r="AF242">
        <v>340</v>
      </c>
      <c r="AG242">
        <v>0</v>
      </c>
      <c r="AH242">
        <v>0</v>
      </c>
      <c r="AI242">
        <v>0</v>
      </c>
      <c r="AJ242">
        <v>0</v>
      </c>
      <c r="AK242">
        <v>0</v>
      </c>
      <c r="AL242">
        <v>2</v>
      </c>
    </row>
    <row r="243" spans="1:38" x14ac:dyDescent="0.25">
      <c r="A243" t="s">
        <v>704</v>
      </c>
      <c r="B243" t="s">
        <v>704</v>
      </c>
      <c r="C243" s="1">
        <v>189</v>
      </c>
      <c r="D243" s="1" t="s">
        <v>703</v>
      </c>
      <c r="E243">
        <v>2</v>
      </c>
      <c r="F243">
        <v>0.8</v>
      </c>
      <c r="G243">
        <v>3</v>
      </c>
      <c r="H243" t="s">
        <v>40</v>
      </c>
      <c r="I243" t="s">
        <v>66</v>
      </c>
      <c r="J243" t="s">
        <v>43</v>
      </c>
      <c r="K243" t="s">
        <v>495</v>
      </c>
      <c r="L243" t="s">
        <v>222</v>
      </c>
      <c r="M243" t="s">
        <v>79</v>
      </c>
      <c r="N243">
        <v>50</v>
      </c>
      <c r="O243">
        <v>50</v>
      </c>
      <c r="P243">
        <v>0</v>
      </c>
      <c r="Q243">
        <v>20</v>
      </c>
      <c r="R243" t="s">
        <v>157</v>
      </c>
      <c r="S243" t="s">
        <v>40</v>
      </c>
      <c r="T243">
        <v>45</v>
      </c>
      <c r="U243">
        <v>230</v>
      </c>
      <c r="V243">
        <v>1059860</v>
      </c>
      <c r="W243" t="s">
        <v>46</v>
      </c>
      <c r="Z243">
        <v>75</v>
      </c>
      <c r="AA243">
        <v>55</v>
      </c>
      <c r="AB243">
        <v>70</v>
      </c>
      <c r="AC243">
        <v>55</v>
      </c>
      <c r="AD243">
        <v>95</v>
      </c>
      <c r="AE243">
        <v>110</v>
      </c>
      <c r="AF243">
        <v>460</v>
      </c>
      <c r="AG243">
        <v>0</v>
      </c>
      <c r="AH243">
        <v>0</v>
      </c>
      <c r="AI243">
        <v>0</v>
      </c>
      <c r="AJ243">
        <v>0</v>
      </c>
      <c r="AK243">
        <v>0</v>
      </c>
      <c r="AL243">
        <v>3</v>
      </c>
    </row>
    <row r="244" spans="1:38" x14ac:dyDescent="0.25">
      <c r="A244" t="s">
        <v>706</v>
      </c>
      <c r="B244" t="s">
        <v>706</v>
      </c>
      <c r="C244" s="1">
        <v>190</v>
      </c>
      <c r="D244" s="1" t="s">
        <v>705</v>
      </c>
      <c r="E244">
        <v>2</v>
      </c>
      <c r="F244">
        <v>0.8</v>
      </c>
      <c r="G244">
        <v>11.5</v>
      </c>
      <c r="H244" t="s">
        <v>116</v>
      </c>
      <c r="J244" t="s">
        <v>92</v>
      </c>
      <c r="K244" t="s">
        <v>257</v>
      </c>
      <c r="L244" t="s">
        <v>413</v>
      </c>
      <c r="M244" t="s">
        <v>131</v>
      </c>
      <c r="N244">
        <v>50</v>
      </c>
      <c r="O244">
        <v>50</v>
      </c>
      <c r="P244">
        <v>0</v>
      </c>
      <c r="Q244">
        <v>20</v>
      </c>
      <c r="R244" t="s">
        <v>132</v>
      </c>
      <c r="T244">
        <v>45</v>
      </c>
      <c r="U244">
        <v>72</v>
      </c>
      <c r="V244">
        <v>800000</v>
      </c>
      <c r="W244" t="s">
        <v>46</v>
      </c>
      <c r="Z244">
        <v>55</v>
      </c>
      <c r="AA244">
        <v>70</v>
      </c>
      <c r="AB244">
        <v>55</v>
      </c>
      <c r="AC244">
        <v>40</v>
      </c>
      <c r="AD244">
        <v>55</v>
      </c>
      <c r="AE244">
        <v>85</v>
      </c>
      <c r="AF244">
        <v>360</v>
      </c>
      <c r="AG244">
        <v>0</v>
      </c>
      <c r="AH244">
        <v>0</v>
      </c>
      <c r="AI244">
        <v>0</v>
      </c>
      <c r="AJ244">
        <v>0</v>
      </c>
      <c r="AK244">
        <v>0</v>
      </c>
      <c r="AL244">
        <v>1</v>
      </c>
    </row>
    <row r="245" spans="1:38" x14ac:dyDescent="0.25">
      <c r="A245" t="s">
        <v>708</v>
      </c>
      <c r="B245" t="s">
        <v>708</v>
      </c>
      <c r="C245" s="1">
        <v>191</v>
      </c>
      <c r="D245" s="1" t="s">
        <v>707</v>
      </c>
      <c r="E245">
        <v>2</v>
      </c>
      <c r="F245">
        <v>0.3</v>
      </c>
      <c r="G245">
        <v>1.8</v>
      </c>
      <c r="H245" t="s">
        <v>40</v>
      </c>
      <c r="J245" t="s">
        <v>43</v>
      </c>
      <c r="K245" t="s">
        <v>59</v>
      </c>
      <c r="L245" t="s">
        <v>390</v>
      </c>
      <c r="M245" t="s">
        <v>106</v>
      </c>
      <c r="N245">
        <v>50</v>
      </c>
      <c r="O245">
        <v>50</v>
      </c>
      <c r="P245">
        <v>0</v>
      </c>
      <c r="Q245">
        <v>20</v>
      </c>
      <c r="R245" t="s">
        <v>40</v>
      </c>
      <c r="T245">
        <v>235</v>
      </c>
      <c r="U245">
        <v>36</v>
      </c>
      <c r="V245">
        <v>1059860</v>
      </c>
      <c r="W245" t="s">
        <v>46</v>
      </c>
      <c r="Z245">
        <v>30</v>
      </c>
      <c r="AA245">
        <v>30</v>
      </c>
      <c r="AB245">
        <v>30</v>
      </c>
      <c r="AC245">
        <v>30</v>
      </c>
      <c r="AD245">
        <v>30</v>
      </c>
      <c r="AE245">
        <v>30</v>
      </c>
      <c r="AF245">
        <v>180</v>
      </c>
      <c r="AG245">
        <v>0</v>
      </c>
      <c r="AH245">
        <v>0</v>
      </c>
      <c r="AI245">
        <v>0</v>
      </c>
      <c r="AJ245">
        <v>1</v>
      </c>
      <c r="AK245">
        <v>0</v>
      </c>
      <c r="AL245">
        <v>0</v>
      </c>
    </row>
    <row r="246" spans="1:38" x14ac:dyDescent="0.25">
      <c r="A246" t="s">
        <v>710</v>
      </c>
      <c r="B246" t="s">
        <v>710</v>
      </c>
      <c r="C246" s="1">
        <v>192</v>
      </c>
      <c r="D246" s="1" t="s">
        <v>709</v>
      </c>
      <c r="E246">
        <v>2</v>
      </c>
      <c r="F246">
        <v>0.8</v>
      </c>
      <c r="G246">
        <v>8.5</v>
      </c>
      <c r="H246" t="s">
        <v>40</v>
      </c>
      <c r="J246" t="s">
        <v>43</v>
      </c>
      <c r="K246" t="s">
        <v>59</v>
      </c>
      <c r="L246" t="s">
        <v>390</v>
      </c>
      <c r="M246" t="s">
        <v>106</v>
      </c>
      <c r="N246">
        <v>50</v>
      </c>
      <c r="O246">
        <v>50</v>
      </c>
      <c r="P246">
        <v>0</v>
      </c>
      <c r="Q246">
        <v>20</v>
      </c>
      <c r="R246" t="s">
        <v>40</v>
      </c>
      <c r="T246">
        <v>120</v>
      </c>
      <c r="U246">
        <v>149</v>
      </c>
      <c r="V246">
        <v>1059860</v>
      </c>
      <c r="W246" t="s">
        <v>46</v>
      </c>
      <c r="Z246">
        <v>75</v>
      </c>
      <c r="AA246">
        <v>75</v>
      </c>
      <c r="AB246">
        <v>55</v>
      </c>
      <c r="AC246">
        <v>105</v>
      </c>
      <c r="AD246">
        <v>85</v>
      </c>
      <c r="AE246">
        <v>30</v>
      </c>
      <c r="AF246">
        <v>425</v>
      </c>
      <c r="AG246">
        <v>0</v>
      </c>
      <c r="AH246">
        <v>0</v>
      </c>
      <c r="AI246">
        <v>0</v>
      </c>
      <c r="AJ246">
        <v>2</v>
      </c>
      <c r="AK246">
        <v>0</v>
      </c>
      <c r="AL246">
        <v>0</v>
      </c>
    </row>
    <row r="247" spans="1:38" x14ac:dyDescent="0.25">
      <c r="A247" t="s">
        <v>712</v>
      </c>
      <c r="B247" t="s">
        <v>712</v>
      </c>
      <c r="C247" s="1">
        <v>193</v>
      </c>
      <c r="D247" s="1" t="s">
        <v>711</v>
      </c>
      <c r="E247">
        <v>2</v>
      </c>
      <c r="F247">
        <v>1.2</v>
      </c>
      <c r="G247">
        <v>38</v>
      </c>
      <c r="H247" t="s">
        <v>90</v>
      </c>
      <c r="I247" t="s">
        <v>66</v>
      </c>
      <c r="J247" t="s">
        <v>713</v>
      </c>
      <c r="K247" t="s">
        <v>98</v>
      </c>
      <c r="L247" t="s">
        <v>218</v>
      </c>
      <c r="M247" t="s">
        <v>60</v>
      </c>
      <c r="N247">
        <v>50</v>
      </c>
      <c r="O247">
        <v>50</v>
      </c>
      <c r="P247">
        <v>0</v>
      </c>
      <c r="Q247">
        <v>20</v>
      </c>
      <c r="R247" t="s">
        <v>90</v>
      </c>
      <c r="T247">
        <v>75</v>
      </c>
      <c r="U247">
        <v>78</v>
      </c>
      <c r="V247">
        <v>1000000</v>
      </c>
      <c r="W247" t="s">
        <v>46</v>
      </c>
      <c r="Z247">
        <v>65</v>
      </c>
      <c r="AA247">
        <v>65</v>
      </c>
      <c r="AB247">
        <v>45</v>
      </c>
      <c r="AC247">
        <v>75</v>
      </c>
      <c r="AD247">
        <v>45</v>
      </c>
      <c r="AE247">
        <v>95</v>
      </c>
      <c r="AF247">
        <v>390</v>
      </c>
      <c r="AG247">
        <v>0</v>
      </c>
      <c r="AH247">
        <v>0</v>
      </c>
      <c r="AI247">
        <v>0</v>
      </c>
      <c r="AJ247">
        <v>0</v>
      </c>
      <c r="AK247">
        <v>0</v>
      </c>
      <c r="AL247">
        <v>1</v>
      </c>
    </row>
    <row r="248" spans="1:38" x14ac:dyDescent="0.25">
      <c r="A248" t="s">
        <v>715</v>
      </c>
      <c r="B248" t="s">
        <v>716</v>
      </c>
      <c r="C248" s="1">
        <v>194</v>
      </c>
      <c r="D248" s="1" t="s">
        <v>714</v>
      </c>
      <c r="E248">
        <v>9</v>
      </c>
      <c r="F248">
        <v>0.4</v>
      </c>
      <c r="G248">
        <v>11</v>
      </c>
      <c r="H248" t="s">
        <v>41</v>
      </c>
      <c r="I248" t="s">
        <v>132</v>
      </c>
      <c r="J248" t="s">
        <v>180</v>
      </c>
      <c r="K248" t="s">
        <v>299</v>
      </c>
      <c r="L248" t="s">
        <v>202</v>
      </c>
      <c r="M248" t="s">
        <v>79</v>
      </c>
      <c r="N248">
        <v>50</v>
      </c>
      <c r="O248">
        <v>50</v>
      </c>
      <c r="P248">
        <v>0</v>
      </c>
      <c r="Q248">
        <v>20</v>
      </c>
      <c r="R248" t="s">
        <v>80</v>
      </c>
      <c r="S248" t="s">
        <v>132</v>
      </c>
      <c r="T248">
        <v>255</v>
      </c>
      <c r="U248">
        <v>42</v>
      </c>
      <c r="V248">
        <v>1000000</v>
      </c>
      <c r="W248" t="s">
        <v>46</v>
      </c>
      <c r="Y248" t="s">
        <v>544</v>
      </c>
      <c r="Z248">
        <v>55</v>
      </c>
      <c r="AA248">
        <v>45</v>
      </c>
      <c r="AB248">
        <v>45</v>
      </c>
      <c r="AC248">
        <v>25</v>
      </c>
      <c r="AD248">
        <v>25</v>
      </c>
      <c r="AE248">
        <v>15</v>
      </c>
      <c r="AF248">
        <v>210</v>
      </c>
      <c r="AG248">
        <v>1</v>
      </c>
      <c r="AH248">
        <v>0</v>
      </c>
      <c r="AI248">
        <v>0</v>
      </c>
      <c r="AJ248">
        <v>0</v>
      </c>
      <c r="AK248">
        <v>0</v>
      </c>
      <c r="AL248">
        <v>0</v>
      </c>
    </row>
    <row r="249" spans="1:38" x14ac:dyDescent="0.25">
      <c r="A249" t="s">
        <v>715</v>
      </c>
      <c r="B249" t="s">
        <v>715</v>
      </c>
      <c r="C249" s="1">
        <v>194</v>
      </c>
      <c r="D249" s="1" t="s">
        <v>717</v>
      </c>
      <c r="E249">
        <v>2</v>
      </c>
      <c r="F249">
        <v>0.4</v>
      </c>
      <c r="G249">
        <v>8.5</v>
      </c>
      <c r="H249" t="s">
        <v>76</v>
      </c>
      <c r="I249" t="s">
        <v>132</v>
      </c>
      <c r="J249" t="s">
        <v>236</v>
      </c>
      <c r="K249" t="s">
        <v>299</v>
      </c>
      <c r="L249" t="s">
        <v>202</v>
      </c>
      <c r="M249" t="s">
        <v>79</v>
      </c>
      <c r="N249">
        <v>50</v>
      </c>
      <c r="O249">
        <v>50</v>
      </c>
      <c r="P249">
        <v>0</v>
      </c>
      <c r="Q249">
        <v>20</v>
      </c>
      <c r="R249" t="s">
        <v>80</v>
      </c>
      <c r="S249" t="s">
        <v>132</v>
      </c>
      <c r="T249">
        <v>255</v>
      </c>
      <c r="U249">
        <v>42</v>
      </c>
      <c r="V249">
        <v>1000000</v>
      </c>
      <c r="W249" t="s">
        <v>46</v>
      </c>
      <c r="Z249">
        <v>55</v>
      </c>
      <c r="AA249">
        <v>45</v>
      </c>
      <c r="AB249">
        <v>45</v>
      </c>
      <c r="AC249">
        <v>25</v>
      </c>
      <c r="AD249">
        <v>25</v>
      </c>
      <c r="AE249">
        <v>15</v>
      </c>
      <c r="AF249">
        <v>210</v>
      </c>
      <c r="AG249">
        <v>1</v>
      </c>
      <c r="AH249">
        <v>0</v>
      </c>
      <c r="AI249">
        <v>0</v>
      </c>
      <c r="AJ249">
        <v>0</v>
      </c>
      <c r="AK249">
        <v>0</v>
      </c>
      <c r="AL249">
        <v>0</v>
      </c>
    </row>
    <row r="250" spans="1:38" x14ac:dyDescent="0.25">
      <c r="A250" t="s">
        <v>719</v>
      </c>
      <c r="B250" t="s">
        <v>719</v>
      </c>
      <c r="C250" s="1">
        <v>195</v>
      </c>
      <c r="D250" s="1" t="s">
        <v>718</v>
      </c>
      <c r="E250">
        <v>2</v>
      </c>
      <c r="F250">
        <v>1.4</v>
      </c>
      <c r="G250">
        <v>75</v>
      </c>
      <c r="H250" t="s">
        <v>76</v>
      </c>
      <c r="I250" t="s">
        <v>132</v>
      </c>
      <c r="J250" t="s">
        <v>236</v>
      </c>
      <c r="K250" t="s">
        <v>299</v>
      </c>
      <c r="L250" t="s">
        <v>202</v>
      </c>
      <c r="M250" t="s">
        <v>79</v>
      </c>
      <c r="N250">
        <v>50</v>
      </c>
      <c r="O250">
        <v>50</v>
      </c>
      <c r="P250">
        <v>0</v>
      </c>
      <c r="Q250">
        <v>20</v>
      </c>
      <c r="R250" t="s">
        <v>80</v>
      </c>
      <c r="S250" t="s">
        <v>132</v>
      </c>
      <c r="T250">
        <v>90</v>
      </c>
      <c r="U250">
        <v>151</v>
      </c>
      <c r="V250">
        <v>1000000</v>
      </c>
      <c r="W250" t="s">
        <v>46</v>
      </c>
      <c r="Z250">
        <v>95</v>
      </c>
      <c r="AA250">
        <v>85</v>
      </c>
      <c r="AB250">
        <v>85</v>
      </c>
      <c r="AC250">
        <v>65</v>
      </c>
      <c r="AD250">
        <v>65</v>
      </c>
      <c r="AE250">
        <v>35</v>
      </c>
      <c r="AF250">
        <v>430</v>
      </c>
      <c r="AG250">
        <v>2</v>
      </c>
      <c r="AH250">
        <v>0</v>
      </c>
      <c r="AI250">
        <v>0</v>
      </c>
      <c r="AJ250">
        <v>0</v>
      </c>
      <c r="AK250">
        <v>0</v>
      </c>
      <c r="AL250">
        <v>0</v>
      </c>
    </row>
    <row r="251" spans="1:38" x14ac:dyDescent="0.25">
      <c r="A251" t="s">
        <v>721</v>
      </c>
      <c r="B251" t="s">
        <v>721</v>
      </c>
      <c r="C251" s="1">
        <v>196</v>
      </c>
      <c r="D251" s="1" t="s">
        <v>720</v>
      </c>
      <c r="E251">
        <v>2</v>
      </c>
      <c r="F251">
        <v>0.9</v>
      </c>
      <c r="G251">
        <v>26.5</v>
      </c>
      <c r="H251" t="s">
        <v>162</v>
      </c>
      <c r="J251" t="s">
        <v>306</v>
      </c>
      <c r="L251" t="s">
        <v>674</v>
      </c>
      <c r="M251" t="s">
        <v>131</v>
      </c>
      <c r="N251">
        <v>87.5</v>
      </c>
      <c r="O251">
        <v>12.5</v>
      </c>
      <c r="P251">
        <v>0</v>
      </c>
      <c r="Q251">
        <v>35</v>
      </c>
      <c r="R251" t="s">
        <v>132</v>
      </c>
      <c r="T251">
        <v>45</v>
      </c>
      <c r="U251">
        <v>184</v>
      </c>
      <c r="V251">
        <v>1000000</v>
      </c>
      <c r="W251" t="s">
        <v>46</v>
      </c>
      <c r="Z251">
        <v>65</v>
      </c>
      <c r="AA251">
        <v>65</v>
      </c>
      <c r="AB251">
        <v>60</v>
      </c>
      <c r="AC251">
        <v>130</v>
      </c>
      <c r="AD251">
        <v>95</v>
      </c>
      <c r="AE251">
        <v>110</v>
      </c>
      <c r="AF251">
        <v>525</v>
      </c>
      <c r="AG251">
        <v>0</v>
      </c>
      <c r="AH251">
        <v>0</v>
      </c>
      <c r="AI251">
        <v>0</v>
      </c>
      <c r="AJ251">
        <v>2</v>
      </c>
      <c r="AK251">
        <v>0</v>
      </c>
      <c r="AL251">
        <v>0</v>
      </c>
    </row>
    <row r="252" spans="1:38" x14ac:dyDescent="0.25">
      <c r="A252" t="s">
        <v>723</v>
      </c>
      <c r="B252" t="s">
        <v>723</v>
      </c>
      <c r="C252" s="1">
        <v>197</v>
      </c>
      <c r="D252" s="1" t="s">
        <v>722</v>
      </c>
      <c r="E252">
        <v>2</v>
      </c>
      <c r="F252">
        <v>1</v>
      </c>
      <c r="G252">
        <v>27</v>
      </c>
      <c r="H252" t="s">
        <v>135</v>
      </c>
      <c r="J252" t="s">
        <v>306</v>
      </c>
      <c r="L252" t="s">
        <v>221</v>
      </c>
      <c r="M252" t="s">
        <v>70</v>
      </c>
      <c r="N252">
        <v>87.5</v>
      </c>
      <c r="O252">
        <v>12.5</v>
      </c>
      <c r="P252">
        <v>0</v>
      </c>
      <c r="Q252">
        <v>35</v>
      </c>
      <c r="R252" t="s">
        <v>132</v>
      </c>
      <c r="T252">
        <v>45</v>
      </c>
      <c r="U252">
        <v>184</v>
      </c>
      <c r="V252">
        <v>1000000</v>
      </c>
      <c r="W252" t="s">
        <v>46</v>
      </c>
      <c r="Z252">
        <v>95</v>
      </c>
      <c r="AA252">
        <v>65</v>
      </c>
      <c r="AB252">
        <v>110</v>
      </c>
      <c r="AC252">
        <v>60</v>
      </c>
      <c r="AD252">
        <v>130</v>
      </c>
      <c r="AE252">
        <v>65</v>
      </c>
      <c r="AF252">
        <v>525</v>
      </c>
      <c r="AG252">
        <v>0</v>
      </c>
      <c r="AH252">
        <v>0</v>
      </c>
      <c r="AI252">
        <v>0</v>
      </c>
      <c r="AJ252">
        <v>0</v>
      </c>
      <c r="AK252">
        <v>2</v>
      </c>
      <c r="AL252">
        <v>0</v>
      </c>
    </row>
    <row r="253" spans="1:38" x14ac:dyDescent="0.25">
      <c r="A253" t="s">
        <v>725</v>
      </c>
      <c r="B253" t="s">
        <v>725</v>
      </c>
      <c r="C253" s="1">
        <v>198</v>
      </c>
      <c r="D253" s="1" t="s">
        <v>724</v>
      </c>
      <c r="E253">
        <v>2</v>
      </c>
      <c r="F253">
        <v>0.5</v>
      </c>
      <c r="G253">
        <v>2.1</v>
      </c>
      <c r="H253" t="s">
        <v>135</v>
      </c>
      <c r="I253" t="s">
        <v>66</v>
      </c>
      <c r="J253" t="s">
        <v>434</v>
      </c>
      <c r="K253" t="s">
        <v>669</v>
      </c>
      <c r="L253" t="s">
        <v>726</v>
      </c>
      <c r="M253" t="s">
        <v>70</v>
      </c>
      <c r="N253">
        <v>50</v>
      </c>
      <c r="O253">
        <v>50</v>
      </c>
      <c r="P253">
        <v>0</v>
      </c>
      <c r="Q253">
        <v>20</v>
      </c>
      <c r="R253" t="s">
        <v>66</v>
      </c>
      <c r="T253">
        <v>30</v>
      </c>
      <c r="U253">
        <v>81</v>
      </c>
      <c r="V253">
        <v>1059860</v>
      </c>
      <c r="W253" t="s">
        <v>46</v>
      </c>
      <c r="Z253">
        <v>60</v>
      </c>
      <c r="AA253">
        <v>85</v>
      </c>
      <c r="AB253">
        <v>42</v>
      </c>
      <c r="AC253">
        <v>85</v>
      </c>
      <c r="AD253">
        <v>42</v>
      </c>
      <c r="AE253">
        <v>91</v>
      </c>
      <c r="AF253">
        <v>405</v>
      </c>
      <c r="AG253">
        <v>0</v>
      </c>
      <c r="AH253">
        <v>0</v>
      </c>
      <c r="AI253">
        <v>0</v>
      </c>
      <c r="AJ253">
        <v>0</v>
      </c>
      <c r="AK253">
        <v>0</v>
      </c>
      <c r="AL253">
        <v>1</v>
      </c>
    </row>
    <row r="254" spans="1:38" x14ac:dyDescent="0.25">
      <c r="A254" t="s">
        <v>728</v>
      </c>
      <c r="B254" t="s">
        <v>728</v>
      </c>
      <c r="C254" s="1">
        <v>199</v>
      </c>
      <c r="D254" s="1" t="s">
        <v>727</v>
      </c>
      <c r="E254">
        <v>2</v>
      </c>
      <c r="F254">
        <v>2</v>
      </c>
      <c r="G254">
        <v>79.5</v>
      </c>
      <c r="H254" t="s">
        <v>76</v>
      </c>
      <c r="I254" t="s">
        <v>162</v>
      </c>
      <c r="J254" t="s">
        <v>365</v>
      </c>
      <c r="K254" t="s">
        <v>366</v>
      </c>
      <c r="L254" t="s">
        <v>367</v>
      </c>
      <c r="M254" t="s">
        <v>199</v>
      </c>
      <c r="N254">
        <v>50</v>
      </c>
      <c r="O254">
        <v>50</v>
      </c>
      <c r="P254">
        <v>0</v>
      </c>
      <c r="Q254">
        <v>20</v>
      </c>
      <c r="R254" t="s">
        <v>45</v>
      </c>
      <c r="S254" t="s">
        <v>80</v>
      </c>
      <c r="T254">
        <v>70</v>
      </c>
      <c r="U254">
        <v>172</v>
      </c>
      <c r="V254">
        <v>1000000</v>
      </c>
      <c r="W254" t="s">
        <v>46</v>
      </c>
      <c r="Z254">
        <v>95</v>
      </c>
      <c r="AA254">
        <v>75</v>
      </c>
      <c r="AB254">
        <v>80</v>
      </c>
      <c r="AC254">
        <v>100</v>
      </c>
      <c r="AD254">
        <v>110</v>
      </c>
      <c r="AE254">
        <v>30</v>
      </c>
      <c r="AF254">
        <v>490</v>
      </c>
      <c r="AG254">
        <v>0</v>
      </c>
      <c r="AH254">
        <v>0</v>
      </c>
      <c r="AI254">
        <v>0</v>
      </c>
      <c r="AJ254">
        <v>0</v>
      </c>
      <c r="AK254">
        <v>2</v>
      </c>
      <c r="AL254">
        <v>0</v>
      </c>
    </row>
    <row r="255" spans="1:38" x14ac:dyDescent="0.25">
      <c r="A255" t="s">
        <v>728</v>
      </c>
      <c r="B255" t="s">
        <v>730</v>
      </c>
      <c r="C255" s="1">
        <v>199</v>
      </c>
      <c r="D255" s="1" t="s">
        <v>729</v>
      </c>
      <c r="E255">
        <v>8</v>
      </c>
      <c r="F255">
        <v>1.8</v>
      </c>
      <c r="G255">
        <v>79.5</v>
      </c>
      <c r="H255" t="s">
        <v>41</v>
      </c>
      <c r="I255" t="s">
        <v>162</v>
      </c>
      <c r="J255" t="s">
        <v>731</v>
      </c>
      <c r="K255" t="s">
        <v>366</v>
      </c>
      <c r="L255" t="s">
        <v>367</v>
      </c>
      <c r="M255" t="s">
        <v>199</v>
      </c>
      <c r="N255">
        <v>50</v>
      </c>
      <c r="O255">
        <v>50</v>
      </c>
      <c r="P255">
        <v>0</v>
      </c>
      <c r="Q255">
        <v>20</v>
      </c>
      <c r="R255" t="s">
        <v>45</v>
      </c>
      <c r="S255" t="s">
        <v>80</v>
      </c>
      <c r="T255">
        <v>70</v>
      </c>
      <c r="U255">
        <v>172</v>
      </c>
      <c r="V255">
        <v>1000000</v>
      </c>
      <c r="W255" t="s">
        <v>46</v>
      </c>
      <c r="Y255" t="s">
        <v>264</v>
      </c>
      <c r="Z255">
        <v>95</v>
      </c>
      <c r="AA255">
        <v>65</v>
      </c>
      <c r="AB255">
        <v>80</v>
      </c>
      <c r="AC255">
        <v>110</v>
      </c>
      <c r="AD255">
        <v>110</v>
      </c>
      <c r="AE255">
        <v>30</v>
      </c>
      <c r="AF255">
        <v>490</v>
      </c>
      <c r="AG255">
        <v>0</v>
      </c>
      <c r="AH255">
        <v>0</v>
      </c>
      <c r="AI255">
        <v>0</v>
      </c>
      <c r="AJ255">
        <v>0</v>
      </c>
      <c r="AK255">
        <v>2</v>
      </c>
      <c r="AL255">
        <v>0</v>
      </c>
    </row>
    <row r="256" spans="1:38" x14ac:dyDescent="0.25">
      <c r="A256" t="s">
        <v>733</v>
      </c>
      <c r="B256" t="s">
        <v>733</v>
      </c>
      <c r="C256" s="1">
        <v>200</v>
      </c>
      <c r="D256" s="1" t="s">
        <v>732</v>
      </c>
      <c r="E256">
        <v>2</v>
      </c>
      <c r="F256">
        <v>0.7</v>
      </c>
      <c r="G256">
        <v>1</v>
      </c>
      <c r="H256" t="s">
        <v>419</v>
      </c>
      <c r="J256" t="s">
        <v>420</v>
      </c>
      <c r="M256" t="s">
        <v>318</v>
      </c>
      <c r="N256">
        <v>50</v>
      </c>
      <c r="O256">
        <v>50</v>
      </c>
      <c r="P256">
        <v>0</v>
      </c>
      <c r="Q256">
        <v>25</v>
      </c>
      <c r="R256" t="s">
        <v>403</v>
      </c>
      <c r="T256">
        <v>45</v>
      </c>
      <c r="U256">
        <v>87</v>
      </c>
      <c r="V256">
        <v>800000</v>
      </c>
      <c r="W256" t="s">
        <v>46</v>
      </c>
      <c r="Z256">
        <v>60</v>
      </c>
      <c r="AA256">
        <v>60</v>
      </c>
      <c r="AB256">
        <v>60</v>
      </c>
      <c r="AC256">
        <v>85</v>
      </c>
      <c r="AD256">
        <v>85</v>
      </c>
      <c r="AE256">
        <v>85</v>
      </c>
      <c r="AF256">
        <v>435</v>
      </c>
      <c r="AG256">
        <v>0</v>
      </c>
      <c r="AH256">
        <v>0</v>
      </c>
      <c r="AI256">
        <v>0</v>
      </c>
      <c r="AJ256">
        <v>0</v>
      </c>
      <c r="AK256">
        <v>1</v>
      </c>
      <c r="AL256">
        <v>0</v>
      </c>
    </row>
    <row r="257" spans="1:38" x14ac:dyDescent="0.25">
      <c r="A257" t="s">
        <v>735</v>
      </c>
      <c r="B257" t="s">
        <v>735</v>
      </c>
      <c r="C257" s="1">
        <v>201</v>
      </c>
      <c r="D257" s="1" t="s">
        <v>734</v>
      </c>
      <c r="E257">
        <v>2</v>
      </c>
      <c r="F257">
        <v>0.5</v>
      </c>
      <c r="G257">
        <v>5</v>
      </c>
      <c r="H257" t="s">
        <v>162</v>
      </c>
      <c r="J257" t="s">
        <v>420</v>
      </c>
      <c r="M257" t="s">
        <v>70</v>
      </c>
      <c r="N257">
        <v>0</v>
      </c>
      <c r="O257">
        <v>0</v>
      </c>
      <c r="P257">
        <v>100</v>
      </c>
      <c r="Q257">
        <v>40</v>
      </c>
      <c r="R257" t="s">
        <v>184</v>
      </c>
      <c r="T257">
        <v>225</v>
      </c>
      <c r="U257">
        <v>118</v>
      </c>
      <c r="V257">
        <v>1000000</v>
      </c>
      <c r="W257" t="s">
        <v>46</v>
      </c>
      <c r="Z257">
        <v>48</v>
      </c>
      <c r="AA257">
        <v>72</v>
      </c>
      <c r="AB257">
        <v>48</v>
      </c>
      <c r="AC257">
        <v>72</v>
      </c>
      <c r="AD257">
        <v>48</v>
      </c>
      <c r="AE257">
        <v>48</v>
      </c>
      <c r="AF257">
        <v>336</v>
      </c>
      <c r="AG257">
        <v>0</v>
      </c>
      <c r="AH257">
        <v>1</v>
      </c>
      <c r="AI257">
        <v>0</v>
      </c>
      <c r="AJ257">
        <v>1</v>
      </c>
      <c r="AK257">
        <v>0</v>
      </c>
      <c r="AL257">
        <v>0</v>
      </c>
    </row>
    <row r="258" spans="1:38" x14ac:dyDescent="0.25">
      <c r="A258" t="s">
        <v>737</v>
      </c>
      <c r="B258" t="s">
        <v>737</v>
      </c>
      <c r="C258" s="1">
        <v>202</v>
      </c>
      <c r="D258" s="1" t="s">
        <v>736</v>
      </c>
      <c r="E258">
        <v>2</v>
      </c>
      <c r="F258">
        <v>1.3</v>
      </c>
      <c r="G258">
        <v>28.5</v>
      </c>
      <c r="H258" t="s">
        <v>162</v>
      </c>
      <c r="J258" t="s">
        <v>428</v>
      </c>
      <c r="L258" t="s">
        <v>738</v>
      </c>
      <c r="M258" t="s">
        <v>79</v>
      </c>
      <c r="N258">
        <v>50</v>
      </c>
      <c r="O258">
        <v>50</v>
      </c>
      <c r="P258">
        <v>0</v>
      </c>
      <c r="Q258">
        <v>20</v>
      </c>
      <c r="R258" t="s">
        <v>403</v>
      </c>
      <c r="T258">
        <v>45</v>
      </c>
      <c r="U258">
        <v>142</v>
      </c>
      <c r="V258">
        <v>1000000</v>
      </c>
      <c r="W258" t="s">
        <v>46</v>
      </c>
      <c r="Z258">
        <v>190</v>
      </c>
      <c r="AA258">
        <v>33</v>
      </c>
      <c r="AB258">
        <v>58</v>
      </c>
      <c r="AC258">
        <v>33</v>
      </c>
      <c r="AD258">
        <v>58</v>
      </c>
      <c r="AE258">
        <v>33</v>
      </c>
      <c r="AF258">
        <v>405</v>
      </c>
      <c r="AG258">
        <v>2</v>
      </c>
      <c r="AH258">
        <v>0</v>
      </c>
      <c r="AI258">
        <v>0</v>
      </c>
      <c r="AJ258">
        <v>0</v>
      </c>
      <c r="AK258">
        <v>0</v>
      </c>
      <c r="AL258">
        <v>0</v>
      </c>
    </row>
    <row r="259" spans="1:38" x14ac:dyDescent="0.25">
      <c r="A259" t="s">
        <v>740</v>
      </c>
      <c r="B259" t="s">
        <v>740</v>
      </c>
      <c r="C259" s="1">
        <v>203</v>
      </c>
      <c r="D259" s="1" t="s">
        <v>739</v>
      </c>
      <c r="E259">
        <v>2</v>
      </c>
      <c r="F259">
        <v>1.5</v>
      </c>
      <c r="G259">
        <v>41.5</v>
      </c>
      <c r="H259" t="s">
        <v>116</v>
      </c>
      <c r="I259" t="s">
        <v>162</v>
      </c>
      <c r="J259" t="s">
        <v>221</v>
      </c>
      <c r="K259" t="s">
        <v>390</v>
      </c>
      <c r="L259" t="s">
        <v>691</v>
      </c>
      <c r="M259" t="s">
        <v>106</v>
      </c>
      <c r="N259">
        <v>50</v>
      </c>
      <c r="O259">
        <v>50</v>
      </c>
      <c r="P259">
        <v>0</v>
      </c>
      <c r="Q259">
        <v>20</v>
      </c>
      <c r="R259" t="s">
        <v>132</v>
      </c>
      <c r="T259">
        <v>60</v>
      </c>
      <c r="U259">
        <v>159</v>
      </c>
      <c r="V259">
        <v>1000000</v>
      </c>
      <c r="W259" t="s">
        <v>46</v>
      </c>
      <c r="Z259">
        <v>70</v>
      </c>
      <c r="AA259">
        <v>80</v>
      </c>
      <c r="AB259">
        <v>65</v>
      </c>
      <c r="AC259">
        <v>90</v>
      </c>
      <c r="AD259">
        <v>65</v>
      </c>
      <c r="AE259">
        <v>85</v>
      </c>
      <c r="AF259">
        <v>455</v>
      </c>
      <c r="AG259">
        <v>0</v>
      </c>
      <c r="AH259">
        <v>0</v>
      </c>
      <c r="AI259">
        <v>0</v>
      </c>
      <c r="AJ259">
        <v>2</v>
      </c>
      <c r="AK259">
        <v>0</v>
      </c>
      <c r="AL259">
        <v>0</v>
      </c>
    </row>
    <row r="260" spans="1:38" x14ac:dyDescent="0.25">
      <c r="A260" t="s">
        <v>742</v>
      </c>
      <c r="B260" t="s">
        <v>742</v>
      </c>
      <c r="C260" s="1">
        <v>204</v>
      </c>
      <c r="D260" s="1" t="s">
        <v>741</v>
      </c>
      <c r="E260">
        <v>2</v>
      </c>
      <c r="F260">
        <v>0.6</v>
      </c>
      <c r="G260">
        <v>7.2</v>
      </c>
      <c r="H260" t="s">
        <v>90</v>
      </c>
      <c r="J260" t="s">
        <v>338</v>
      </c>
      <c r="L260" t="s">
        <v>414</v>
      </c>
      <c r="M260" t="s">
        <v>318</v>
      </c>
      <c r="N260">
        <v>50</v>
      </c>
      <c r="O260">
        <v>50</v>
      </c>
      <c r="P260">
        <v>0</v>
      </c>
      <c r="Q260">
        <v>20</v>
      </c>
      <c r="R260" t="s">
        <v>90</v>
      </c>
      <c r="T260">
        <v>190</v>
      </c>
      <c r="U260">
        <v>58</v>
      </c>
      <c r="V260">
        <v>1000000</v>
      </c>
      <c r="W260" t="s">
        <v>46</v>
      </c>
      <c r="Z260">
        <v>50</v>
      </c>
      <c r="AA260">
        <v>65</v>
      </c>
      <c r="AB260">
        <v>90</v>
      </c>
      <c r="AC260">
        <v>35</v>
      </c>
      <c r="AD260">
        <v>35</v>
      </c>
      <c r="AE260">
        <v>15</v>
      </c>
      <c r="AF260">
        <v>290</v>
      </c>
      <c r="AG260">
        <v>0</v>
      </c>
      <c r="AH260">
        <v>0</v>
      </c>
      <c r="AI260">
        <v>1</v>
      </c>
      <c r="AJ260">
        <v>0</v>
      </c>
      <c r="AK260">
        <v>0</v>
      </c>
      <c r="AL260">
        <v>0</v>
      </c>
    </row>
    <row r="261" spans="1:38" x14ac:dyDescent="0.25">
      <c r="A261" t="s">
        <v>744</v>
      </c>
      <c r="B261" t="s">
        <v>744</v>
      </c>
      <c r="C261" s="1">
        <v>205</v>
      </c>
      <c r="D261" s="1" t="s">
        <v>743</v>
      </c>
      <c r="E261">
        <v>2</v>
      </c>
      <c r="F261">
        <v>1.2</v>
      </c>
      <c r="G261">
        <v>125.8</v>
      </c>
      <c r="H261" t="s">
        <v>90</v>
      </c>
      <c r="I261" t="s">
        <v>171</v>
      </c>
      <c r="J261" t="s">
        <v>338</v>
      </c>
      <c r="L261" t="s">
        <v>414</v>
      </c>
      <c r="M261" t="s">
        <v>131</v>
      </c>
      <c r="N261">
        <v>50</v>
      </c>
      <c r="O261">
        <v>50</v>
      </c>
      <c r="P261">
        <v>0</v>
      </c>
      <c r="Q261">
        <v>20</v>
      </c>
      <c r="R261" t="s">
        <v>90</v>
      </c>
      <c r="T261">
        <v>75</v>
      </c>
      <c r="U261">
        <v>163</v>
      </c>
      <c r="V261">
        <v>1000000</v>
      </c>
      <c r="W261" t="s">
        <v>46</v>
      </c>
      <c r="Z261">
        <v>75</v>
      </c>
      <c r="AA261">
        <v>90</v>
      </c>
      <c r="AB261">
        <v>140</v>
      </c>
      <c r="AC261">
        <v>60</v>
      </c>
      <c r="AD261">
        <v>60</v>
      </c>
      <c r="AE261">
        <v>40</v>
      </c>
      <c r="AF261">
        <v>465</v>
      </c>
      <c r="AG261">
        <v>0</v>
      </c>
      <c r="AH261">
        <v>0</v>
      </c>
      <c r="AI261">
        <v>2</v>
      </c>
      <c r="AJ261">
        <v>0</v>
      </c>
      <c r="AK261">
        <v>0</v>
      </c>
      <c r="AL261">
        <v>0</v>
      </c>
    </row>
    <row r="262" spans="1:38" x14ac:dyDescent="0.25">
      <c r="A262" t="s">
        <v>746</v>
      </c>
      <c r="B262" t="s">
        <v>746</v>
      </c>
      <c r="C262" s="1">
        <v>206</v>
      </c>
      <c r="D262" s="1" t="s">
        <v>745</v>
      </c>
      <c r="E262">
        <v>2</v>
      </c>
      <c r="F262">
        <v>1.5</v>
      </c>
      <c r="G262">
        <v>14</v>
      </c>
      <c r="H262" t="s">
        <v>116</v>
      </c>
      <c r="J262" t="s">
        <v>491</v>
      </c>
      <c r="K262" t="s">
        <v>92</v>
      </c>
      <c r="L262" t="s">
        <v>261</v>
      </c>
      <c r="M262" t="s">
        <v>106</v>
      </c>
      <c r="N262">
        <v>50</v>
      </c>
      <c r="O262">
        <v>50</v>
      </c>
      <c r="P262">
        <v>0</v>
      </c>
      <c r="Q262">
        <v>20</v>
      </c>
      <c r="R262" t="s">
        <v>132</v>
      </c>
      <c r="T262">
        <v>190</v>
      </c>
      <c r="U262">
        <v>145</v>
      </c>
      <c r="V262">
        <v>1000000</v>
      </c>
      <c r="W262" t="s">
        <v>46</v>
      </c>
      <c r="Z262">
        <v>100</v>
      </c>
      <c r="AA262">
        <v>70</v>
      </c>
      <c r="AB262">
        <v>70</v>
      </c>
      <c r="AC262">
        <v>65</v>
      </c>
      <c r="AD262">
        <v>65</v>
      </c>
      <c r="AE262">
        <v>45</v>
      </c>
      <c r="AF262">
        <v>415</v>
      </c>
      <c r="AG262">
        <v>1</v>
      </c>
      <c r="AH262">
        <v>0</v>
      </c>
      <c r="AI262">
        <v>0</v>
      </c>
      <c r="AJ262">
        <v>0</v>
      </c>
      <c r="AK262">
        <v>0</v>
      </c>
      <c r="AL262">
        <v>0</v>
      </c>
    </row>
    <row r="263" spans="1:38" x14ac:dyDescent="0.25">
      <c r="A263" t="s">
        <v>748</v>
      </c>
      <c r="B263" t="s">
        <v>748</v>
      </c>
      <c r="C263" s="1">
        <v>207</v>
      </c>
      <c r="D263" s="1" t="s">
        <v>747</v>
      </c>
      <c r="E263">
        <v>2</v>
      </c>
      <c r="F263">
        <v>1.1000000000000001</v>
      </c>
      <c r="G263">
        <v>64.8</v>
      </c>
      <c r="H263" t="s">
        <v>132</v>
      </c>
      <c r="I263" t="s">
        <v>66</v>
      </c>
      <c r="J263" t="s">
        <v>440</v>
      </c>
      <c r="K263" t="s">
        <v>166</v>
      </c>
      <c r="L263" t="s">
        <v>586</v>
      </c>
      <c r="M263" t="s">
        <v>131</v>
      </c>
      <c r="N263">
        <v>50</v>
      </c>
      <c r="O263">
        <v>50</v>
      </c>
      <c r="P263">
        <v>0</v>
      </c>
      <c r="Q263">
        <v>20</v>
      </c>
      <c r="R263" t="s">
        <v>90</v>
      </c>
      <c r="T263">
        <v>60</v>
      </c>
      <c r="U263">
        <v>86</v>
      </c>
      <c r="V263">
        <v>1059860</v>
      </c>
      <c r="W263" t="s">
        <v>46</v>
      </c>
      <c r="Z263">
        <v>65</v>
      </c>
      <c r="AA263">
        <v>75</v>
      </c>
      <c r="AB263">
        <v>105</v>
      </c>
      <c r="AC263">
        <v>35</v>
      </c>
      <c r="AD263">
        <v>65</v>
      </c>
      <c r="AE263">
        <v>85</v>
      </c>
      <c r="AF263">
        <v>430</v>
      </c>
      <c r="AG263">
        <v>0</v>
      </c>
      <c r="AH263">
        <v>0</v>
      </c>
      <c r="AI263">
        <v>1</v>
      </c>
      <c r="AJ263">
        <v>0</v>
      </c>
      <c r="AK263">
        <v>0</v>
      </c>
      <c r="AL263">
        <v>0</v>
      </c>
    </row>
    <row r="264" spans="1:38" x14ac:dyDescent="0.25">
      <c r="A264" t="s">
        <v>750</v>
      </c>
      <c r="B264" t="s">
        <v>750</v>
      </c>
      <c r="C264" s="1">
        <v>208</v>
      </c>
      <c r="D264" s="1" t="s">
        <v>749</v>
      </c>
      <c r="E264">
        <v>2</v>
      </c>
      <c r="F264">
        <v>9.1999999999999993</v>
      </c>
      <c r="G264">
        <v>400</v>
      </c>
      <c r="H264" t="s">
        <v>171</v>
      </c>
      <c r="I264" t="s">
        <v>132</v>
      </c>
      <c r="J264" t="s">
        <v>291</v>
      </c>
      <c r="K264" t="s">
        <v>338</v>
      </c>
      <c r="L264" t="s">
        <v>187</v>
      </c>
      <c r="M264" t="s">
        <v>318</v>
      </c>
      <c r="N264">
        <v>50</v>
      </c>
      <c r="O264">
        <v>50</v>
      </c>
      <c r="P264">
        <v>0</v>
      </c>
      <c r="Q264">
        <v>25</v>
      </c>
      <c r="R264" t="s">
        <v>339</v>
      </c>
      <c r="T264">
        <v>25</v>
      </c>
      <c r="U264">
        <v>179</v>
      </c>
      <c r="V264">
        <v>1000000</v>
      </c>
      <c r="W264" t="s">
        <v>46</v>
      </c>
      <c r="Z264">
        <v>75</v>
      </c>
      <c r="AA264">
        <v>85</v>
      </c>
      <c r="AB264">
        <v>200</v>
      </c>
      <c r="AC264">
        <v>55</v>
      </c>
      <c r="AD264">
        <v>65</v>
      </c>
      <c r="AE264">
        <v>30</v>
      </c>
      <c r="AF264">
        <v>510</v>
      </c>
      <c r="AG264">
        <v>0</v>
      </c>
      <c r="AH264">
        <v>0</v>
      </c>
      <c r="AI264">
        <v>2</v>
      </c>
      <c r="AJ264">
        <v>0</v>
      </c>
      <c r="AK264">
        <v>0</v>
      </c>
      <c r="AL264">
        <v>0</v>
      </c>
    </row>
    <row r="265" spans="1:38" x14ac:dyDescent="0.25">
      <c r="A265" t="s">
        <v>750</v>
      </c>
      <c r="B265" t="s">
        <v>752</v>
      </c>
      <c r="C265" s="1">
        <v>208</v>
      </c>
      <c r="D265" s="1" t="s">
        <v>751</v>
      </c>
      <c r="E265">
        <v>2</v>
      </c>
      <c r="F265">
        <v>10.5</v>
      </c>
      <c r="G265">
        <v>740</v>
      </c>
      <c r="H265" t="s">
        <v>171</v>
      </c>
      <c r="I265" t="s">
        <v>132</v>
      </c>
      <c r="J265" t="s">
        <v>247</v>
      </c>
      <c r="M265" t="s">
        <v>318</v>
      </c>
      <c r="N265">
        <v>50</v>
      </c>
      <c r="O265">
        <v>50</v>
      </c>
      <c r="P265">
        <v>0</v>
      </c>
      <c r="Q265">
        <v>25</v>
      </c>
      <c r="R265" t="s">
        <v>339</v>
      </c>
      <c r="T265">
        <v>25</v>
      </c>
      <c r="U265">
        <v>214</v>
      </c>
      <c r="V265">
        <v>1000000</v>
      </c>
      <c r="W265" t="s">
        <v>46</v>
      </c>
      <c r="X265" t="s">
        <v>54</v>
      </c>
      <c r="Z265">
        <v>75</v>
      </c>
      <c r="AA265">
        <v>125</v>
      </c>
      <c r="AB265">
        <v>230</v>
      </c>
      <c r="AC265">
        <v>55</v>
      </c>
      <c r="AD265">
        <v>95</v>
      </c>
      <c r="AE265">
        <v>30</v>
      </c>
      <c r="AF265">
        <v>610</v>
      </c>
      <c r="AG265">
        <v>0</v>
      </c>
      <c r="AH265">
        <v>0</v>
      </c>
      <c r="AI265">
        <v>2</v>
      </c>
      <c r="AJ265">
        <v>0</v>
      </c>
      <c r="AK265">
        <v>0</v>
      </c>
      <c r="AL265">
        <v>0</v>
      </c>
    </row>
    <row r="266" spans="1:38" x14ac:dyDescent="0.25">
      <c r="A266" t="s">
        <v>754</v>
      </c>
      <c r="B266" t="s">
        <v>754</v>
      </c>
      <c r="C266" s="1">
        <v>209</v>
      </c>
      <c r="D266" s="1" t="s">
        <v>753</v>
      </c>
      <c r="E266">
        <v>2</v>
      </c>
      <c r="F266">
        <v>0.6</v>
      </c>
      <c r="G266">
        <v>7.8</v>
      </c>
      <c r="H266" t="s">
        <v>157</v>
      </c>
      <c r="J266" t="s">
        <v>148</v>
      </c>
      <c r="K266" t="s">
        <v>92</v>
      </c>
      <c r="L266" t="s">
        <v>261</v>
      </c>
      <c r="M266" t="s">
        <v>199</v>
      </c>
      <c r="N266">
        <v>25</v>
      </c>
      <c r="O266">
        <v>75</v>
      </c>
      <c r="P266">
        <v>0</v>
      </c>
      <c r="Q266">
        <v>20</v>
      </c>
      <c r="R266" t="s">
        <v>132</v>
      </c>
      <c r="S266" t="s">
        <v>157</v>
      </c>
      <c r="T266">
        <v>190</v>
      </c>
      <c r="U266">
        <v>60</v>
      </c>
      <c r="V266">
        <v>800000</v>
      </c>
      <c r="W266" t="s">
        <v>46</v>
      </c>
      <c r="Z266">
        <v>60</v>
      </c>
      <c r="AA266">
        <v>80</v>
      </c>
      <c r="AB266">
        <v>50</v>
      </c>
      <c r="AC266">
        <v>40</v>
      </c>
      <c r="AD266">
        <v>40</v>
      </c>
      <c r="AE266">
        <v>30</v>
      </c>
      <c r="AF266">
        <v>300</v>
      </c>
      <c r="AG266">
        <v>0</v>
      </c>
      <c r="AH266">
        <v>1</v>
      </c>
      <c r="AI266">
        <v>0</v>
      </c>
      <c r="AJ266">
        <v>0</v>
      </c>
      <c r="AK266">
        <v>0</v>
      </c>
      <c r="AL266">
        <v>0</v>
      </c>
    </row>
    <row r="267" spans="1:38" x14ac:dyDescent="0.25">
      <c r="A267" t="s">
        <v>756</v>
      </c>
      <c r="B267" t="s">
        <v>756</v>
      </c>
      <c r="C267" s="1">
        <v>210</v>
      </c>
      <c r="D267" s="1" t="s">
        <v>755</v>
      </c>
      <c r="E267">
        <v>2</v>
      </c>
      <c r="F267">
        <v>1.4</v>
      </c>
      <c r="G267">
        <v>48.7</v>
      </c>
      <c r="H267" t="s">
        <v>157</v>
      </c>
      <c r="J267" t="s">
        <v>148</v>
      </c>
      <c r="K267" t="s">
        <v>565</v>
      </c>
      <c r="L267" t="s">
        <v>261</v>
      </c>
      <c r="M267" t="s">
        <v>131</v>
      </c>
      <c r="N267">
        <v>25</v>
      </c>
      <c r="O267">
        <v>75</v>
      </c>
      <c r="P267">
        <v>0</v>
      </c>
      <c r="Q267">
        <v>20</v>
      </c>
      <c r="R267" t="s">
        <v>132</v>
      </c>
      <c r="S267" t="s">
        <v>157</v>
      </c>
      <c r="T267">
        <v>75</v>
      </c>
      <c r="U267">
        <v>158</v>
      </c>
      <c r="V267">
        <v>800000</v>
      </c>
      <c r="W267" t="s">
        <v>46</v>
      </c>
      <c r="Z267">
        <v>90</v>
      </c>
      <c r="AA267">
        <v>120</v>
      </c>
      <c r="AB267">
        <v>75</v>
      </c>
      <c r="AC267">
        <v>60</v>
      </c>
      <c r="AD267">
        <v>60</v>
      </c>
      <c r="AE267">
        <v>45</v>
      </c>
      <c r="AF267">
        <v>450</v>
      </c>
      <c r="AG267">
        <v>0</v>
      </c>
      <c r="AH267">
        <v>2</v>
      </c>
      <c r="AI267">
        <v>0</v>
      </c>
      <c r="AJ267">
        <v>0</v>
      </c>
      <c r="AK267">
        <v>0</v>
      </c>
      <c r="AL267">
        <v>0</v>
      </c>
    </row>
    <row r="268" spans="1:38" x14ac:dyDescent="0.25">
      <c r="A268" t="s">
        <v>758</v>
      </c>
      <c r="B268" t="s">
        <v>758</v>
      </c>
      <c r="C268" s="1">
        <v>211</v>
      </c>
      <c r="D268" s="1" t="s">
        <v>757</v>
      </c>
      <c r="E268">
        <v>2</v>
      </c>
      <c r="F268">
        <v>0.5</v>
      </c>
      <c r="G268">
        <v>3.9</v>
      </c>
      <c r="H268" t="s">
        <v>76</v>
      </c>
      <c r="I268" t="s">
        <v>41</v>
      </c>
      <c r="J268" t="s">
        <v>180</v>
      </c>
      <c r="K268" t="s">
        <v>274</v>
      </c>
      <c r="L268" t="s">
        <v>148</v>
      </c>
      <c r="M268" t="s">
        <v>318</v>
      </c>
      <c r="N268">
        <v>50</v>
      </c>
      <c r="O268">
        <v>50</v>
      </c>
      <c r="P268">
        <v>0</v>
      </c>
      <c r="Q268">
        <v>20</v>
      </c>
      <c r="R268" t="s">
        <v>508</v>
      </c>
      <c r="T268">
        <v>45</v>
      </c>
      <c r="U268">
        <v>88</v>
      </c>
      <c r="V268">
        <v>1000000</v>
      </c>
      <c r="W268" t="s">
        <v>46</v>
      </c>
      <c r="Z268">
        <v>65</v>
      </c>
      <c r="AA268">
        <v>95</v>
      </c>
      <c r="AB268">
        <v>85</v>
      </c>
      <c r="AC268">
        <v>55</v>
      </c>
      <c r="AD268">
        <v>55</v>
      </c>
      <c r="AE268">
        <v>85</v>
      </c>
      <c r="AF268">
        <v>440</v>
      </c>
      <c r="AG268">
        <v>0</v>
      </c>
      <c r="AH268">
        <v>1</v>
      </c>
      <c r="AI268">
        <v>0</v>
      </c>
      <c r="AJ268">
        <v>0</v>
      </c>
      <c r="AK268">
        <v>0</v>
      </c>
      <c r="AL268">
        <v>0</v>
      </c>
    </row>
    <row r="269" spans="1:38" x14ac:dyDescent="0.25">
      <c r="A269" t="s">
        <v>758</v>
      </c>
      <c r="B269" t="s">
        <v>760</v>
      </c>
      <c r="C269" s="1">
        <v>211</v>
      </c>
      <c r="D269" s="1" t="s">
        <v>759</v>
      </c>
      <c r="E269">
        <v>8</v>
      </c>
      <c r="F269">
        <v>0.5</v>
      </c>
      <c r="G269">
        <v>3.9</v>
      </c>
      <c r="H269" t="s">
        <v>135</v>
      </c>
      <c r="I269" t="s">
        <v>41</v>
      </c>
      <c r="J269" t="s">
        <v>180</v>
      </c>
      <c r="K269" t="s">
        <v>274</v>
      </c>
      <c r="L269" t="s">
        <v>148</v>
      </c>
      <c r="M269" t="s">
        <v>318</v>
      </c>
      <c r="N269">
        <v>50</v>
      </c>
      <c r="O269">
        <v>50</v>
      </c>
      <c r="P269">
        <v>0</v>
      </c>
      <c r="Q269">
        <v>20</v>
      </c>
      <c r="R269" t="s">
        <v>508</v>
      </c>
      <c r="T269">
        <v>45</v>
      </c>
      <c r="U269">
        <v>88</v>
      </c>
      <c r="V269">
        <v>1000000</v>
      </c>
      <c r="W269" t="s">
        <v>46</v>
      </c>
      <c r="Y269" t="s">
        <v>292</v>
      </c>
      <c r="Z269">
        <v>65</v>
      </c>
      <c r="AA269">
        <v>95</v>
      </c>
      <c r="AB269">
        <v>85</v>
      </c>
      <c r="AC269">
        <v>55</v>
      </c>
      <c r="AD269">
        <v>55</v>
      </c>
      <c r="AE269">
        <v>85</v>
      </c>
      <c r="AF269">
        <v>440</v>
      </c>
      <c r="AG269">
        <v>0</v>
      </c>
      <c r="AH269">
        <v>1</v>
      </c>
      <c r="AI269">
        <v>0</v>
      </c>
      <c r="AJ269">
        <v>0</v>
      </c>
      <c r="AK269">
        <v>0</v>
      </c>
      <c r="AL269">
        <v>0</v>
      </c>
    </row>
    <row r="270" spans="1:38" x14ac:dyDescent="0.25">
      <c r="A270" t="s">
        <v>762</v>
      </c>
      <c r="B270" t="s">
        <v>762</v>
      </c>
      <c r="C270" s="1">
        <v>212</v>
      </c>
      <c r="D270" s="1" t="s">
        <v>761</v>
      </c>
      <c r="E270">
        <v>2</v>
      </c>
      <c r="F270">
        <v>1.8</v>
      </c>
      <c r="G270">
        <v>118</v>
      </c>
      <c r="H270" t="s">
        <v>90</v>
      </c>
      <c r="I270" t="s">
        <v>171</v>
      </c>
      <c r="J270" t="s">
        <v>109</v>
      </c>
      <c r="K270" t="s">
        <v>258</v>
      </c>
      <c r="L270" t="s">
        <v>763</v>
      </c>
      <c r="M270" t="s">
        <v>60</v>
      </c>
      <c r="N270">
        <v>50</v>
      </c>
      <c r="O270">
        <v>50</v>
      </c>
      <c r="P270">
        <v>0</v>
      </c>
      <c r="Q270">
        <v>25</v>
      </c>
      <c r="R270" t="s">
        <v>90</v>
      </c>
      <c r="T270">
        <v>25</v>
      </c>
      <c r="U270">
        <v>175</v>
      </c>
      <c r="V270">
        <v>1000000</v>
      </c>
      <c r="W270" t="s">
        <v>46</v>
      </c>
      <c r="Z270">
        <v>70</v>
      </c>
      <c r="AA270">
        <v>130</v>
      </c>
      <c r="AB270">
        <v>100</v>
      </c>
      <c r="AC270">
        <v>55</v>
      </c>
      <c r="AD270">
        <v>80</v>
      </c>
      <c r="AE270">
        <v>65</v>
      </c>
      <c r="AF270">
        <v>500</v>
      </c>
      <c r="AG270">
        <v>0</v>
      </c>
      <c r="AH270">
        <v>2</v>
      </c>
      <c r="AI270">
        <v>0</v>
      </c>
      <c r="AJ270">
        <v>0</v>
      </c>
      <c r="AK270">
        <v>0</v>
      </c>
      <c r="AL270">
        <v>0</v>
      </c>
    </row>
    <row r="271" spans="1:38" x14ac:dyDescent="0.25">
      <c r="A271" t="s">
        <v>762</v>
      </c>
      <c r="B271" t="s">
        <v>765</v>
      </c>
      <c r="C271" s="1">
        <v>212</v>
      </c>
      <c r="D271" s="1" t="s">
        <v>764</v>
      </c>
      <c r="E271">
        <v>2</v>
      </c>
      <c r="F271">
        <v>2</v>
      </c>
      <c r="G271">
        <v>125</v>
      </c>
      <c r="H271" t="s">
        <v>90</v>
      </c>
      <c r="I271" t="s">
        <v>171</v>
      </c>
      <c r="J271" t="s">
        <v>258</v>
      </c>
      <c r="M271" t="s">
        <v>60</v>
      </c>
      <c r="N271">
        <v>50</v>
      </c>
      <c r="O271">
        <v>50</v>
      </c>
      <c r="P271">
        <v>0</v>
      </c>
      <c r="Q271">
        <v>25</v>
      </c>
      <c r="R271" t="s">
        <v>90</v>
      </c>
      <c r="T271">
        <v>25</v>
      </c>
      <c r="U271">
        <v>210</v>
      </c>
      <c r="V271">
        <v>1000000</v>
      </c>
      <c r="W271" t="s">
        <v>46</v>
      </c>
      <c r="X271" t="s">
        <v>54</v>
      </c>
      <c r="Z271">
        <v>70</v>
      </c>
      <c r="AA271">
        <v>150</v>
      </c>
      <c r="AB271">
        <v>140</v>
      </c>
      <c r="AC271">
        <v>65</v>
      </c>
      <c r="AD271">
        <v>100</v>
      </c>
      <c r="AE271">
        <v>75</v>
      </c>
      <c r="AF271">
        <v>600</v>
      </c>
      <c r="AG271">
        <v>0</v>
      </c>
      <c r="AH271">
        <v>2</v>
      </c>
      <c r="AI271">
        <v>0</v>
      </c>
      <c r="AJ271">
        <v>0</v>
      </c>
      <c r="AK271">
        <v>0</v>
      </c>
      <c r="AL271">
        <v>0</v>
      </c>
    </row>
    <row r="272" spans="1:38" x14ac:dyDescent="0.25">
      <c r="A272" t="s">
        <v>767</v>
      </c>
      <c r="B272" t="s">
        <v>767</v>
      </c>
      <c r="C272" s="1">
        <v>213</v>
      </c>
      <c r="D272" s="1" t="s">
        <v>766</v>
      </c>
      <c r="E272">
        <v>2</v>
      </c>
      <c r="F272">
        <v>0.6</v>
      </c>
      <c r="G272">
        <v>20.5</v>
      </c>
      <c r="H272" t="s">
        <v>90</v>
      </c>
      <c r="I272" t="s">
        <v>290</v>
      </c>
      <c r="J272" t="s">
        <v>338</v>
      </c>
      <c r="K272" t="s">
        <v>136</v>
      </c>
      <c r="L272" t="s">
        <v>768</v>
      </c>
      <c r="M272" t="s">
        <v>106</v>
      </c>
      <c r="N272">
        <v>50</v>
      </c>
      <c r="O272">
        <v>50</v>
      </c>
      <c r="P272">
        <v>0</v>
      </c>
      <c r="Q272">
        <v>20</v>
      </c>
      <c r="R272" t="s">
        <v>90</v>
      </c>
      <c r="T272">
        <v>190</v>
      </c>
      <c r="U272">
        <v>177</v>
      </c>
      <c r="V272">
        <v>1059860</v>
      </c>
      <c r="W272" t="s">
        <v>46</v>
      </c>
      <c r="Z272">
        <v>20</v>
      </c>
      <c r="AA272">
        <v>10</v>
      </c>
      <c r="AB272">
        <v>230</v>
      </c>
      <c r="AC272">
        <v>10</v>
      </c>
      <c r="AD272">
        <v>230</v>
      </c>
      <c r="AE272">
        <v>5</v>
      </c>
      <c r="AF272">
        <v>505</v>
      </c>
      <c r="AG272">
        <v>0</v>
      </c>
      <c r="AH272">
        <v>0</v>
      </c>
      <c r="AI272">
        <v>1</v>
      </c>
      <c r="AJ272">
        <v>0</v>
      </c>
      <c r="AK272">
        <v>1</v>
      </c>
      <c r="AL272">
        <v>0</v>
      </c>
    </row>
    <row r="273" spans="1:38" x14ac:dyDescent="0.25">
      <c r="A273" t="s">
        <v>770</v>
      </c>
      <c r="B273" t="s">
        <v>770</v>
      </c>
      <c r="C273" s="1">
        <v>214</v>
      </c>
      <c r="D273" s="1" t="s">
        <v>769</v>
      </c>
      <c r="E273">
        <v>2</v>
      </c>
      <c r="F273">
        <v>1.5</v>
      </c>
      <c r="G273">
        <v>54</v>
      </c>
      <c r="H273" t="s">
        <v>90</v>
      </c>
      <c r="I273" t="s">
        <v>279</v>
      </c>
      <c r="J273" t="s">
        <v>109</v>
      </c>
      <c r="K273" t="s">
        <v>129</v>
      </c>
      <c r="L273" t="s">
        <v>533</v>
      </c>
      <c r="M273" t="s">
        <v>79</v>
      </c>
      <c r="N273">
        <v>50</v>
      </c>
      <c r="O273">
        <v>50</v>
      </c>
      <c r="P273">
        <v>0</v>
      </c>
      <c r="Q273">
        <v>25</v>
      </c>
      <c r="R273" t="s">
        <v>90</v>
      </c>
      <c r="T273">
        <v>45</v>
      </c>
      <c r="U273">
        <v>175</v>
      </c>
      <c r="V273">
        <v>1250000</v>
      </c>
      <c r="W273" t="s">
        <v>46</v>
      </c>
      <c r="Z273">
        <v>80</v>
      </c>
      <c r="AA273">
        <v>125</v>
      </c>
      <c r="AB273">
        <v>75</v>
      </c>
      <c r="AC273">
        <v>40</v>
      </c>
      <c r="AD273">
        <v>95</v>
      </c>
      <c r="AE273">
        <v>85</v>
      </c>
      <c r="AF273">
        <v>500</v>
      </c>
      <c r="AG273">
        <v>0</v>
      </c>
      <c r="AH273">
        <v>2</v>
      </c>
      <c r="AI273">
        <v>0</v>
      </c>
      <c r="AJ273">
        <v>0</v>
      </c>
      <c r="AK273">
        <v>0</v>
      </c>
      <c r="AL273">
        <v>0</v>
      </c>
    </row>
    <row r="274" spans="1:38" x14ac:dyDescent="0.25">
      <c r="A274" t="s">
        <v>770</v>
      </c>
      <c r="B274" t="s">
        <v>772</v>
      </c>
      <c r="C274" s="1">
        <v>214</v>
      </c>
      <c r="D274" s="1" t="s">
        <v>771</v>
      </c>
      <c r="E274">
        <v>2</v>
      </c>
      <c r="F274">
        <v>1.7</v>
      </c>
      <c r="G274">
        <v>62.5</v>
      </c>
      <c r="H274" t="s">
        <v>90</v>
      </c>
      <c r="I274" t="s">
        <v>279</v>
      </c>
      <c r="J274" t="s">
        <v>413</v>
      </c>
      <c r="M274" t="s">
        <v>79</v>
      </c>
      <c r="N274">
        <v>50</v>
      </c>
      <c r="O274">
        <v>50</v>
      </c>
      <c r="P274">
        <v>0</v>
      </c>
      <c r="Q274">
        <v>25</v>
      </c>
      <c r="R274" t="s">
        <v>90</v>
      </c>
      <c r="T274">
        <v>45</v>
      </c>
      <c r="U274">
        <v>210</v>
      </c>
      <c r="V274">
        <v>1250000</v>
      </c>
      <c r="W274" t="s">
        <v>46</v>
      </c>
      <c r="X274" t="s">
        <v>54</v>
      </c>
      <c r="Z274">
        <v>80</v>
      </c>
      <c r="AA274">
        <v>185</v>
      </c>
      <c r="AB274">
        <v>115</v>
      </c>
      <c r="AC274">
        <v>40</v>
      </c>
      <c r="AD274">
        <v>105</v>
      </c>
      <c r="AE274">
        <v>75</v>
      </c>
      <c r="AF274">
        <v>600</v>
      </c>
      <c r="AG274">
        <v>0</v>
      </c>
      <c r="AH274">
        <v>2</v>
      </c>
      <c r="AI274">
        <v>0</v>
      </c>
      <c r="AJ274">
        <v>0</v>
      </c>
      <c r="AK274">
        <v>0</v>
      </c>
      <c r="AL274">
        <v>0</v>
      </c>
    </row>
    <row r="275" spans="1:38" x14ac:dyDescent="0.25">
      <c r="A275" t="s">
        <v>774</v>
      </c>
      <c r="B275" t="s">
        <v>774</v>
      </c>
      <c r="C275" s="1">
        <v>215</v>
      </c>
      <c r="D275" s="1" t="s">
        <v>773</v>
      </c>
      <c r="E275">
        <v>2</v>
      </c>
      <c r="F275">
        <v>0.9</v>
      </c>
      <c r="G275">
        <v>28</v>
      </c>
      <c r="H275" t="s">
        <v>135</v>
      </c>
      <c r="I275" t="s">
        <v>170</v>
      </c>
      <c r="J275" t="s">
        <v>221</v>
      </c>
      <c r="K275" t="s">
        <v>117</v>
      </c>
      <c r="L275" t="s">
        <v>775</v>
      </c>
      <c r="M275" t="s">
        <v>70</v>
      </c>
      <c r="N275">
        <v>50</v>
      </c>
      <c r="O275">
        <v>50</v>
      </c>
      <c r="P275">
        <v>0</v>
      </c>
      <c r="Q275">
        <v>20</v>
      </c>
      <c r="R275" t="s">
        <v>132</v>
      </c>
      <c r="T275">
        <v>60</v>
      </c>
      <c r="U275">
        <v>86</v>
      </c>
      <c r="V275">
        <v>1059860</v>
      </c>
      <c r="W275" t="s">
        <v>46</v>
      </c>
      <c r="Z275">
        <v>55</v>
      </c>
      <c r="AA275">
        <v>95</v>
      </c>
      <c r="AB275">
        <v>55</v>
      </c>
      <c r="AC275">
        <v>35</v>
      </c>
      <c r="AD275">
        <v>75</v>
      </c>
      <c r="AE275">
        <v>115</v>
      </c>
      <c r="AF275">
        <v>430</v>
      </c>
      <c r="AG275">
        <v>0</v>
      </c>
      <c r="AH275">
        <v>0</v>
      </c>
      <c r="AI275">
        <v>0</v>
      </c>
      <c r="AJ275">
        <v>0</v>
      </c>
      <c r="AK275">
        <v>0</v>
      </c>
      <c r="AL275">
        <v>1</v>
      </c>
    </row>
    <row r="276" spans="1:38" x14ac:dyDescent="0.25">
      <c r="A276" t="s">
        <v>774</v>
      </c>
      <c r="B276" t="s">
        <v>777</v>
      </c>
      <c r="C276" s="1">
        <v>215</v>
      </c>
      <c r="D276" s="1" t="s">
        <v>776</v>
      </c>
      <c r="E276">
        <v>8</v>
      </c>
      <c r="F276">
        <v>0.9</v>
      </c>
      <c r="G276">
        <v>27</v>
      </c>
      <c r="H276" t="s">
        <v>279</v>
      </c>
      <c r="I276" t="s">
        <v>41</v>
      </c>
      <c r="J276" t="s">
        <v>221</v>
      </c>
      <c r="K276" t="s">
        <v>117</v>
      </c>
      <c r="L276" t="s">
        <v>775</v>
      </c>
      <c r="M276" t="s">
        <v>131</v>
      </c>
      <c r="N276">
        <v>50</v>
      </c>
      <c r="O276">
        <v>50</v>
      </c>
      <c r="P276">
        <v>0</v>
      </c>
      <c r="Q276">
        <v>20</v>
      </c>
      <c r="R276" t="s">
        <v>132</v>
      </c>
      <c r="T276">
        <v>60</v>
      </c>
      <c r="U276">
        <v>86</v>
      </c>
      <c r="V276">
        <v>1059860</v>
      </c>
      <c r="W276" t="s">
        <v>46</v>
      </c>
      <c r="Y276" t="s">
        <v>292</v>
      </c>
      <c r="Z276">
        <v>55</v>
      </c>
      <c r="AA276">
        <v>95</v>
      </c>
      <c r="AB276">
        <v>55</v>
      </c>
      <c r="AC276">
        <v>35</v>
      </c>
      <c r="AD276">
        <v>75</v>
      </c>
      <c r="AE276">
        <v>115</v>
      </c>
      <c r="AF276">
        <v>430</v>
      </c>
      <c r="AG276">
        <v>0</v>
      </c>
      <c r="AH276">
        <v>0</v>
      </c>
      <c r="AI276">
        <v>0</v>
      </c>
      <c r="AJ276">
        <v>0</v>
      </c>
      <c r="AK276">
        <v>0</v>
      </c>
      <c r="AL276">
        <v>1</v>
      </c>
    </row>
    <row r="277" spans="1:38" x14ac:dyDescent="0.25">
      <c r="A277" t="s">
        <v>779</v>
      </c>
      <c r="B277" t="s">
        <v>779</v>
      </c>
      <c r="C277" s="1">
        <v>216</v>
      </c>
      <c r="D277" s="1" t="s">
        <v>778</v>
      </c>
      <c r="E277">
        <v>2</v>
      </c>
      <c r="F277">
        <v>0.6</v>
      </c>
      <c r="G277">
        <v>8.8000000000000007</v>
      </c>
      <c r="H277" t="s">
        <v>116</v>
      </c>
      <c r="J277" t="s">
        <v>257</v>
      </c>
      <c r="K277" t="s">
        <v>565</v>
      </c>
      <c r="L277" t="s">
        <v>780</v>
      </c>
      <c r="M277" t="s">
        <v>103</v>
      </c>
      <c r="N277">
        <v>50</v>
      </c>
      <c r="O277">
        <v>50</v>
      </c>
      <c r="P277">
        <v>0</v>
      </c>
      <c r="Q277">
        <v>20</v>
      </c>
      <c r="R277" t="s">
        <v>132</v>
      </c>
      <c r="T277">
        <v>120</v>
      </c>
      <c r="U277">
        <v>66</v>
      </c>
      <c r="V277">
        <v>1000000</v>
      </c>
      <c r="W277" t="s">
        <v>46</v>
      </c>
      <c r="Z277">
        <v>60</v>
      </c>
      <c r="AA277">
        <v>80</v>
      </c>
      <c r="AB277">
        <v>50</v>
      </c>
      <c r="AC277">
        <v>50</v>
      </c>
      <c r="AD277">
        <v>50</v>
      </c>
      <c r="AE277">
        <v>40</v>
      </c>
      <c r="AF277">
        <v>330</v>
      </c>
      <c r="AG277">
        <v>0</v>
      </c>
      <c r="AH277">
        <v>1</v>
      </c>
      <c r="AI277">
        <v>0</v>
      </c>
      <c r="AJ277">
        <v>0</v>
      </c>
      <c r="AK277">
        <v>0</v>
      </c>
      <c r="AL277">
        <v>0</v>
      </c>
    </row>
    <row r="278" spans="1:38" x14ac:dyDescent="0.25">
      <c r="A278" t="s">
        <v>782</v>
      </c>
      <c r="B278" t="s">
        <v>782</v>
      </c>
      <c r="C278" s="1">
        <v>217</v>
      </c>
      <c r="D278" s="1" t="s">
        <v>781</v>
      </c>
      <c r="E278">
        <v>2</v>
      </c>
      <c r="F278">
        <v>1.8</v>
      </c>
      <c r="G278">
        <v>125.8</v>
      </c>
      <c r="H278" t="s">
        <v>116</v>
      </c>
      <c r="J278" t="s">
        <v>129</v>
      </c>
      <c r="K278" t="s">
        <v>565</v>
      </c>
      <c r="L278" t="s">
        <v>149</v>
      </c>
      <c r="M278" t="s">
        <v>103</v>
      </c>
      <c r="N278">
        <v>50</v>
      </c>
      <c r="O278">
        <v>50</v>
      </c>
      <c r="P278">
        <v>0</v>
      </c>
      <c r="Q278">
        <v>20</v>
      </c>
      <c r="R278" t="s">
        <v>132</v>
      </c>
      <c r="T278">
        <v>60</v>
      </c>
      <c r="U278">
        <v>175</v>
      </c>
      <c r="V278">
        <v>1000000</v>
      </c>
      <c r="W278" t="s">
        <v>46</v>
      </c>
      <c r="Z278">
        <v>90</v>
      </c>
      <c r="AA278">
        <v>130</v>
      </c>
      <c r="AB278">
        <v>75</v>
      </c>
      <c r="AC278">
        <v>75</v>
      </c>
      <c r="AD278">
        <v>75</v>
      </c>
      <c r="AE278">
        <v>55</v>
      </c>
      <c r="AF278">
        <v>500</v>
      </c>
      <c r="AG278">
        <v>0</v>
      </c>
      <c r="AH278">
        <v>2</v>
      </c>
      <c r="AI278">
        <v>0</v>
      </c>
      <c r="AJ278">
        <v>0</v>
      </c>
      <c r="AK278">
        <v>0</v>
      </c>
      <c r="AL278">
        <v>0</v>
      </c>
    </row>
    <row r="279" spans="1:38" x14ac:dyDescent="0.25">
      <c r="A279" t="s">
        <v>784</v>
      </c>
      <c r="B279" t="s">
        <v>784</v>
      </c>
      <c r="C279" s="1">
        <v>218</v>
      </c>
      <c r="D279" s="1" t="s">
        <v>783</v>
      </c>
      <c r="E279">
        <v>2</v>
      </c>
      <c r="F279">
        <v>0.7</v>
      </c>
      <c r="G279">
        <v>35</v>
      </c>
      <c r="H279" t="s">
        <v>57</v>
      </c>
      <c r="J279" t="s">
        <v>785</v>
      </c>
      <c r="K279" t="s">
        <v>354</v>
      </c>
      <c r="L279" t="s">
        <v>431</v>
      </c>
      <c r="M279" t="s">
        <v>60</v>
      </c>
      <c r="N279">
        <v>50</v>
      </c>
      <c r="O279">
        <v>50</v>
      </c>
      <c r="P279">
        <v>0</v>
      </c>
      <c r="Q279">
        <v>20</v>
      </c>
      <c r="R279" t="s">
        <v>403</v>
      </c>
      <c r="T279">
        <v>190</v>
      </c>
      <c r="U279">
        <v>50</v>
      </c>
      <c r="V279">
        <v>1000000</v>
      </c>
      <c r="W279" t="s">
        <v>46</v>
      </c>
      <c r="Z279">
        <v>40</v>
      </c>
      <c r="AA279">
        <v>40</v>
      </c>
      <c r="AB279">
        <v>40</v>
      </c>
      <c r="AC279">
        <v>70</v>
      </c>
      <c r="AD279">
        <v>40</v>
      </c>
      <c r="AE279">
        <v>20</v>
      </c>
      <c r="AF279">
        <v>250</v>
      </c>
      <c r="AG279">
        <v>0</v>
      </c>
      <c r="AH279">
        <v>0</v>
      </c>
      <c r="AI279">
        <v>0</v>
      </c>
      <c r="AJ279">
        <v>1</v>
      </c>
      <c r="AK279">
        <v>0</v>
      </c>
      <c r="AL279">
        <v>0</v>
      </c>
    </row>
    <row r="280" spans="1:38" x14ac:dyDescent="0.25">
      <c r="A280" t="s">
        <v>787</v>
      </c>
      <c r="B280" t="s">
        <v>787</v>
      </c>
      <c r="C280" s="1">
        <v>219</v>
      </c>
      <c r="D280" s="1" t="s">
        <v>786</v>
      </c>
      <c r="E280">
        <v>2</v>
      </c>
      <c r="F280">
        <v>0.8</v>
      </c>
      <c r="G280">
        <v>55</v>
      </c>
      <c r="H280" t="s">
        <v>57</v>
      </c>
      <c r="I280" t="s">
        <v>290</v>
      </c>
      <c r="J280" t="s">
        <v>785</v>
      </c>
      <c r="K280" t="s">
        <v>354</v>
      </c>
      <c r="L280" t="s">
        <v>431</v>
      </c>
      <c r="M280" t="s">
        <v>60</v>
      </c>
      <c r="N280">
        <v>50</v>
      </c>
      <c r="O280">
        <v>50</v>
      </c>
      <c r="P280">
        <v>0</v>
      </c>
      <c r="Q280">
        <v>20</v>
      </c>
      <c r="R280" t="s">
        <v>403</v>
      </c>
      <c r="T280">
        <v>75</v>
      </c>
      <c r="U280">
        <v>151</v>
      </c>
      <c r="V280">
        <v>1000000</v>
      </c>
      <c r="W280" t="s">
        <v>46</v>
      </c>
      <c r="Z280">
        <v>60</v>
      </c>
      <c r="AA280">
        <v>50</v>
      </c>
      <c r="AB280">
        <v>120</v>
      </c>
      <c r="AC280">
        <v>90</v>
      </c>
      <c r="AD280">
        <v>80</v>
      </c>
      <c r="AE280">
        <v>30</v>
      </c>
      <c r="AF280">
        <v>430</v>
      </c>
      <c r="AG280">
        <v>0</v>
      </c>
      <c r="AH280">
        <v>0</v>
      </c>
      <c r="AI280">
        <v>2</v>
      </c>
      <c r="AJ280">
        <v>0</v>
      </c>
      <c r="AK280">
        <v>0</v>
      </c>
      <c r="AL280">
        <v>0</v>
      </c>
    </row>
    <row r="281" spans="1:38" x14ac:dyDescent="0.25">
      <c r="A281" t="s">
        <v>789</v>
      </c>
      <c r="B281" t="s">
        <v>789</v>
      </c>
      <c r="C281" s="1">
        <v>220</v>
      </c>
      <c r="D281" s="1" t="s">
        <v>788</v>
      </c>
      <c r="E281">
        <v>2</v>
      </c>
      <c r="F281">
        <v>0.4</v>
      </c>
      <c r="G281">
        <v>6.5</v>
      </c>
      <c r="H281" t="s">
        <v>170</v>
      </c>
      <c r="I281" t="s">
        <v>132</v>
      </c>
      <c r="J281" t="s">
        <v>365</v>
      </c>
      <c r="K281" t="s">
        <v>172</v>
      </c>
      <c r="L281" t="s">
        <v>53</v>
      </c>
      <c r="M281" t="s">
        <v>103</v>
      </c>
      <c r="N281">
        <v>50</v>
      </c>
      <c r="O281">
        <v>50</v>
      </c>
      <c r="P281">
        <v>0</v>
      </c>
      <c r="Q281">
        <v>20</v>
      </c>
      <c r="R281" t="s">
        <v>132</v>
      </c>
      <c r="T281">
        <v>225</v>
      </c>
      <c r="U281">
        <v>50</v>
      </c>
      <c r="V281">
        <v>1250000</v>
      </c>
      <c r="W281" t="s">
        <v>46</v>
      </c>
      <c r="Z281">
        <v>50</v>
      </c>
      <c r="AA281">
        <v>50</v>
      </c>
      <c r="AB281">
        <v>40</v>
      </c>
      <c r="AC281">
        <v>30</v>
      </c>
      <c r="AD281">
        <v>30</v>
      </c>
      <c r="AE281">
        <v>50</v>
      </c>
      <c r="AF281">
        <v>250</v>
      </c>
      <c r="AG281">
        <v>0</v>
      </c>
      <c r="AH281">
        <v>1</v>
      </c>
      <c r="AI281">
        <v>0</v>
      </c>
      <c r="AJ281">
        <v>0</v>
      </c>
      <c r="AK281">
        <v>0</v>
      </c>
      <c r="AL281">
        <v>0</v>
      </c>
    </row>
    <row r="282" spans="1:38" x14ac:dyDescent="0.25">
      <c r="A282" t="s">
        <v>791</v>
      </c>
      <c r="B282" t="s">
        <v>791</v>
      </c>
      <c r="C282" s="1">
        <v>221</v>
      </c>
      <c r="D282" s="1" t="s">
        <v>790</v>
      </c>
      <c r="E282">
        <v>2</v>
      </c>
      <c r="F282">
        <v>1.1000000000000001</v>
      </c>
      <c r="G282">
        <v>55.8</v>
      </c>
      <c r="H282" t="s">
        <v>170</v>
      </c>
      <c r="I282" t="s">
        <v>132</v>
      </c>
      <c r="J282" t="s">
        <v>365</v>
      </c>
      <c r="K282" t="s">
        <v>172</v>
      </c>
      <c r="L282" t="s">
        <v>53</v>
      </c>
      <c r="M282" t="s">
        <v>103</v>
      </c>
      <c r="N282">
        <v>50</v>
      </c>
      <c r="O282">
        <v>50</v>
      </c>
      <c r="P282">
        <v>0</v>
      </c>
      <c r="Q282">
        <v>20</v>
      </c>
      <c r="R282" t="s">
        <v>132</v>
      </c>
      <c r="T282">
        <v>75</v>
      </c>
      <c r="U282">
        <v>158</v>
      </c>
      <c r="V282">
        <v>1250000</v>
      </c>
      <c r="W282" t="s">
        <v>46</v>
      </c>
      <c r="Z282">
        <v>100</v>
      </c>
      <c r="AA282">
        <v>100</v>
      </c>
      <c r="AB282">
        <v>80</v>
      </c>
      <c r="AC282">
        <v>60</v>
      </c>
      <c r="AD282">
        <v>60</v>
      </c>
      <c r="AE282">
        <v>50</v>
      </c>
      <c r="AF282">
        <v>450</v>
      </c>
      <c r="AG282">
        <v>1</v>
      </c>
      <c r="AH282">
        <v>1</v>
      </c>
      <c r="AI282">
        <v>0</v>
      </c>
      <c r="AJ282">
        <v>0</v>
      </c>
      <c r="AK282">
        <v>0</v>
      </c>
      <c r="AL282">
        <v>0</v>
      </c>
    </row>
    <row r="283" spans="1:38" x14ac:dyDescent="0.25">
      <c r="A283" t="s">
        <v>793</v>
      </c>
      <c r="B283" t="s">
        <v>793</v>
      </c>
      <c r="C283" s="1">
        <v>222</v>
      </c>
      <c r="D283" s="1" t="s">
        <v>792</v>
      </c>
      <c r="E283">
        <v>2</v>
      </c>
      <c r="F283">
        <v>0.6</v>
      </c>
      <c r="G283">
        <v>5</v>
      </c>
      <c r="H283" t="s">
        <v>76</v>
      </c>
      <c r="I283" t="s">
        <v>290</v>
      </c>
      <c r="J283" t="s">
        <v>130</v>
      </c>
      <c r="K283" t="s">
        <v>490</v>
      </c>
      <c r="L283" t="s">
        <v>367</v>
      </c>
      <c r="M283" t="s">
        <v>199</v>
      </c>
      <c r="N283">
        <v>25</v>
      </c>
      <c r="O283">
        <v>75</v>
      </c>
      <c r="P283">
        <v>0</v>
      </c>
      <c r="Q283">
        <v>20</v>
      </c>
      <c r="R283" t="s">
        <v>80</v>
      </c>
      <c r="S283" t="s">
        <v>333</v>
      </c>
      <c r="T283">
        <v>60</v>
      </c>
      <c r="U283">
        <v>144</v>
      </c>
      <c r="V283">
        <v>800000</v>
      </c>
      <c r="W283" t="s">
        <v>46</v>
      </c>
      <c r="Z283">
        <v>65</v>
      </c>
      <c r="AA283">
        <v>55</v>
      </c>
      <c r="AB283">
        <v>95</v>
      </c>
      <c r="AC283">
        <v>65</v>
      </c>
      <c r="AD283">
        <v>95</v>
      </c>
      <c r="AE283">
        <v>35</v>
      </c>
      <c r="AF283">
        <v>410</v>
      </c>
      <c r="AG283">
        <v>0</v>
      </c>
      <c r="AH283">
        <v>0</v>
      </c>
      <c r="AI283">
        <v>1</v>
      </c>
      <c r="AJ283">
        <v>0</v>
      </c>
      <c r="AK283">
        <v>1</v>
      </c>
      <c r="AL283">
        <v>0</v>
      </c>
    </row>
    <row r="284" spans="1:38" x14ac:dyDescent="0.25">
      <c r="A284" t="s">
        <v>793</v>
      </c>
      <c r="B284" t="s">
        <v>795</v>
      </c>
      <c r="C284" s="1">
        <v>222</v>
      </c>
      <c r="D284" s="1" t="s">
        <v>794</v>
      </c>
      <c r="E284">
        <v>8</v>
      </c>
      <c r="F284">
        <v>0.6</v>
      </c>
      <c r="G284">
        <v>0.5</v>
      </c>
      <c r="H284" t="s">
        <v>419</v>
      </c>
      <c r="J284" t="s">
        <v>431</v>
      </c>
      <c r="L284" t="s">
        <v>425</v>
      </c>
      <c r="M284" t="s">
        <v>100</v>
      </c>
      <c r="N284">
        <v>25</v>
      </c>
      <c r="O284">
        <v>75</v>
      </c>
      <c r="P284">
        <v>0</v>
      </c>
      <c r="Q284">
        <v>20</v>
      </c>
      <c r="R284" t="s">
        <v>80</v>
      </c>
      <c r="S284" t="s">
        <v>333</v>
      </c>
      <c r="T284">
        <v>60</v>
      </c>
      <c r="U284">
        <v>144</v>
      </c>
      <c r="V284">
        <v>800000</v>
      </c>
      <c r="W284" t="s">
        <v>46</v>
      </c>
      <c r="Y284" t="s">
        <v>264</v>
      </c>
      <c r="Z284">
        <v>60</v>
      </c>
      <c r="AA284">
        <v>55</v>
      </c>
      <c r="AB284">
        <v>100</v>
      </c>
      <c r="AC284">
        <v>65</v>
      </c>
      <c r="AD284">
        <v>100</v>
      </c>
      <c r="AE284">
        <v>30</v>
      </c>
      <c r="AF284">
        <v>410</v>
      </c>
      <c r="AG284">
        <v>0</v>
      </c>
      <c r="AH284">
        <v>0</v>
      </c>
      <c r="AI284">
        <v>0</v>
      </c>
      <c r="AJ284">
        <v>0</v>
      </c>
      <c r="AK284">
        <v>1</v>
      </c>
      <c r="AL284">
        <v>0</v>
      </c>
    </row>
    <row r="285" spans="1:38" x14ac:dyDescent="0.25">
      <c r="A285" t="s">
        <v>797</v>
      </c>
      <c r="B285" t="s">
        <v>797</v>
      </c>
      <c r="C285" s="1">
        <v>223</v>
      </c>
      <c r="D285" s="1" t="s">
        <v>796</v>
      </c>
      <c r="E285">
        <v>2</v>
      </c>
      <c r="F285">
        <v>0.6</v>
      </c>
      <c r="G285">
        <v>12</v>
      </c>
      <c r="H285" t="s">
        <v>76</v>
      </c>
      <c r="J285" t="s">
        <v>130</v>
      </c>
      <c r="K285" t="s">
        <v>110</v>
      </c>
      <c r="L285" t="s">
        <v>798</v>
      </c>
      <c r="M285" t="s">
        <v>318</v>
      </c>
      <c r="N285">
        <v>50</v>
      </c>
      <c r="O285">
        <v>50</v>
      </c>
      <c r="P285">
        <v>0</v>
      </c>
      <c r="Q285">
        <v>20</v>
      </c>
      <c r="R285" t="s">
        <v>80</v>
      </c>
      <c r="S285" t="s">
        <v>508</v>
      </c>
      <c r="T285">
        <v>190</v>
      </c>
      <c r="U285">
        <v>60</v>
      </c>
      <c r="V285">
        <v>1000000</v>
      </c>
      <c r="W285" t="s">
        <v>46</v>
      </c>
      <c r="Z285">
        <v>35</v>
      </c>
      <c r="AA285">
        <v>65</v>
      </c>
      <c r="AB285">
        <v>35</v>
      </c>
      <c r="AC285">
        <v>65</v>
      </c>
      <c r="AD285">
        <v>35</v>
      </c>
      <c r="AE285">
        <v>65</v>
      </c>
      <c r="AF285">
        <v>300</v>
      </c>
      <c r="AG285">
        <v>0</v>
      </c>
      <c r="AH285">
        <v>0</v>
      </c>
      <c r="AI285">
        <v>0</v>
      </c>
      <c r="AJ285">
        <v>1</v>
      </c>
      <c r="AK285">
        <v>0</v>
      </c>
      <c r="AL285">
        <v>0</v>
      </c>
    </row>
    <row r="286" spans="1:38" x14ac:dyDescent="0.25">
      <c r="A286" t="s">
        <v>800</v>
      </c>
      <c r="B286" t="s">
        <v>800</v>
      </c>
      <c r="C286" s="1">
        <v>224</v>
      </c>
      <c r="D286" s="1" t="s">
        <v>799</v>
      </c>
      <c r="E286">
        <v>2</v>
      </c>
      <c r="F286">
        <v>0.9</v>
      </c>
      <c r="G286">
        <v>28.5</v>
      </c>
      <c r="H286" t="s">
        <v>76</v>
      </c>
      <c r="J286" t="s">
        <v>801</v>
      </c>
      <c r="K286" t="s">
        <v>110</v>
      </c>
      <c r="L286" t="s">
        <v>798</v>
      </c>
      <c r="M286" t="s">
        <v>60</v>
      </c>
      <c r="N286">
        <v>50</v>
      </c>
      <c r="O286">
        <v>50</v>
      </c>
      <c r="P286">
        <v>0</v>
      </c>
      <c r="Q286">
        <v>20</v>
      </c>
      <c r="R286" t="s">
        <v>80</v>
      </c>
      <c r="S286" t="s">
        <v>508</v>
      </c>
      <c r="T286">
        <v>75</v>
      </c>
      <c r="U286">
        <v>168</v>
      </c>
      <c r="V286">
        <v>1000000</v>
      </c>
      <c r="W286" t="s">
        <v>46</v>
      </c>
      <c r="Z286">
        <v>75</v>
      </c>
      <c r="AA286">
        <v>105</v>
      </c>
      <c r="AB286">
        <v>75</v>
      </c>
      <c r="AC286">
        <v>105</v>
      </c>
      <c r="AD286">
        <v>75</v>
      </c>
      <c r="AE286">
        <v>45</v>
      </c>
      <c r="AF286">
        <v>480</v>
      </c>
      <c r="AG286">
        <v>0</v>
      </c>
      <c r="AH286">
        <v>1</v>
      </c>
      <c r="AI286">
        <v>0</v>
      </c>
      <c r="AJ286">
        <v>1</v>
      </c>
      <c r="AK286">
        <v>0</v>
      </c>
      <c r="AL286">
        <v>0</v>
      </c>
    </row>
    <row r="287" spans="1:38" x14ac:dyDescent="0.25">
      <c r="A287" t="s">
        <v>803</v>
      </c>
      <c r="B287" t="s">
        <v>803</v>
      </c>
      <c r="C287" s="1">
        <v>225</v>
      </c>
      <c r="D287" s="1" t="s">
        <v>802</v>
      </c>
      <c r="E287">
        <v>2</v>
      </c>
      <c r="F287">
        <v>0.9</v>
      </c>
      <c r="G287">
        <v>16</v>
      </c>
      <c r="H287" t="s">
        <v>170</v>
      </c>
      <c r="I287" t="s">
        <v>66</v>
      </c>
      <c r="J287" t="s">
        <v>280</v>
      </c>
      <c r="K287" t="s">
        <v>130</v>
      </c>
      <c r="L287" t="s">
        <v>434</v>
      </c>
      <c r="M287" t="s">
        <v>60</v>
      </c>
      <c r="N287">
        <v>50</v>
      </c>
      <c r="O287">
        <v>50</v>
      </c>
      <c r="P287">
        <v>0</v>
      </c>
      <c r="Q287">
        <v>20</v>
      </c>
      <c r="R287" t="s">
        <v>80</v>
      </c>
      <c r="S287" t="s">
        <v>132</v>
      </c>
      <c r="T287">
        <v>45</v>
      </c>
      <c r="U287">
        <v>116</v>
      </c>
      <c r="V287">
        <v>800000</v>
      </c>
      <c r="W287" t="s">
        <v>46</v>
      </c>
      <c r="Z287">
        <v>45</v>
      </c>
      <c r="AA287">
        <v>55</v>
      </c>
      <c r="AB287">
        <v>45</v>
      </c>
      <c r="AC287">
        <v>65</v>
      </c>
      <c r="AD287">
        <v>45</v>
      </c>
      <c r="AE287">
        <v>75</v>
      </c>
      <c r="AF287">
        <v>330</v>
      </c>
      <c r="AG287">
        <v>0</v>
      </c>
      <c r="AH287">
        <v>0</v>
      </c>
      <c r="AI287">
        <v>0</v>
      </c>
      <c r="AJ287">
        <v>0</v>
      </c>
      <c r="AK287">
        <v>0</v>
      </c>
      <c r="AL287">
        <v>1</v>
      </c>
    </row>
    <row r="288" spans="1:38" x14ac:dyDescent="0.25">
      <c r="A288" t="s">
        <v>805</v>
      </c>
      <c r="B288" t="s">
        <v>805</v>
      </c>
      <c r="C288" s="1">
        <v>226</v>
      </c>
      <c r="D288" s="1" t="s">
        <v>804</v>
      </c>
      <c r="E288">
        <v>2</v>
      </c>
      <c r="F288">
        <v>2.1</v>
      </c>
      <c r="G288">
        <v>220</v>
      </c>
      <c r="H288" t="s">
        <v>76</v>
      </c>
      <c r="I288" t="s">
        <v>66</v>
      </c>
      <c r="J288" t="s">
        <v>274</v>
      </c>
      <c r="K288" t="s">
        <v>299</v>
      </c>
      <c r="L288" t="s">
        <v>507</v>
      </c>
      <c r="M288" t="s">
        <v>131</v>
      </c>
      <c r="N288">
        <v>50</v>
      </c>
      <c r="O288">
        <v>50</v>
      </c>
      <c r="P288">
        <v>0</v>
      </c>
      <c r="Q288">
        <v>25</v>
      </c>
      <c r="R288" t="s">
        <v>80</v>
      </c>
      <c r="T288">
        <v>25</v>
      </c>
      <c r="U288">
        <v>170</v>
      </c>
      <c r="V288">
        <v>1250000</v>
      </c>
      <c r="W288" t="s">
        <v>46</v>
      </c>
      <c r="Z288">
        <v>85</v>
      </c>
      <c r="AA288">
        <v>40</v>
      </c>
      <c r="AB288">
        <v>70</v>
      </c>
      <c r="AC288">
        <v>80</v>
      </c>
      <c r="AD288">
        <v>140</v>
      </c>
      <c r="AE288">
        <v>70</v>
      </c>
      <c r="AF288">
        <v>485</v>
      </c>
      <c r="AG288">
        <v>0</v>
      </c>
      <c r="AH288">
        <v>0</v>
      </c>
      <c r="AI288">
        <v>0</v>
      </c>
      <c r="AJ288">
        <v>0</v>
      </c>
      <c r="AK288">
        <v>2</v>
      </c>
      <c r="AL288">
        <v>0</v>
      </c>
    </row>
    <row r="289" spans="1:38" x14ac:dyDescent="0.25">
      <c r="A289" t="s">
        <v>807</v>
      </c>
      <c r="B289" t="s">
        <v>807</v>
      </c>
      <c r="C289" s="1">
        <v>227</v>
      </c>
      <c r="D289" s="1" t="s">
        <v>806</v>
      </c>
      <c r="E289">
        <v>2</v>
      </c>
      <c r="F289">
        <v>1.7</v>
      </c>
      <c r="G289">
        <v>50.5</v>
      </c>
      <c r="H289" t="s">
        <v>171</v>
      </c>
      <c r="I289" t="s">
        <v>66</v>
      </c>
      <c r="J289" t="s">
        <v>117</v>
      </c>
      <c r="K289" t="s">
        <v>338</v>
      </c>
      <c r="L289" t="s">
        <v>431</v>
      </c>
      <c r="M289" t="s">
        <v>318</v>
      </c>
      <c r="N289">
        <v>50</v>
      </c>
      <c r="O289">
        <v>50</v>
      </c>
      <c r="P289">
        <v>0</v>
      </c>
      <c r="Q289">
        <v>25</v>
      </c>
      <c r="R289" t="s">
        <v>66</v>
      </c>
      <c r="T289">
        <v>25</v>
      </c>
      <c r="U289">
        <v>163</v>
      </c>
      <c r="V289">
        <v>1250000</v>
      </c>
      <c r="W289" t="s">
        <v>46</v>
      </c>
      <c r="Z289">
        <v>65</v>
      </c>
      <c r="AA289">
        <v>80</v>
      </c>
      <c r="AB289">
        <v>140</v>
      </c>
      <c r="AC289">
        <v>40</v>
      </c>
      <c r="AD289">
        <v>70</v>
      </c>
      <c r="AE289">
        <v>70</v>
      </c>
      <c r="AF289">
        <v>465</v>
      </c>
      <c r="AG289">
        <v>0</v>
      </c>
      <c r="AH289">
        <v>0</v>
      </c>
      <c r="AI289">
        <v>2</v>
      </c>
      <c r="AJ289">
        <v>0</v>
      </c>
      <c r="AK289">
        <v>0</v>
      </c>
      <c r="AL289">
        <v>0</v>
      </c>
    </row>
    <row r="290" spans="1:38" x14ac:dyDescent="0.25">
      <c r="A290" t="s">
        <v>809</v>
      </c>
      <c r="B290" t="s">
        <v>809</v>
      </c>
      <c r="C290" s="1">
        <v>228</v>
      </c>
      <c r="D290" s="1" t="s">
        <v>808</v>
      </c>
      <c r="E290">
        <v>2</v>
      </c>
      <c r="F290">
        <v>0.6</v>
      </c>
      <c r="G290">
        <v>10.8</v>
      </c>
      <c r="H290" t="s">
        <v>135</v>
      </c>
      <c r="I290" t="s">
        <v>57</v>
      </c>
      <c r="J290" t="s">
        <v>390</v>
      </c>
      <c r="K290" t="s">
        <v>205</v>
      </c>
      <c r="L290" t="s">
        <v>149</v>
      </c>
      <c r="M290" t="s">
        <v>70</v>
      </c>
      <c r="N290">
        <v>50</v>
      </c>
      <c r="O290">
        <v>50</v>
      </c>
      <c r="P290">
        <v>0</v>
      </c>
      <c r="Q290">
        <v>20</v>
      </c>
      <c r="R290" t="s">
        <v>132</v>
      </c>
      <c r="T290">
        <v>120</v>
      </c>
      <c r="U290">
        <v>66</v>
      </c>
      <c r="V290">
        <v>1250000</v>
      </c>
      <c r="W290" t="s">
        <v>46</v>
      </c>
      <c r="Z290">
        <v>45</v>
      </c>
      <c r="AA290">
        <v>60</v>
      </c>
      <c r="AB290">
        <v>30</v>
      </c>
      <c r="AC290">
        <v>80</v>
      </c>
      <c r="AD290">
        <v>50</v>
      </c>
      <c r="AE290">
        <v>65</v>
      </c>
      <c r="AF290">
        <v>330</v>
      </c>
      <c r="AG290">
        <v>0</v>
      </c>
      <c r="AH290">
        <v>0</v>
      </c>
      <c r="AI290">
        <v>0</v>
      </c>
      <c r="AJ290">
        <v>1</v>
      </c>
      <c r="AK290">
        <v>0</v>
      </c>
      <c r="AL290">
        <v>0</v>
      </c>
    </row>
    <row r="291" spans="1:38" x14ac:dyDescent="0.25">
      <c r="A291" t="s">
        <v>811</v>
      </c>
      <c r="B291" t="s">
        <v>811</v>
      </c>
      <c r="C291" s="1">
        <v>229</v>
      </c>
      <c r="D291" s="1" t="s">
        <v>810</v>
      </c>
      <c r="E291">
        <v>2</v>
      </c>
      <c r="F291">
        <v>1.4</v>
      </c>
      <c r="G291">
        <v>35</v>
      </c>
      <c r="H291" t="s">
        <v>135</v>
      </c>
      <c r="I291" t="s">
        <v>57</v>
      </c>
      <c r="J291" t="s">
        <v>390</v>
      </c>
      <c r="K291" t="s">
        <v>205</v>
      </c>
      <c r="L291" t="s">
        <v>149</v>
      </c>
      <c r="M291" t="s">
        <v>70</v>
      </c>
      <c r="N291">
        <v>50</v>
      </c>
      <c r="O291">
        <v>50</v>
      </c>
      <c r="P291">
        <v>0</v>
      </c>
      <c r="Q291">
        <v>20</v>
      </c>
      <c r="R291" t="s">
        <v>132</v>
      </c>
      <c r="T291">
        <v>45</v>
      </c>
      <c r="U291">
        <v>175</v>
      </c>
      <c r="V291">
        <v>1250000</v>
      </c>
      <c r="W291" t="s">
        <v>46</v>
      </c>
      <c r="Z291">
        <v>75</v>
      </c>
      <c r="AA291">
        <v>90</v>
      </c>
      <c r="AB291">
        <v>50</v>
      </c>
      <c r="AC291">
        <v>110</v>
      </c>
      <c r="AD291">
        <v>80</v>
      </c>
      <c r="AE291">
        <v>95</v>
      </c>
      <c r="AF291">
        <v>500</v>
      </c>
      <c r="AG291">
        <v>0</v>
      </c>
      <c r="AH291">
        <v>0</v>
      </c>
      <c r="AI291">
        <v>0</v>
      </c>
      <c r="AJ291">
        <v>2</v>
      </c>
      <c r="AK291">
        <v>0</v>
      </c>
      <c r="AL291">
        <v>0</v>
      </c>
    </row>
    <row r="292" spans="1:38" x14ac:dyDescent="0.25">
      <c r="A292" t="s">
        <v>811</v>
      </c>
      <c r="B292" t="s">
        <v>813</v>
      </c>
      <c r="C292" s="1">
        <v>229</v>
      </c>
      <c r="D292" s="1" t="s">
        <v>812</v>
      </c>
      <c r="E292">
        <v>2</v>
      </c>
      <c r="F292">
        <v>1.9</v>
      </c>
      <c r="G292">
        <v>49.5</v>
      </c>
      <c r="H292" t="s">
        <v>135</v>
      </c>
      <c r="I292" t="s">
        <v>57</v>
      </c>
      <c r="J292" t="s">
        <v>59</v>
      </c>
      <c r="M292" t="s">
        <v>70</v>
      </c>
      <c r="N292">
        <v>50</v>
      </c>
      <c r="O292">
        <v>50</v>
      </c>
      <c r="P292">
        <v>0</v>
      </c>
      <c r="Q292">
        <v>20</v>
      </c>
      <c r="R292" t="s">
        <v>132</v>
      </c>
      <c r="T292">
        <v>45</v>
      </c>
      <c r="U292">
        <v>210</v>
      </c>
      <c r="V292">
        <v>1250000</v>
      </c>
      <c r="W292" t="s">
        <v>46</v>
      </c>
      <c r="X292" t="s">
        <v>54</v>
      </c>
      <c r="Z292">
        <v>75</v>
      </c>
      <c r="AA292">
        <v>90</v>
      </c>
      <c r="AB292">
        <v>90</v>
      </c>
      <c r="AC292">
        <v>140</v>
      </c>
      <c r="AD292">
        <v>90</v>
      </c>
      <c r="AE292">
        <v>115</v>
      </c>
      <c r="AF292">
        <v>600</v>
      </c>
      <c r="AG292">
        <v>0</v>
      </c>
      <c r="AH292">
        <v>0</v>
      </c>
      <c r="AI292">
        <v>0</v>
      </c>
      <c r="AJ292">
        <v>2</v>
      </c>
      <c r="AK292">
        <v>0</v>
      </c>
      <c r="AL292">
        <v>0</v>
      </c>
    </row>
    <row r="293" spans="1:38" x14ac:dyDescent="0.25">
      <c r="A293" t="s">
        <v>815</v>
      </c>
      <c r="B293" t="s">
        <v>815</v>
      </c>
      <c r="C293" s="1">
        <v>230</v>
      </c>
      <c r="D293" s="1" t="s">
        <v>814</v>
      </c>
      <c r="E293">
        <v>2</v>
      </c>
      <c r="F293">
        <v>1.8</v>
      </c>
      <c r="G293">
        <v>152</v>
      </c>
      <c r="H293" t="s">
        <v>76</v>
      </c>
      <c r="I293" t="s">
        <v>61</v>
      </c>
      <c r="J293" t="s">
        <v>274</v>
      </c>
      <c r="K293" t="s">
        <v>110</v>
      </c>
      <c r="L293" t="s">
        <v>236</v>
      </c>
      <c r="M293" t="s">
        <v>79</v>
      </c>
      <c r="N293">
        <v>50</v>
      </c>
      <c r="O293">
        <v>50</v>
      </c>
      <c r="P293">
        <v>0</v>
      </c>
      <c r="Q293">
        <v>20</v>
      </c>
      <c r="R293" t="s">
        <v>80</v>
      </c>
      <c r="S293" t="s">
        <v>61</v>
      </c>
      <c r="T293">
        <v>45</v>
      </c>
      <c r="U293">
        <v>270</v>
      </c>
      <c r="V293">
        <v>1000000</v>
      </c>
      <c r="W293" t="s">
        <v>46</v>
      </c>
      <c r="Z293">
        <v>75</v>
      </c>
      <c r="AA293">
        <v>95</v>
      </c>
      <c r="AB293">
        <v>95</v>
      </c>
      <c r="AC293">
        <v>95</v>
      </c>
      <c r="AD293">
        <v>95</v>
      </c>
      <c r="AE293">
        <v>85</v>
      </c>
      <c r="AF293">
        <v>540</v>
      </c>
      <c r="AG293">
        <v>0</v>
      </c>
      <c r="AH293">
        <v>1</v>
      </c>
      <c r="AI293">
        <v>0</v>
      </c>
      <c r="AJ293">
        <v>1</v>
      </c>
      <c r="AK293">
        <v>1</v>
      </c>
      <c r="AL293">
        <v>0</v>
      </c>
    </row>
    <row r="294" spans="1:38" x14ac:dyDescent="0.25">
      <c r="A294" t="s">
        <v>817</v>
      </c>
      <c r="B294" t="s">
        <v>817</v>
      </c>
      <c r="C294" s="1">
        <v>231</v>
      </c>
      <c r="D294" s="1" t="s">
        <v>816</v>
      </c>
      <c r="E294">
        <v>2</v>
      </c>
      <c r="F294">
        <v>0.5</v>
      </c>
      <c r="G294">
        <v>33.5</v>
      </c>
      <c r="H294" t="s">
        <v>132</v>
      </c>
      <c r="J294" t="s">
        <v>257</v>
      </c>
      <c r="L294" t="s">
        <v>166</v>
      </c>
      <c r="M294" t="s">
        <v>79</v>
      </c>
      <c r="N294">
        <v>50</v>
      </c>
      <c r="O294">
        <v>50</v>
      </c>
      <c r="P294">
        <v>0</v>
      </c>
      <c r="Q294">
        <v>20</v>
      </c>
      <c r="R294" t="s">
        <v>132</v>
      </c>
      <c r="T294">
        <v>120</v>
      </c>
      <c r="U294">
        <v>66</v>
      </c>
      <c r="V294">
        <v>1000000</v>
      </c>
      <c r="W294" t="s">
        <v>46</v>
      </c>
      <c r="Z294">
        <v>90</v>
      </c>
      <c r="AA294">
        <v>60</v>
      </c>
      <c r="AB294">
        <v>60</v>
      </c>
      <c r="AC294">
        <v>40</v>
      </c>
      <c r="AD294">
        <v>40</v>
      </c>
      <c r="AE294">
        <v>40</v>
      </c>
      <c r="AF294">
        <v>330</v>
      </c>
      <c r="AG294">
        <v>1</v>
      </c>
      <c r="AH294">
        <v>0</v>
      </c>
      <c r="AI294">
        <v>0</v>
      </c>
      <c r="AJ294">
        <v>0</v>
      </c>
      <c r="AK294">
        <v>0</v>
      </c>
      <c r="AL294">
        <v>0</v>
      </c>
    </row>
    <row r="295" spans="1:38" x14ac:dyDescent="0.25">
      <c r="A295" t="s">
        <v>819</v>
      </c>
      <c r="B295" t="s">
        <v>819</v>
      </c>
      <c r="C295" s="1">
        <v>232</v>
      </c>
      <c r="D295" s="1" t="s">
        <v>818</v>
      </c>
      <c r="E295">
        <v>2</v>
      </c>
      <c r="F295">
        <v>1.1000000000000001</v>
      </c>
      <c r="G295">
        <v>120</v>
      </c>
      <c r="H295" t="s">
        <v>132</v>
      </c>
      <c r="J295" t="s">
        <v>338</v>
      </c>
      <c r="L295" t="s">
        <v>166</v>
      </c>
      <c r="M295" t="s">
        <v>318</v>
      </c>
      <c r="N295">
        <v>50</v>
      </c>
      <c r="O295">
        <v>50</v>
      </c>
      <c r="P295">
        <v>0</v>
      </c>
      <c r="Q295">
        <v>20</v>
      </c>
      <c r="R295" t="s">
        <v>132</v>
      </c>
      <c r="T295">
        <v>60</v>
      </c>
      <c r="U295">
        <v>175</v>
      </c>
      <c r="V295">
        <v>1000000</v>
      </c>
      <c r="W295" t="s">
        <v>46</v>
      </c>
      <c r="Z295">
        <v>90</v>
      </c>
      <c r="AA295">
        <v>120</v>
      </c>
      <c r="AB295">
        <v>120</v>
      </c>
      <c r="AC295">
        <v>60</v>
      </c>
      <c r="AD295">
        <v>60</v>
      </c>
      <c r="AE295">
        <v>50</v>
      </c>
      <c r="AF295">
        <v>500</v>
      </c>
      <c r="AG295">
        <v>0</v>
      </c>
      <c r="AH295">
        <v>1</v>
      </c>
      <c r="AI295">
        <v>1</v>
      </c>
      <c r="AJ295">
        <v>0</v>
      </c>
      <c r="AK295">
        <v>0</v>
      </c>
      <c r="AL295">
        <v>0</v>
      </c>
    </row>
    <row r="296" spans="1:38" x14ac:dyDescent="0.25">
      <c r="A296" t="s">
        <v>821</v>
      </c>
      <c r="B296" t="s">
        <v>821</v>
      </c>
      <c r="C296" s="1">
        <v>233</v>
      </c>
      <c r="D296" s="1" t="s">
        <v>820</v>
      </c>
      <c r="E296">
        <v>2</v>
      </c>
      <c r="F296">
        <v>0.6</v>
      </c>
      <c r="G296">
        <v>32.5</v>
      </c>
      <c r="H296" t="s">
        <v>116</v>
      </c>
      <c r="J296" t="s">
        <v>314</v>
      </c>
      <c r="K296" t="s">
        <v>570</v>
      </c>
      <c r="L296" t="s">
        <v>380</v>
      </c>
      <c r="M296" t="s">
        <v>60</v>
      </c>
      <c r="N296">
        <v>0</v>
      </c>
      <c r="O296">
        <v>0</v>
      </c>
      <c r="P296">
        <v>100</v>
      </c>
      <c r="Q296">
        <v>20</v>
      </c>
      <c r="R296" t="s">
        <v>339</v>
      </c>
      <c r="T296">
        <v>45</v>
      </c>
      <c r="U296">
        <v>180</v>
      </c>
      <c r="V296">
        <v>1000000</v>
      </c>
      <c r="W296" t="s">
        <v>46</v>
      </c>
      <c r="Z296">
        <v>85</v>
      </c>
      <c r="AA296">
        <v>80</v>
      </c>
      <c r="AB296">
        <v>90</v>
      </c>
      <c r="AC296">
        <v>105</v>
      </c>
      <c r="AD296">
        <v>95</v>
      </c>
      <c r="AE296">
        <v>60</v>
      </c>
      <c r="AF296">
        <v>515</v>
      </c>
      <c r="AG296">
        <v>0</v>
      </c>
      <c r="AH296">
        <v>0</v>
      </c>
      <c r="AI296">
        <v>0</v>
      </c>
      <c r="AJ296">
        <v>2</v>
      </c>
      <c r="AK296">
        <v>0</v>
      </c>
      <c r="AL296">
        <v>0</v>
      </c>
    </row>
    <row r="297" spans="1:38" x14ac:dyDescent="0.25">
      <c r="A297" t="s">
        <v>823</v>
      </c>
      <c r="B297" t="s">
        <v>823</v>
      </c>
      <c r="C297" s="1">
        <v>234</v>
      </c>
      <c r="D297" s="1" t="s">
        <v>822</v>
      </c>
      <c r="E297">
        <v>2</v>
      </c>
      <c r="F297">
        <v>1.4</v>
      </c>
      <c r="G297">
        <v>71.2</v>
      </c>
      <c r="H297" t="s">
        <v>116</v>
      </c>
      <c r="J297" t="s">
        <v>148</v>
      </c>
      <c r="K297" t="s">
        <v>218</v>
      </c>
      <c r="L297" t="s">
        <v>691</v>
      </c>
      <c r="M297" t="s">
        <v>103</v>
      </c>
      <c r="N297">
        <v>50</v>
      </c>
      <c r="O297">
        <v>50</v>
      </c>
      <c r="P297">
        <v>0</v>
      </c>
      <c r="Q297">
        <v>20</v>
      </c>
      <c r="R297" t="s">
        <v>132</v>
      </c>
      <c r="T297">
        <v>45</v>
      </c>
      <c r="U297">
        <v>163</v>
      </c>
      <c r="V297">
        <v>1250000</v>
      </c>
      <c r="W297" t="s">
        <v>46</v>
      </c>
      <c r="Z297">
        <v>73</v>
      </c>
      <c r="AA297">
        <v>95</v>
      </c>
      <c r="AB297">
        <v>62</v>
      </c>
      <c r="AC297">
        <v>85</v>
      </c>
      <c r="AD297">
        <v>65</v>
      </c>
      <c r="AE297">
        <v>85</v>
      </c>
      <c r="AF297">
        <v>465</v>
      </c>
      <c r="AG297">
        <v>0</v>
      </c>
      <c r="AH297">
        <v>1</v>
      </c>
      <c r="AI297">
        <v>0</v>
      </c>
      <c r="AJ297">
        <v>0</v>
      </c>
      <c r="AK297">
        <v>0</v>
      </c>
      <c r="AL297">
        <v>0</v>
      </c>
    </row>
    <row r="298" spans="1:38" x14ac:dyDescent="0.25">
      <c r="A298" t="s">
        <v>825</v>
      </c>
      <c r="B298" t="s">
        <v>825</v>
      </c>
      <c r="C298" s="1">
        <v>235</v>
      </c>
      <c r="D298" s="1" t="s">
        <v>824</v>
      </c>
      <c r="E298">
        <v>2</v>
      </c>
      <c r="F298">
        <v>1.2</v>
      </c>
      <c r="G298">
        <v>58</v>
      </c>
      <c r="H298" t="s">
        <v>116</v>
      </c>
      <c r="J298" t="s">
        <v>366</v>
      </c>
      <c r="K298" t="s">
        <v>258</v>
      </c>
      <c r="L298" t="s">
        <v>798</v>
      </c>
      <c r="M298" t="s">
        <v>100</v>
      </c>
      <c r="N298">
        <v>50</v>
      </c>
      <c r="O298">
        <v>50</v>
      </c>
      <c r="P298">
        <v>0</v>
      </c>
      <c r="Q298">
        <v>20</v>
      </c>
      <c r="R298" t="s">
        <v>132</v>
      </c>
      <c r="T298">
        <v>45</v>
      </c>
      <c r="U298">
        <v>88</v>
      </c>
      <c r="V298">
        <v>800000</v>
      </c>
      <c r="W298" t="s">
        <v>46</v>
      </c>
      <c r="Z298">
        <v>55</v>
      </c>
      <c r="AA298">
        <v>20</v>
      </c>
      <c r="AB298">
        <v>35</v>
      </c>
      <c r="AC298">
        <v>20</v>
      </c>
      <c r="AD298">
        <v>45</v>
      </c>
      <c r="AE298">
        <v>75</v>
      </c>
      <c r="AF298">
        <v>250</v>
      </c>
      <c r="AG298">
        <v>0</v>
      </c>
      <c r="AH298">
        <v>0</v>
      </c>
      <c r="AI298">
        <v>0</v>
      </c>
      <c r="AJ298">
        <v>0</v>
      </c>
      <c r="AK298">
        <v>0</v>
      </c>
      <c r="AL298">
        <v>1</v>
      </c>
    </row>
    <row r="299" spans="1:38" x14ac:dyDescent="0.25">
      <c r="A299" t="s">
        <v>827</v>
      </c>
      <c r="B299" t="s">
        <v>827</v>
      </c>
      <c r="C299" s="1">
        <v>236</v>
      </c>
      <c r="D299" s="1" t="s">
        <v>826</v>
      </c>
      <c r="E299">
        <v>2</v>
      </c>
      <c r="F299">
        <v>0.7</v>
      </c>
      <c r="G299">
        <v>21</v>
      </c>
      <c r="H299" t="s">
        <v>279</v>
      </c>
      <c r="J299" t="s">
        <v>129</v>
      </c>
      <c r="K299" t="s">
        <v>317</v>
      </c>
      <c r="L299" t="s">
        <v>280</v>
      </c>
      <c r="M299" t="s">
        <v>131</v>
      </c>
      <c r="N299">
        <v>100</v>
      </c>
      <c r="O299">
        <v>0</v>
      </c>
      <c r="P299">
        <v>0</v>
      </c>
      <c r="Q299">
        <v>25</v>
      </c>
      <c r="R299" t="s">
        <v>184</v>
      </c>
      <c r="T299">
        <v>75</v>
      </c>
      <c r="U299">
        <v>42</v>
      </c>
      <c r="V299">
        <v>1000000</v>
      </c>
      <c r="W299" t="s">
        <v>46</v>
      </c>
      <c r="Z299">
        <v>35</v>
      </c>
      <c r="AA299">
        <v>35</v>
      </c>
      <c r="AB299">
        <v>35</v>
      </c>
      <c r="AC299">
        <v>35</v>
      </c>
      <c r="AD299">
        <v>35</v>
      </c>
      <c r="AE299">
        <v>35</v>
      </c>
      <c r="AF299">
        <v>210</v>
      </c>
      <c r="AG299">
        <v>0</v>
      </c>
      <c r="AH299">
        <v>1</v>
      </c>
      <c r="AI299">
        <v>0</v>
      </c>
      <c r="AJ299">
        <v>0</v>
      </c>
      <c r="AK299">
        <v>0</v>
      </c>
      <c r="AL299">
        <v>0</v>
      </c>
    </row>
    <row r="300" spans="1:38" x14ac:dyDescent="0.25">
      <c r="A300" t="s">
        <v>829</v>
      </c>
      <c r="B300" t="s">
        <v>829</v>
      </c>
      <c r="C300" s="1">
        <v>237</v>
      </c>
      <c r="D300" s="1" t="s">
        <v>828</v>
      </c>
      <c r="E300">
        <v>2</v>
      </c>
      <c r="F300">
        <v>1.4</v>
      </c>
      <c r="G300">
        <v>48</v>
      </c>
      <c r="H300" t="s">
        <v>279</v>
      </c>
      <c r="J300" t="s">
        <v>148</v>
      </c>
      <c r="K300" t="s">
        <v>258</v>
      </c>
      <c r="L300" t="s">
        <v>317</v>
      </c>
      <c r="M300" t="s">
        <v>103</v>
      </c>
      <c r="N300">
        <v>100</v>
      </c>
      <c r="O300">
        <v>0</v>
      </c>
      <c r="P300">
        <v>0</v>
      </c>
      <c r="Q300">
        <v>25</v>
      </c>
      <c r="R300" t="s">
        <v>307</v>
      </c>
      <c r="T300">
        <v>45</v>
      </c>
      <c r="U300">
        <v>159</v>
      </c>
      <c r="V300">
        <v>1000000</v>
      </c>
      <c r="W300" t="s">
        <v>46</v>
      </c>
      <c r="Z300">
        <v>50</v>
      </c>
      <c r="AA300">
        <v>95</v>
      </c>
      <c r="AB300">
        <v>95</v>
      </c>
      <c r="AC300">
        <v>35</v>
      </c>
      <c r="AD300">
        <v>110</v>
      </c>
      <c r="AE300">
        <v>70</v>
      </c>
      <c r="AF300">
        <v>455</v>
      </c>
      <c r="AG300">
        <v>0</v>
      </c>
      <c r="AH300">
        <v>0</v>
      </c>
      <c r="AI300">
        <v>0</v>
      </c>
      <c r="AJ300">
        <v>0</v>
      </c>
      <c r="AK300">
        <v>2</v>
      </c>
      <c r="AL300">
        <v>0</v>
      </c>
    </row>
    <row r="301" spans="1:38" x14ac:dyDescent="0.25">
      <c r="A301" t="s">
        <v>831</v>
      </c>
      <c r="B301" t="s">
        <v>831</v>
      </c>
      <c r="C301" s="1">
        <v>238</v>
      </c>
      <c r="D301" s="1" t="s">
        <v>830</v>
      </c>
      <c r="E301">
        <v>2</v>
      </c>
      <c r="F301">
        <v>0.4</v>
      </c>
      <c r="G301">
        <v>6</v>
      </c>
      <c r="H301" t="s">
        <v>170</v>
      </c>
      <c r="I301" t="s">
        <v>162</v>
      </c>
      <c r="J301" t="s">
        <v>365</v>
      </c>
      <c r="K301" t="s">
        <v>435</v>
      </c>
      <c r="L301" t="s">
        <v>395</v>
      </c>
      <c r="M301" t="s">
        <v>199</v>
      </c>
      <c r="N301">
        <v>0</v>
      </c>
      <c r="O301">
        <v>100</v>
      </c>
      <c r="P301">
        <v>0</v>
      </c>
      <c r="Q301">
        <v>25</v>
      </c>
      <c r="R301" t="s">
        <v>184</v>
      </c>
      <c r="T301">
        <v>45</v>
      </c>
      <c r="U301">
        <v>61</v>
      </c>
      <c r="V301">
        <v>1000000</v>
      </c>
      <c r="W301" t="s">
        <v>46</v>
      </c>
      <c r="Z301">
        <v>45</v>
      </c>
      <c r="AA301">
        <v>30</v>
      </c>
      <c r="AB301">
        <v>15</v>
      </c>
      <c r="AC301">
        <v>85</v>
      </c>
      <c r="AD301">
        <v>65</v>
      </c>
      <c r="AE301">
        <v>65</v>
      </c>
      <c r="AF301">
        <v>305</v>
      </c>
      <c r="AG301">
        <v>0</v>
      </c>
      <c r="AH301">
        <v>0</v>
      </c>
      <c r="AI301">
        <v>0</v>
      </c>
      <c r="AJ301">
        <v>1</v>
      </c>
      <c r="AK301">
        <v>0</v>
      </c>
      <c r="AL301">
        <v>0</v>
      </c>
    </row>
    <row r="302" spans="1:38" x14ac:dyDescent="0.25">
      <c r="A302" t="s">
        <v>833</v>
      </c>
      <c r="B302" t="s">
        <v>833</v>
      </c>
      <c r="C302" s="1">
        <v>239</v>
      </c>
      <c r="D302" s="1" t="s">
        <v>832</v>
      </c>
      <c r="E302">
        <v>2</v>
      </c>
      <c r="F302">
        <v>0.6</v>
      </c>
      <c r="G302">
        <v>23.5</v>
      </c>
      <c r="H302" t="s">
        <v>154</v>
      </c>
      <c r="J302" t="s">
        <v>155</v>
      </c>
      <c r="L302" t="s">
        <v>280</v>
      </c>
      <c r="M302" t="s">
        <v>106</v>
      </c>
      <c r="N302">
        <v>75</v>
      </c>
      <c r="O302">
        <v>25</v>
      </c>
      <c r="P302">
        <v>0</v>
      </c>
      <c r="Q302">
        <v>25</v>
      </c>
      <c r="R302" t="s">
        <v>184</v>
      </c>
      <c r="T302">
        <v>45</v>
      </c>
      <c r="U302">
        <v>72</v>
      </c>
      <c r="V302">
        <v>1000000</v>
      </c>
      <c r="W302" t="s">
        <v>46</v>
      </c>
      <c r="Z302">
        <v>45</v>
      </c>
      <c r="AA302">
        <v>63</v>
      </c>
      <c r="AB302">
        <v>37</v>
      </c>
      <c r="AC302">
        <v>65</v>
      </c>
      <c r="AD302">
        <v>55</v>
      </c>
      <c r="AE302">
        <v>95</v>
      </c>
      <c r="AF302">
        <v>360</v>
      </c>
      <c r="AG302">
        <v>0</v>
      </c>
      <c r="AH302">
        <v>0</v>
      </c>
      <c r="AI302">
        <v>0</v>
      </c>
      <c r="AJ302">
        <v>0</v>
      </c>
      <c r="AK302">
        <v>0</v>
      </c>
      <c r="AL302">
        <v>1</v>
      </c>
    </row>
    <row r="303" spans="1:38" x14ac:dyDescent="0.25">
      <c r="A303" t="s">
        <v>835</v>
      </c>
      <c r="B303" t="s">
        <v>835</v>
      </c>
      <c r="C303" s="1">
        <v>240</v>
      </c>
      <c r="D303" s="1" t="s">
        <v>834</v>
      </c>
      <c r="E303">
        <v>2</v>
      </c>
      <c r="F303">
        <v>0.7</v>
      </c>
      <c r="G303">
        <v>21.4</v>
      </c>
      <c r="H303" t="s">
        <v>57</v>
      </c>
      <c r="J303" t="s">
        <v>354</v>
      </c>
      <c r="L303" t="s">
        <v>280</v>
      </c>
      <c r="M303" t="s">
        <v>60</v>
      </c>
      <c r="N303">
        <v>75</v>
      </c>
      <c r="O303">
        <v>25</v>
      </c>
      <c r="P303">
        <v>0</v>
      </c>
      <c r="Q303">
        <v>25</v>
      </c>
      <c r="R303" t="s">
        <v>184</v>
      </c>
      <c r="T303">
        <v>45</v>
      </c>
      <c r="U303">
        <v>73</v>
      </c>
      <c r="V303">
        <v>1000000</v>
      </c>
      <c r="W303" t="s">
        <v>46</v>
      </c>
      <c r="Z303">
        <v>45</v>
      </c>
      <c r="AA303">
        <v>75</v>
      </c>
      <c r="AB303">
        <v>37</v>
      </c>
      <c r="AC303">
        <v>70</v>
      </c>
      <c r="AD303">
        <v>55</v>
      </c>
      <c r="AE303">
        <v>83</v>
      </c>
      <c r="AF303">
        <v>365</v>
      </c>
      <c r="AG303">
        <v>0</v>
      </c>
      <c r="AH303">
        <v>0</v>
      </c>
      <c r="AI303">
        <v>0</v>
      </c>
      <c r="AJ303">
        <v>0</v>
      </c>
      <c r="AK303">
        <v>0</v>
      </c>
      <c r="AL303">
        <v>1</v>
      </c>
    </row>
    <row r="304" spans="1:38" x14ac:dyDescent="0.25">
      <c r="A304" t="s">
        <v>837</v>
      </c>
      <c r="B304" t="s">
        <v>837</v>
      </c>
      <c r="C304" s="1">
        <v>241</v>
      </c>
      <c r="D304" s="1" t="s">
        <v>836</v>
      </c>
      <c r="E304">
        <v>2</v>
      </c>
      <c r="F304">
        <v>1.2</v>
      </c>
      <c r="G304">
        <v>75.5</v>
      </c>
      <c r="H304" t="s">
        <v>116</v>
      </c>
      <c r="J304" t="s">
        <v>53</v>
      </c>
      <c r="K304" t="s">
        <v>387</v>
      </c>
      <c r="L304" t="s">
        <v>691</v>
      </c>
      <c r="M304" t="s">
        <v>199</v>
      </c>
      <c r="N304">
        <v>0</v>
      </c>
      <c r="O304">
        <v>100</v>
      </c>
      <c r="P304">
        <v>0</v>
      </c>
      <c r="Q304">
        <v>20</v>
      </c>
      <c r="R304" t="s">
        <v>132</v>
      </c>
      <c r="T304">
        <v>45</v>
      </c>
      <c r="U304">
        <v>172</v>
      </c>
      <c r="V304">
        <v>1250000</v>
      </c>
      <c r="W304" t="s">
        <v>46</v>
      </c>
      <c r="Z304">
        <v>95</v>
      </c>
      <c r="AA304">
        <v>80</v>
      </c>
      <c r="AB304">
        <v>105</v>
      </c>
      <c r="AC304">
        <v>40</v>
      </c>
      <c r="AD304">
        <v>70</v>
      </c>
      <c r="AE304">
        <v>100</v>
      </c>
      <c r="AF304">
        <v>490</v>
      </c>
      <c r="AG304">
        <v>0</v>
      </c>
      <c r="AH304">
        <v>0</v>
      </c>
      <c r="AI304">
        <v>2</v>
      </c>
      <c r="AJ304">
        <v>0</v>
      </c>
      <c r="AK304">
        <v>0</v>
      </c>
      <c r="AL304">
        <v>0</v>
      </c>
    </row>
    <row r="305" spans="1:38" x14ac:dyDescent="0.25">
      <c r="A305" t="s">
        <v>839</v>
      </c>
      <c r="B305" t="s">
        <v>839</v>
      </c>
      <c r="C305" s="1">
        <v>242</v>
      </c>
      <c r="D305" s="1" t="s">
        <v>838</v>
      </c>
      <c r="E305">
        <v>2</v>
      </c>
      <c r="F305">
        <v>1.5</v>
      </c>
      <c r="G305">
        <v>46.8</v>
      </c>
      <c r="H305" t="s">
        <v>116</v>
      </c>
      <c r="J305" t="s">
        <v>490</v>
      </c>
      <c r="K305" t="s">
        <v>491</v>
      </c>
      <c r="L305" t="s">
        <v>492</v>
      </c>
      <c r="M305" t="s">
        <v>199</v>
      </c>
      <c r="N305">
        <v>0</v>
      </c>
      <c r="O305">
        <v>100</v>
      </c>
      <c r="P305">
        <v>0</v>
      </c>
      <c r="Q305">
        <v>40</v>
      </c>
      <c r="R305" t="s">
        <v>157</v>
      </c>
      <c r="T305">
        <v>30</v>
      </c>
      <c r="U305">
        <v>635</v>
      </c>
      <c r="V305">
        <v>800000</v>
      </c>
      <c r="W305" t="s">
        <v>46</v>
      </c>
      <c r="Z305">
        <v>255</v>
      </c>
      <c r="AA305">
        <v>10</v>
      </c>
      <c r="AB305">
        <v>10</v>
      </c>
      <c r="AC305">
        <v>75</v>
      </c>
      <c r="AD305">
        <v>135</v>
      </c>
      <c r="AE305">
        <v>55</v>
      </c>
      <c r="AF305">
        <v>540</v>
      </c>
      <c r="AG305">
        <v>3</v>
      </c>
      <c r="AH305">
        <v>0</v>
      </c>
      <c r="AI305">
        <v>0</v>
      </c>
      <c r="AJ305">
        <v>0</v>
      </c>
      <c r="AK305">
        <v>0</v>
      </c>
      <c r="AL305">
        <v>0</v>
      </c>
    </row>
    <row r="306" spans="1:38" x14ac:dyDescent="0.25">
      <c r="A306" t="s">
        <v>841</v>
      </c>
      <c r="B306" t="s">
        <v>841</v>
      </c>
      <c r="C306" s="1">
        <v>243</v>
      </c>
      <c r="D306" s="1" t="s">
        <v>840</v>
      </c>
      <c r="E306">
        <v>2</v>
      </c>
      <c r="F306">
        <v>1.9</v>
      </c>
      <c r="G306">
        <v>178</v>
      </c>
      <c r="H306" t="s">
        <v>154</v>
      </c>
      <c r="J306" t="s">
        <v>581</v>
      </c>
      <c r="L306" t="s">
        <v>221</v>
      </c>
      <c r="M306" t="s">
        <v>106</v>
      </c>
      <c r="N306">
        <v>0</v>
      </c>
      <c r="O306">
        <v>0</v>
      </c>
      <c r="P306">
        <v>100</v>
      </c>
      <c r="Q306">
        <v>80</v>
      </c>
      <c r="R306" t="s">
        <v>184</v>
      </c>
      <c r="T306">
        <v>3</v>
      </c>
      <c r="U306">
        <v>290</v>
      </c>
      <c r="V306">
        <v>1250000</v>
      </c>
      <c r="W306" t="s">
        <v>589</v>
      </c>
      <c r="Z306">
        <v>90</v>
      </c>
      <c r="AA306">
        <v>85</v>
      </c>
      <c r="AB306">
        <v>75</v>
      </c>
      <c r="AC306">
        <v>115</v>
      </c>
      <c r="AD306">
        <v>100</v>
      </c>
      <c r="AE306">
        <v>115</v>
      </c>
      <c r="AF306">
        <v>580</v>
      </c>
      <c r="AG306">
        <v>0</v>
      </c>
      <c r="AH306">
        <v>0</v>
      </c>
      <c r="AI306">
        <v>0</v>
      </c>
      <c r="AJ306">
        <v>1</v>
      </c>
      <c r="AK306">
        <v>0</v>
      </c>
      <c r="AL306">
        <v>2</v>
      </c>
    </row>
    <row r="307" spans="1:38" x14ac:dyDescent="0.25">
      <c r="A307" t="s">
        <v>843</v>
      </c>
      <c r="B307" t="s">
        <v>843</v>
      </c>
      <c r="C307" s="1">
        <v>244</v>
      </c>
      <c r="D307" s="1" t="s">
        <v>842</v>
      </c>
      <c r="E307">
        <v>2</v>
      </c>
      <c r="F307">
        <v>2.1</v>
      </c>
      <c r="G307">
        <v>198</v>
      </c>
      <c r="H307" t="s">
        <v>57</v>
      </c>
      <c r="J307" t="s">
        <v>581</v>
      </c>
      <c r="L307" t="s">
        <v>221</v>
      </c>
      <c r="M307" t="s">
        <v>103</v>
      </c>
      <c r="N307">
        <v>0</v>
      </c>
      <c r="O307">
        <v>0</v>
      </c>
      <c r="P307">
        <v>100</v>
      </c>
      <c r="Q307">
        <v>80</v>
      </c>
      <c r="R307" t="s">
        <v>184</v>
      </c>
      <c r="T307">
        <v>3</v>
      </c>
      <c r="U307">
        <v>290</v>
      </c>
      <c r="V307">
        <v>1250000</v>
      </c>
      <c r="W307" t="s">
        <v>589</v>
      </c>
      <c r="Z307">
        <v>115</v>
      </c>
      <c r="AA307">
        <v>115</v>
      </c>
      <c r="AB307">
        <v>85</v>
      </c>
      <c r="AC307">
        <v>90</v>
      </c>
      <c r="AD307">
        <v>75</v>
      </c>
      <c r="AE307">
        <v>100</v>
      </c>
      <c r="AF307">
        <v>580</v>
      </c>
      <c r="AG307">
        <v>1</v>
      </c>
      <c r="AH307">
        <v>2</v>
      </c>
      <c r="AI307">
        <v>0</v>
      </c>
      <c r="AJ307">
        <v>0</v>
      </c>
      <c r="AK307">
        <v>0</v>
      </c>
      <c r="AL307">
        <v>0</v>
      </c>
    </row>
    <row r="308" spans="1:38" x14ac:dyDescent="0.25">
      <c r="A308" t="s">
        <v>845</v>
      </c>
      <c r="B308" t="s">
        <v>845</v>
      </c>
      <c r="C308" s="1">
        <v>245</v>
      </c>
      <c r="D308" s="1" t="s">
        <v>844</v>
      </c>
      <c r="E308">
        <v>2</v>
      </c>
      <c r="F308">
        <v>2</v>
      </c>
      <c r="G308">
        <v>187</v>
      </c>
      <c r="H308" t="s">
        <v>76</v>
      </c>
      <c r="J308" t="s">
        <v>581</v>
      </c>
      <c r="L308" t="s">
        <v>221</v>
      </c>
      <c r="M308" t="s">
        <v>79</v>
      </c>
      <c r="N308">
        <v>0</v>
      </c>
      <c r="O308">
        <v>0</v>
      </c>
      <c r="P308">
        <v>100</v>
      </c>
      <c r="Q308">
        <v>80</v>
      </c>
      <c r="R308" t="s">
        <v>184</v>
      </c>
      <c r="T308">
        <v>3</v>
      </c>
      <c r="U308">
        <v>290</v>
      </c>
      <c r="V308">
        <v>1250000</v>
      </c>
      <c r="W308" t="s">
        <v>589</v>
      </c>
      <c r="Z308">
        <v>100</v>
      </c>
      <c r="AA308">
        <v>75</v>
      </c>
      <c r="AB308">
        <v>115</v>
      </c>
      <c r="AC308">
        <v>90</v>
      </c>
      <c r="AD308">
        <v>115</v>
      </c>
      <c r="AE308">
        <v>85</v>
      </c>
      <c r="AF308">
        <v>580</v>
      </c>
      <c r="AG308">
        <v>0</v>
      </c>
      <c r="AH308">
        <v>0</v>
      </c>
      <c r="AI308">
        <v>1</v>
      </c>
      <c r="AJ308">
        <v>0</v>
      </c>
      <c r="AK308">
        <v>2</v>
      </c>
      <c r="AL308">
        <v>0</v>
      </c>
    </row>
    <row r="309" spans="1:38" x14ac:dyDescent="0.25">
      <c r="A309" t="s">
        <v>847</v>
      </c>
      <c r="B309" t="s">
        <v>847</v>
      </c>
      <c r="C309" s="1">
        <v>246</v>
      </c>
      <c r="D309" s="1" t="s">
        <v>846</v>
      </c>
      <c r="E309">
        <v>2</v>
      </c>
      <c r="F309">
        <v>0.6</v>
      </c>
      <c r="G309">
        <v>72</v>
      </c>
      <c r="H309" t="s">
        <v>290</v>
      </c>
      <c r="I309" t="s">
        <v>132</v>
      </c>
      <c r="J309" t="s">
        <v>129</v>
      </c>
      <c r="L309" t="s">
        <v>166</v>
      </c>
      <c r="M309" t="s">
        <v>44</v>
      </c>
      <c r="N309">
        <v>50</v>
      </c>
      <c r="O309">
        <v>50</v>
      </c>
      <c r="P309">
        <v>0</v>
      </c>
      <c r="Q309">
        <v>40</v>
      </c>
      <c r="R309" t="s">
        <v>45</v>
      </c>
      <c r="T309">
        <v>45</v>
      </c>
      <c r="U309">
        <v>60</v>
      </c>
      <c r="V309">
        <v>1250000</v>
      </c>
      <c r="W309" t="s">
        <v>46</v>
      </c>
      <c r="Z309">
        <v>50</v>
      </c>
      <c r="AA309">
        <v>64</v>
      </c>
      <c r="AB309">
        <v>50</v>
      </c>
      <c r="AC309">
        <v>45</v>
      </c>
      <c r="AD309">
        <v>50</v>
      </c>
      <c r="AE309">
        <v>41</v>
      </c>
      <c r="AF309">
        <v>300</v>
      </c>
      <c r="AG309">
        <v>0</v>
      </c>
      <c r="AH309">
        <v>1</v>
      </c>
      <c r="AI309">
        <v>0</v>
      </c>
      <c r="AJ309">
        <v>0</v>
      </c>
      <c r="AK309">
        <v>0</v>
      </c>
      <c r="AL309">
        <v>0</v>
      </c>
    </row>
    <row r="310" spans="1:38" x14ac:dyDescent="0.25">
      <c r="A310" t="s">
        <v>849</v>
      </c>
      <c r="B310" t="s">
        <v>849</v>
      </c>
      <c r="C310" s="1">
        <v>247</v>
      </c>
      <c r="D310" s="1" t="s">
        <v>848</v>
      </c>
      <c r="E310">
        <v>2</v>
      </c>
      <c r="F310">
        <v>1.2</v>
      </c>
      <c r="G310">
        <v>152</v>
      </c>
      <c r="H310" t="s">
        <v>290</v>
      </c>
      <c r="I310" t="s">
        <v>132</v>
      </c>
      <c r="J310" t="s">
        <v>95</v>
      </c>
      <c r="M310" t="s">
        <v>318</v>
      </c>
      <c r="N310">
        <v>50</v>
      </c>
      <c r="O310">
        <v>50</v>
      </c>
      <c r="P310">
        <v>0</v>
      </c>
      <c r="Q310">
        <v>40</v>
      </c>
      <c r="R310" t="s">
        <v>45</v>
      </c>
      <c r="T310">
        <v>45</v>
      </c>
      <c r="U310">
        <v>144</v>
      </c>
      <c r="V310">
        <v>1250000</v>
      </c>
      <c r="W310" t="s">
        <v>46</v>
      </c>
      <c r="Z310">
        <v>70</v>
      </c>
      <c r="AA310">
        <v>84</v>
      </c>
      <c r="AB310">
        <v>70</v>
      </c>
      <c r="AC310">
        <v>65</v>
      </c>
      <c r="AD310">
        <v>70</v>
      </c>
      <c r="AE310">
        <v>51</v>
      </c>
      <c r="AF310">
        <v>410</v>
      </c>
      <c r="AG310">
        <v>0</v>
      </c>
      <c r="AH310">
        <v>2</v>
      </c>
      <c r="AI310">
        <v>0</v>
      </c>
      <c r="AJ310">
        <v>0</v>
      </c>
      <c r="AK310">
        <v>0</v>
      </c>
      <c r="AL310">
        <v>0</v>
      </c>
    </row>
    <row r="311" spans="1:38" x14ac:dyDescent="0.25">
      <c r="A311" t="s">
        <v>851</v>
      </c>
      <c r="B311" t="s">
        <v>851</v>
      </c>
      <c r="C311" s="1">
        <v>248</v>
      </c>
      <c r="D311" s="1" t="s">
        <v>850</v>
      </c>
      <c r="E311">
        <v>2</v>
      </c>
      <c r="F311">
        <v>2</v>
      </c>
      <c r="G311">
        <v>202</v>
      </c>
      <c r="H311" t="s">
        <v>290</v>
      </c>
      <c r="I311" t="s">
        <v>135</v>
      </c>
      <c r="J311" t="s">
        <v>852</v>
      </c>
      <c r="L311" t="s">
        <v>149</v>
      </c>
      <c r="M311" t="s">
        <v>44</v>
      </c>
      <c r="N311">
        <v>50</v>
      </c>
      <c r="O311">
        <v>50</v>
      </c>
      <c r="P311">
        <v>0</v>
      </c>
      <c r="Q311">
        <v>40</v>
      </c>
      <c r="R311" t="s">
        <v>45</v>
      </c>
      <c r="T311">
        <v>45</v>
      </c>
      <c r="U311">
        <v>300</v>
      </c>
      <c r="V311">
        <v>1250000</v>
      </c>
      <c r="W311" t="s">
        <v>46</v>
      </c>
      <c r="Z311">
        <v>100</v>
      </c>
      <c r="AA311">
        <v>134</v>
      </c>
      <c r="AB311">
        <v>110</v>
      </c>
      <c r="AC311">
        <v>95</v>
      </c>
      <c r="AD311">
        <v>100</v>
      </c>
      <c r="AE311">
        <v>61</v>
      </c>
      <c r="AF311">
        <v>600</v>
      </c>
      <c r="AG311">
        <v>0</v>
      </c>
      <c r="AH311">
        <v>3</v>
      </c>
      <c r="AI311">
        <v>0</v>
      </c>
      <c r="AJ311">
        <v>0</v>
      </c>
      <c r="AK311">
        <v>0</v>
      </c>
      <c r="AL311">
        <v>0</v>
      </c>
    </row>
    <row r="312" spans="1:38" x14ac:dyDescent="0.25">
      <c r="A312" t="s">
        <v>851</v>
      </c>
      <c r="B312" t="s">
        <v>854</v>
      </c>
      <c r="C312" s="1">
        <v>248</v>
      </c>
      <c r="D312" s="1" t="s">
        <v>853</v>
      </c>
      <c r="E312">
        <v>2</v>
      </c>
      <c r="F312">
        <v>2.5</v>
      </c>
      <c r="G312">
        <v>255</v>
      </c>
      <c r="H312" t="s">
        <v>290</v>
      </c>
      <c r="I312" t="s">
        <v>135</v>
      </c>
      <c r="J312" t="s">
        <v>852</v>
      </c>
      <c r="M312" t="s">
        <v>44</v>
      </c>
      <c r="N312">
        <v>50</v>
      </c>
      <c r="O312">
        <v>50</v>
      </c>
      <c r="P312">
        <v>0</v>
      </c>
      <c r="Q312">
        <v>40</v>
      </c>
      <c r="R312" t="s">
        <v>45</v>
      </c>
      <c r="T312">
        <v>45</v>
      </c>
      <c r="U312">
        <v>315</v>
      </c>
      <c r="V312">
        <v>1250000</v>
      </c>
      <c r="W312" t="s">
        <v>46</v>
      </c>
      <c r="X312" t="s">
        <v>54</v>
      </c>
      <c r="Z312">
        <v>100</v>
      </c>
      <c r="AA312">
        <v>164</v>
      </c>
      <c r="AB312">
        <v>150</v>
      </c>
      <c r="AC312">
        <v>95</v>
      </c>
      <c r="AD312">
        <v>120</v>
      </c>
      <c r="AE312">
        <v>71</v>
      </c>
      <c r="AF312">
        <v>700</v>
      </c>
      <c r="AG312">
        <v>0</v>
      </c>
      <c r="AH312">
        <v>3</v>
      </c>
      <c r="AI312">
        <v>0</v>
      </c>
      <c r="AJ312">
        <v>0</v>
      </c>
      <c r="AK312">
        <v>0</v>
      </c>
      <c r="AL312">
        <v>0</v>
      </c>
    </row>
    <row r="313" spans="1:38" x14ac:dyDescent="0.25">
      <c r="A313" t="s">
        <v>856</v>
      </c>
      <c r="B313" t="s">
        <v>856</v>
      </c>
      <c r="C313" s="1">
        <v>249</v>
      </c>
      <c r="D313" s="1" t="s">
        <v>855</v>
      </c>
      <c r="E313">
        <v>2</v>
      </c>
      <c r="F313">
        <v>5.2</v>
      </c>
      <c r="G313">
        <v>216</v>
      </c>
      <c r="H313" t="s">
        <v>162</v>
      </c>
      <c r="I313" t="s">
        <v>66</v>
      </c>
      <c r="J313" t="s">
        <v>581</v>
      </c>
      <c r="L313" t="s">
        <v>608</v>
      </c>
      <c r="M313" t="s">
        <v>100</v>
      </c>
      <c r="N313">
        <v>0</v>
      </c>
      <c r="O313">
        <v>0</v>
      </c>
      <c r="P313">
        <v>100</v>
      </c>
      <c r="Q313">
        <v>120</v>
      </c>
      <c r="R313" t="s">
        <v>184</v>
      </c>
      <c r="T313">
        <v>3</v>
      </c>
      <c r="U313">
        <v>340</v>
      </c>
      <c r="V313">
        <v>1250000</v>
      </c>
      <c r="W313" t="s">
        <v>611</v>
      </c>
      <c r="Z313">
        <v>106</v>
      </c>
      <c r="AA313">
        <v>90</v>
      </c>
      <c r="AB313">
        <v>130</v>
      </c>
      <c r="AC313">
        <v>90</v>
      </c>
      <c r="AD313">
        <v>154</v>
      </c>
      <c r="AE313">
        <v>110</v>
      </c>
      <c r="AF313">
        <v>680</v>
      </c>
      <c r="AG313">
        <v>0</v>
      </c>
      <c r="AH313">
        <v>0</v>
      </c>
      <c r="AI313">
        <v>0</v>
      </c>
      <c r="AJ313">
        <v>0</v>
      </c>
      <c r="AK313">
        <v>3</v>
      </c>
      <c r="AL313">
        <v>0</v>
      </c>
    </row>
    <row r="314" spans="1:38" x14ac:dyDescent="0.25">
      <c r="A314" t="s">
        <v>858</v>
      </c>
      <c r="B314" t="s">
        <v>858</v>
      </c>
      <c r="C314" s="1">
        <v>250</v>
      </c>
      <c r="D314" s="1" t="s">
        <v>857</v>
      </c>
      <c r="E314">
        <v>2</v>
      </c>
      <c r="F314">
        <v>3.8</v>
      </c>
      <c r="G314">
        <v>199</v>
      </c>
      <c r="H314" t="s">
        <v>57</v>
      </c>
      <c r="I314" t="s">
        <v>66</v>
      </c>
      <c r="J314" t="s">
        <v>581</v>
      </c>
      <c r="L314" t="s">
        <v>367</v>
      </c>
      <c r="M314" t="s">
        <v>60</v>
      </c>
      <c r="N314">
        <v>0</v>
      </c>
      <c r="O314">
        <v>0</v>
      </c>
      <c r="P314">
        <v>100</v>
      </c>
      <c r="Q314">
        <v>120</v>
      </c>
      <c r="R314" t="s">
        <v>184</v>
      </c>
      <c r="T314">
        <v>3</v>
      </c>
      <c r="U314">
        <v>340</v>
      </c>
      <c r="V314">
        <v>1250000</v>
      </c>
      <c r="W314" t="s">
        <v>611</v>
      </c>
      <c r="Z314">
        <v>106</v>
      </c>
      <c r="AA314">
        <v>130</v>
      </c>
      <c r="AB314">
        <v>90</v>
      </c>
      <c r="AC314">
        <v>110</v>
      </c>
      <c r="AD314">
        <v>154</v>
      </c>
      <c r="AE314">
        <v>90</v>
      </c>
      <c r="AF314">
        <v>680</v>
      </c>
      <c r="AG314">
        <v>0</v>
      </c>
      <c r="AH314">
        <v>0</v>
      </c>
      <c r="AI314">
        <v>0</v>
      </c>
      <c r="AJ314">
        <v>0</v>
      </c>
      <c r="AK314">
        <v>3</v>
      </c>
      <c r="AL314">
        <v>0</v>
      </c>
    </row>
    <row r="315" spans="1:38" x14ac:dyDescent="0.25">
      <c r="A315" t="s">
        <v>860</v>
      </c>
      <c r="B315" t="s">
        <v>860</v>
      </c>
      <c r="C315" s="1">
        <v>251</v>
      </c>
      <c r="D315" s="1" t="s">
        <v>859</v>
      </c>
      <c r="E315">
        <v>2</v>
      </c>
      <c r="F315">
        <v>0.6</v>
      </c>
      <c r="G315">
        <v>5</v>
      </c>
      <c r="H315" t="s">
        <v>162</v>
      </c>
      <c r="I315" t="s">
        <v>40</v>
      </c>
      <c r="J315" t="s">
        <v>490</v>
      </c>
      <c r="M315" t="s">
        <v>44</v>
      </c>
      <c r="N315">
        <v>0</v>
      </c>
      <c r="O315">
        <v>0</v>
      </c>
      <c r="P315">
        <v>100</v>
      </c>
      <c r="Q315">
        <v>120</v>
      </c>
      <c r="R315" t="s">
        <v>184</v>
      </c>
      <c r="T315">
        <v>45</v>
      </c>
      <c r="U315">
        <v>300</v>
      </c>
      <c r="V315">
        <v>1059860</v>
      </c>
      <c r="W315" t="s">
        <v>618</v>
      </c>
      <c r="Z315">
        <v>100</v>
      </c>
      <c r="AA315">
        <v>100</v>
      </c>
      <c r="AB315">
        <v>100</v>
      </c>
      <c r="AC315">
        <v>100</v>
      </c>
      <c r="AD315">
        <v>100</v>
      </c>
      <c r="AE315">
        <v>100</v>
      </c>
      <c r="AF315">
        <v>600</v>
      </c>
      <c r="AG315">
        <v>3</v>
      </c>
      <c r="AH315">
        <v>0</v>
      </c>
      <c r="AI315">
        <v>0</v>
      </c>
      <c r="AJ315">
        <v>0</v>
      </c>
      <c r="AK315">
        <v>0</v>
      </c>
      <c r="AL315">
        <v>0</v>
      </c>
    </row>
    <row r="316" spans="1:38" x14ac:dyDescent="0.25">
      <c r="A316" t="s">
        <v>862</v>
      </c>
      <c r="B316" t="s">
        <v>862</v>
      </c>
      <c r="C316" s="1">
        <v>252</v>
      </c>
      <c r="D316" s="1" t="s">
        <v>861</v>
      </c>
      <c r="E316">
        <v>3</v>
      </c>
      <c r="F316">
        <v>0.5</v>
      </c>
      <c r="G316">
        <v>5</v>
      </c>
      <c r="H316" t="s">
        <v>40</v>
      </c>
      <c r="J316" t="s">
        <v>42</v>
      </c>
      <c r="L316" t="s">
        <v>470</v>
      </c>
      <c r="M316" t="s">
        <v>44</v>
      </c>
      <c r="N316">
        <v>87.5</v>
      </c>
      <c r="O316">
        <v>12.5</v>
      </c>
      <c r="P316">
        <v>0</v>
      </c>
      <c r="Q316">
        <v>20</v>
      </c>
      <c r="R316" t="s">
        <v>45</v>
      </c>
      <c r="S316" t="s">
        <v>61</v>
      </c>
      <c r="T316">
        <v>45</v>
      </c>
      <c r="U316">
        <v>62</v>
      </c>
      <c r="V316">
        <v>1059860</v>
      </c>
      <c r="W316" t="s">
        <v>46</v>
      </c>
      <c r="Z316">
        <v>40</v>
      </c>
      <c r="AA316">
        <v>45</v>
      </c>
      <c r="AB316">
        <v>35</v>
      </c>
      <c r="AC316">
        <v>65</v>
      </c>
      <c r="AD316">
        <v>55</v>
      </c>
      <c r="AE316">
        <v>70</v>
      </c>
      <c r="AF316">
        <v>310</v>
      </c>
      <c r="AG316">
        <v>0</v>
      </c>
      <c r="AH316">
        <v>0</v>
      </c>
      <c r="AI316">
        <v>0</v>
      </c>
      <c r="AJ316">
        <v>0</v>
      </c>
      <c r="AK316">
        <v>0</v>
      </c>
      <c r="AL316">
        <v>1</v>
      </c>
    </row>
    <row r="317" spans="1:38" x14ac:dyDescent="0.25">
      <c r="A317" t="s">
        <v>864</v>
      </c>
      <c r="B317" t="s">
        <v>864</v>
      </c>
      <c r="C317" s="1">
        <v>253</v>
      </c>
      <c r="D317" s="1" t="s">
        <v>863</v>
      </c>
      <c r="E317">
        <v>3</v>
      </c>
      <c r="F317">
        <v>0.9</v>
      </c>
      <c r="G317">
        <v>21.6</v>
      </c>
      <c r="H317" t="s">
        <v>40</v>
      </c>
      <c r="J317" t="s">
        <v>42</v>
      </c>
      <c r="L317" t="s">
        <v>470</v>
      </c>
      <c r="M317" t="s">
        <v>44</v>
      </c>
      <c r="N317">
        <v>87.5</v>
      </c>
      <c r="O317">
        <v>12.5</v>
      </c>
      <c r="P317">
        <v>0</v>
      </c>
      <c r="Q317">
        <v>20</v>
      </c>
      <c r="R317" t="s">
        <v>45</v>
      </c>
      <c r="S317" t="s">
        <v>61</v>
      </c>
      <c r="T317">
        <v>45</v>
      </c>
      <c r="U317">
        <v>142</v>
      </c>
      <c r="V317">
        <v>1059860</v>
      </c>
      <c r="W317" t="s">
        <v>46</v>
      </c>
      <c r="Z317">
        <v>50</v>
      </c>
      <c r="AA317">
        <v>65</v>
      </c>
      <c r="AB317">
        <v>45</v>
      </c>
      <c r="AC317">
        <v>85</v>
      </c>
      <c r="AD317">
        <v>65</v>
      </c>
      <c r="AE317">
        <v>95</v>
      </c>
      <c r="AF317">
        <v>405</v>
      </c>
      <c r="AG317">
        <v>0</v>
      </c>
      <c r="AH317">
        <v>0</v>
      </c>
      <c r="AI317">
        <v>0</v>
      </c>
      <c r="AJ317">
        <v>0</v>
      </c>
      <c r="AK317">
        <v>0</v>
      </c>
      <c r="AL317">
        <v>2</v>
      </c>
    </row>
    <row r="318" spans="1:38" x14ac:dyDescent="0.25">
      <c r="A318" t="s">
        <v>866</v>
      </c>
      <c r="B318" t="s">
        <v>866</v>
      </c>
      <c r="C318" s="1">
        <v>254</v>
      </c>
      <c r="D318" s="1" t="s">
        <v>865</v>
      </c>
      <c r="E318">
        <v>3</v>
      </c>
      <c r="F318">
        <v>1.7</v>
      </c>
      <c r="G318">
        <v>52.2</v>
      </c>
      <c r="H318" t="s">
        <v>40</v>
      </c>
      <c r="J318" t="s">
        <v>42</v>
      </c>
      <c r="L318" t="s">
        <v>470</v>
      </c>
      <c r="M318" t="s">
        <v>44</v>
      </c>
      <c r="N318">
        <v>87.5</v>
      </c>
      <c r="O318">
        <v>12.5</v>
      </c>
      <c r="P318">
        <v>0</v>
      </c>
      <c r="Q318">
        <v>20</v>
      </c>
      <c r="R318" t="s">
        <v>45</v>
      </c>
      <c r="S318" t="s">
        <v>61</v>
      </c>
      <c r="T318">
        <v>45</v>
      </c>
      <c r="U318">
        <v>265</v>
      </c>
      <c r="V318">
        <v>1059860</v>
      </c>
      <c r="W318" t="s">
        <v>46</v>
      </c>
      <c r="Z318">
        <v>70</v>
      </c>
      <c r="AA318">
        <v>85</v>
      </c>
      <c r="AB318">
        <v>65</v>
      </c>
      <c r="AC318">
        <v>105</v>
      </c>
      <c r="AD318">
        <v>85</v>
      </c>
      <c r="AE318">
        <v>120</v>
      </c>
      <c r="AF318">
        <v>530</v>
      </c>
      <c r="AG318">
        <v>0</v>
      </c>
      <c r="AH318">
        <v>0</v>
      </c>
      <c r="AI318">
        <v>0</v>
      </c>
      <c r="AJ318">
        <v>0</v>
      </c>
      <c r="AK318">
        <v>0</v>
      </c>
      <c r="AL318">
        <v>3</v>
      </c>
    </row>
    <row r="319" spans="1:38" x14ac:dyDescent="0.25">
      <c r="A319" t="s">
        <v>866</v>
      </c>
      <c r="B319" t="s">
        <v>868</v>
      </c>
      <c r="C319" s="1">
        <v>254</v>
      </c>
      <c r="D319" s="1" t="s">
        <v>867</v>
      </c>
      <c r="E319">
        <v>3</v>
      </c>
      <c r="F319">
        <v>1.9</v>
      </c>
      <c r="G319">
        <v>55.2</v>
      </c>
      <c r="H319" t="s">
        <v>40</v>
      </c>
      <c r="I319" t="s">
        <v>61</v>
      </c>
      <c r="J319" t="s">
        <v>156</v>
      </c>
      <c r="M319" t="s">
        <v>44</v>
      </c>
      <c r="N319">
        <v>87.5</v>
      </c>
      <c r="O319">
        <v>12.5</v>
      </c>
      <c r="P319">
        <v>0</v>
      </c>
      <c r="Q319">
        <v>20</v>
      </c>
      <c r="R319" t="s">
        <v>45</v>
      </c>
      <c r="S319" t="s">
        <v>61</v>
      </c>
      <c r="T319">
        <v>45</v>
      </c>
      <c r="U319">
        <v>284</v>
      </c>
      <c r="V319">
        <v>1059860</v>
      </c>
      <c r="W319" t="s">
        <v>46</v>
      </c>
      <c r="X319" t="s">
        <v>54</v>
      </c>
      <c r="Z319">
        <v>70</v>
      </c>
      <c r="AA319">
        <v>110</v>
      </c>
      <c r="AB319">
        <v>75</v>
      </c>
      <c r="AC319">
        <v>145</v>
      </c>
      <c r="AD319">
        <v>85</v>
      </c>
      <c r="AE319">
        <v>145</v>
      </c>
      <c r="AF319">
        <v>630</v>
      </c>
      <c r="AG319">
        <v>0</v>
      </c>
      <c r="AH319">
        <v>0</v>
      </c>
      <c r="AI319">
        <v>0</v>
      </c>
      <c r="AJ319">
        <v>0</v>
      </c>
      <c r="AK319">
        <v>0</v>
      </c>
      <c r="AL319">
        <v>3</v>
      </c>
    </row>
    <row r="320" spans="1:38" x14ac:dyDescent="0.25">
      <c r="A320" t="s">
        <v>870</v>
      </c>
      <c r="B320" t="s">
        <v>870</v>
      </c>
      <c r="C320" s="1">
        <v>255</v>
      </c>
      <c r="D320" s="1" t="s">
        <v>869</v>
      </c>
      <c r="E320">
        <v>3</v>
      </c>
      <c r="F320">
        <v>0.4</v>
      </c>
      <c r="G320">
        <v>2.5</v>
      </c>
      <c r="H320" t="s">
        <v>57</v>
      </c>
      <c r="J320" t="s">
        <v>58</v>
      </c>
      <c r="L320" t="s">
        <v>713</v>
      </c>
      <c r="M320" t="s">
        <v>60</v>
      </c>
      <c r="N320">
        <v>87.5</v>
      </c>
      <c r="O320">
        <v>12.5</v>
      </c>
      <c r="P320">
        <v>0</v>
      </c>
      <c r="Q320">
        <v>20</v>
      </c>
      <c r="R320" t="s">
        <v>132</v>
      </c>
      <c r="T320">
        <v>45</v>
      </c>
      <c r="U320">
        <v>62</v>
      </c>
      <c r="V320">
        <v>1059860</v>
      </c>
      <c r="W320" t="s">
        <v>46</v>
      </c>
      <c r="Z320">
        <v>45</v>
      </c>
      <c r="AA320">
        <v>60</v>
      </c>
      <c r="AB320">
        <v>40</v>
      </c>
      <c r="AC320">
        <v>70</v>
      </c>
      <c r="AD320">
        <v>50</v>
      </c>
      <c r="AE320">
        <v>45</v>
      </c>
      <c r="AF320">
        <v>310</v>
      </c>
      <c r="AG320">
        <v>0</v>
      </c>
      <c r="AH320">
        <v>0</v>
      </c>
      <c r="AI320">
        <v>0</v>
      </c>
      <c r="AJ320">
        <v>1</v>
      </c>
      <c r="AK320">
        <v>0</v>
      </c>
      <c r="AL320">
        <v>0</v>
      </c>
    </row>
    <row r="321" spans="1:38" x14ac:dyDescent="0.25">
      <c r="A321" t="s">
        <v>872</v>
      </c>
      <c r="B321" t="s">
        <v>872</v>
      </c>
      <c r="C321" s="1">
        <v>256</v>
      </c>
      <c r="D321" s="1" t="s">
        <v>871</v>
      </c>
      <c r="E321">
        <v>3</v>
      </c>
      <c r="F321">
        <v>0.9</v>
      </c>
      <c r="G321">
        <v>19.5</v>
      </c>
      <c r="H321" t="s">
        <v>57</v>
      </c>
      <c r="I321" t="s">
        <v>279</v>
      </c>
      <c r="J321" t="s">
        <v>58</v>
      </c>
      <c r="L321" t="s">
        <v>713</v>
      </c>
      <c r="M321" t="s">
        <v>60</v>
      </c>
      <c r="N321">
        <v>87.5</v>
      </c>
      <c r="O321">
        <v>12.5</v>
      </c>
      <c r="P321">
        <v>0</v>
      </c>
      <c r="Q321">
        <v>20</v>
      </c>
      <c r="R321" t="s">
        <v>132</v>
      </c>
      <c r="T321">
        <v>45</v>
      </c>
      <c r="U321">
        <v>142</v>
      </c>
      <c r="V321">
        <v>1059860</v>
      </c>
      <c r="W321" t="s">
        <v>46</v>
      </c>
      <c r="Z321">
        <v>60</v>
      </c>
      <c r="AA321">
        <v>85</v>
      </c>
      <c r="AB321">
        <v>60</v>
      </c>
      <c r="AC321">
        <v>85</v>
      </c>
      <c r="AD321">
        <v>60</v>
      </c>
      <c r="AE321">
        <v>55</v>
      </c>
      <c r="AF321">
        <v>405</v>
      </c>
      <c r="AG321">
        <v>0</v>
      </c>
      <c r="AH321">
        <v>1</v>
      </c>
      <c r="AI321">
        <v>0</v>
      </c>
      <c r="AJ321">
        <v>1</v>
      </c>
      <c r="AK321">
        <v>0</v>
      </c>
      <c r="AL321">
        <v>0</v>
      </c>
    </row>
    <row r="322" spans="1:38" x14ac:dyDescent="0.25">
      <c r="A322" t="s">
        <v>874</v>
      </c>
      <c r="B322" t="s">
        <v>874</v>
      </c>
      <c r="C322" s="1">
        <v>257</v>
      </c>
      <c r="D322" s="1" t="s">
        <v>873</v>
      </c>
      <c r="E322">
        <v>3</v>
      </c>
      <c r="F322">
        <v>1.9</v>
      </c>
      <c r="G322">
        <v>52</v>
      </c>
      <c r="H322" t="s">
        <v>57</v>
      </c>
      <c r="I322" t="s">
        <v>279</v>
      </c>
      <c r="J322" t="s">
        <v>58</v>
      </c>
      <c r="L322" t="s">
        <v>713</v>
      </c>
      <c r="M322" t="s">
        <v>60</v>
      </c>
      <c r="N322">
        <v>87.5</v>
      </c>
      <c r="O322">
        <v>12.5</v>
      </c>
      <c r="P322">
        <v>0</v>
      </c>
      <c r="Q322">
        <v>20</v>
      </c>
      <c r="R322" t="s">
        <v>132</v>
      </c>
      <c r="T322">
        <v>45</v>
      </c>
      <c r="U322">
        <v>265</v>
      </c>
      <c r="V322">
        <v>1059860</v>
      </c>
      <c r="W322" t="s">
        <v>46</v>
      </c>
      <c r="Z322">
        <v>80</v>
      </c>
      <c r="AA322">
        <v>120</v>
      </c>
      <c r="AB322">
        <v>70</v>
      </c>
      <c r="AC322">
        <v>110</v>
      </c>
      <c r="AD322">
        <v>70</v>
      </c>
      <c r="AE322">
        <v>80</v>
      </c>
      <c r="AF322">
        <v>530</v>
      </c>
      <c r="AG322">
        <v>0</v>
      </c>
      <c r="AH322">
        <v>3</v>
      </c>
      <c r="AI322">
        <v>0</v>
      </c>
      <c r="AJ322">
        <v>0</v>
      </c>
      <c r="AK322">
        <v>0</v>
      </c>
      <c r="AL322">
        <v>0</v>
      </c>
    </row>
    <row r="323" spans="1:38" x14ac:dyDescent="0.25">
      <c r="A323" t="s">
        <v>874</v>
      </c>
      <c r="B323" t="s">
        <v>876</v>
      </c>
      <c r="C323" s="1">
        <v>257</v>
      </c>
      <c r="D323" s="1" t="s">
        <v>875</v>
      </c>
      <c r="E323">
        <v>3</v>
      </c>
      <c r="F323">
        <v>1.9</v>
      </c>
      <c r="G323">
        <v>52</v>
      </c>
      <c r="H323" t="s">
        <v>57</v>
      </c>
      <c r="I323" t="s">
        <v>279</v>
      </c>
      <c r="J323" t="s">
        <v>713</v>
      </c>
      <c r="M323" t="s">
        <v>60</v>
      </c>
      <c r="N323">
        <v>87.5</v>
      </c>
      <c r="O323">
        <v>12.5</v>
      </c>
      <c r="P323">
        <v>0</v>
      </c>
      <c r="Q323">
        <v>20</v>
      </c>
      <c r="R323" t="s">
        <v>132</v>
      </c>
      <c r="T323">
        <v>45</v>
      </c>
      <c r="U323">
        <v>284</v>
      </c>
      <c r="V323">
        <v>1059860</v>
      </c>
      <c r="W323" t="s">
        <v>46</v>
      </c>
      <c r="X323" t="s">
        <v>54</v>
      </c>
      <c r="Z323">
        <v>80</v>
      </c>
      <c r="AA323">
        <v>160</v>
      </c>
      <c r="AB323">
        <v>80</v>
      </c>
      <c r="AC323">
        <v>130</v>
      </c>
      <c r="AD323">
        <v>80</v>
      </c>
      <c r="AE323">
        <v>100</v>
      </c>
      <c r="AF323">
        <v>630</v>
      </c>
      <c r="AG323">
        <v>0</v>
      </c>
      <c r="AH323">
        <v>3</v>
      </c>
      <c r="AI323">
        <v>0</v>
      </c>
      <c r="AJ323">
        <v>0</v>
      </c>
      <c r="AK323">
        <v>0</v>
      </c>
      <c r="AL323">
        <v>0</v>
      </c>
    </row>
    <row r="324" spans="1:38" x14ac:dyDescent="0.25">
      <c r="A324" t="s">
        <v>878</v>
      </c>
      <c r="B324" t="s">
        <v>878</v>
      </c>
      <c r="C324" s="1">
        <v>258</v>
      </c>
      <c r="D324" s="1" t="s">
        <v>877</v>
      </c>
      <c r="E324">
        <v>3</v>
      </c>
      <c r="F324">
        <v>0.4</v>
      </c>
      <c r="G324">
        <v>7.6</v>
      </c>
      <c r="H324" t="s">
        <v>76</v>
      </c>
      <c r="J324" t="s">
        <v>77</v>
      </c>
      <c r="L324" t="s">
        <v>236</v>
      </c>
      <c r="M324" t="s">
        <v>79</v>
      </c>
      <c r="N324">
        <v>87.5</v>
      </c>
      <c r="O324">
        <v>12.5</v>
      </c>
      <c r="P324">
        <v>0</v>
      </c>
      <c r="Q324">
        <v>20</v>
      </c>
      <c r="R324" t="s">
        <v>45</v>
      </c>
      <c r="S324" t="s">
        <v>80</v>
      </c>
      <c r="T324">
        <v>45</v>
      </c>
      <c r="U324">
        <v>62</v>
      </c>
      <c r="V324">
        <v>1059860</v>
      </c>
      <c r="W324" t="s">
        <v>46</v>
      </c>
      <c r="Z324">
        <v>50</v>
      </c>
      <c r="AA324">
        <v>70</v>
      </c>
      <c r="AB324">
        <v>50</v>
      </c>
      <c r="AC324">
        <v>50</v>
      </c>
      <c r="AD324">
        <v>50</v>
      </c>
      <c r="AE324">
        <v>40</v>
      </c>
      <c r="AF324">
        <v>310</v>
      </c>
      <c r="AG324">
        <v>0</v>
      </c>
      <c r="AH324">
        <v>1</v>
      </c>
      <c r="AI324">
        <v>0</v>
      </c>
      <c r="AJ324">
        <v>0</v>
      </c>
      <c r="AK324">
        <v>0</v>
      </c>
      <c r="AL324">
        <v>0</v>
      </c>
    </row>
    <row r="325" spans="1:38" x14ac:dyDescent="0.25">
      <c r="A325" t="s">
        <v>880</v>
      </c>
      <c r="B325" t="s">
        <v>880</v>
      </c>
      <c r="C325" s="1">
        <v>259</v>
      </c>
      <c r="D325" s="1" t="s">
        <v>879</v>
      </c>
      <c r="E325">
        <v>3</v>
      </c>
      <c r="F325">
        <v>0.7</v>
      </c>
      <c r="G325">
        <v>28</v>
      </c>
      <c r="H325" t="s">
        <v>76</v>
      </c>
      <c r="I325" t="s">
        <v>132</v>
      </c>
      <c r="J325" t="s">
        <v>77</v>
      </c>
      <c r="L325" t="s">
        <v>236</v>
      </c>
      <c r="M325" t="s">
        <v>79</v>
      </c>
      <c r="N325">
        <v>87.5</v>
      </c>
      <c r="O325">
        <v>12.5</v>
      </c>
      <c r="P325">
        <v>0</v>
      </c>
      <c r="Q325">
        <v>20</v>
      </c>
      <c r="R325" t="s">
        <v>45</v>
      </c>
      <c r="S325" t="s">
        <v>80</v>
      </c>
      <c r="T325">
        <v>45</v>
      </c>
      <c r="U325">
        <v>142</v>
      </c>
      <c r="V325">
        <v>1059860</v>
      </c>
      <c r="W325" t="s">
        <v>46</v>
      </c>
      <c r="Z325">
        <v>70</v>
      </c>
      <c r="AA325">
        <v>85</v>
      </c>
      <c r="AB325">
        <v>70</v>
      </c>
      <c r="AC325">
        <v>60</v>
      </c>
      <c r="AD325">
        <v>70</v>
      </c>
      <c r="AE325">
        <v>50</v>
      </c>
      <c r="AF325">
        <v>405</v>
      </c>
      <c r="AG325">
        <v>0</v>
      </c>
      <c r="AH325">
        <v>2</v>
      </c>
      <c r="AI325">
        <v>0</v>
      </c>
      <c r="AJ325">
        <v>0</v>
      </c>
      <c r="AK325">
        <v>0</v>
      </c>
      <c r="AL325">
        <v>0</v>
      </c>
    </row>
    <row r="326" spans="1:38" x14ac:dyDescent="0.25">
      <c r="A326" t="s">
        <v>882</v>
      </c>
      <c r="B326" t="s">
        <v>882</v>
      </c>
      <c r="C326" s="1">
        <v>260</v>
      </c>
      <c r="D326" s="1" t="s">
        <v>881</v>
      </c>
      <c r="E326">
        <v>3</v>
      </c>
      <c r="F326">
        <v>1.5</v>
      </c>
      <c r="G326">
        <v>81.900000000000006</v>
      </c>
      <c r="H326" t="s">
        <v>76</v>
      </c>
      <c r="I326" t="s">
        <v>132</v>
      </c>
      <c r="J326" t="s">
        <v>77</v>
      </c>
      <c r="L326" t="s">
        <v>236</v>
      </c>
      <c r="M326" t="s">
        <v>79</v>
      </c>
      <c r="N326">
        <v>87.5</v>
      </c>
      <c r="O326">
        <v>12.5</v>
      </c>
      <c r="P326">
        <v>0</v>
      </c>
      <c r="Q326">
        <v>20</v>
      </c>
      <c r="R326" t="s">
        <v>45</v>
      </c>
      <c r="S326" t="s">
        <v>80</v>
      </c>
      <c r="T326">
        <v>45</v>
      </c>
      <c r="U326">
        <v>268</v>
      </c>
      <c r="V326">
        <v>1059860</v>
      </c>
      <c r="W326" t="s">
        <v>46</v>
      </c>
      <c r="Z326">
        <v>100</v>
      </c>
      <c r="AA326">
        <v>110</v>
      </c>
      <c r="AB326">
        <v>90</v>
      </c>
      <c r="AC326">
        <v>85</v>
      </c>
      <c r="AD326">
        <v>90</v>
      </c>
      <c r="AE326">
        <v>60</v>
      </c>
      <c r="AF326">
        <v>535</v>
      </c>
      <c r="AG326">
        <v>0</v>
      </c>
      <c r="AH326">
        <v>3</v>
      </c>
      <c r="AI326">
        <v>0</v>
      </c>
      <c r="AJ326">
        <v>0</v>
      </c>
      <c r="AK326">
        <v>0</v>
      </c>
      <c r="AL326">
        <v>0</v>
      </c>
    </row>
    <row r="327" spans="1:38" x14ac:dyDescent="0.25">
      <c r="A327" t="s">
        <v>882</v>
      </c>
      <c r="B327" t="s">
        <v>884</v>
      </c>
      <c r="C327" s="1">
        <v>260</v>
      </c>
      <c r="D327" s="1" t="s">
        <v>883</v>
      </c>
      <c r="E327">
        <v>3</v>
      </c>
      <c r="F327">
        <v>1.9</v>
      </c>
      <c r="G327">
        <v>102</v>
      </c>
      <c r="H327" t="s">
        <v>76</v>
      </c>
      <c r="I327" t="s">
        <v>132</v>
      </c>
      <c r="J327" t="s">
        <v>274</v>
      </c>
      <c r="M327" t="s">
        <v>79</v>
      </c>
      <c r="N327">
        <v>87.5</v>
      </c>
      <c r="O327">
        <v>12.5</v>
      </c>
      <c r="P327">
        <v>0</v>
      </c>
      <c r="Q327">
        <v>20</v>
      </c>
      <c r="R327" t="s">
        <v>45</v>
      </c>
      <c r="S327" t="s">
        <v>80</v>
      </c>
      <c r="T327">
        <v>45</v>
      </c>
      <c r="U327">
        <v>286</v>
      </c>
      <c r="V327">
        <v>1059860</v>
      </c>
      <c r="W327" t="s">
        <v>46</v>
      </c>
      <c r="X327" t="s">
        <v>54</v>
      </c>
      <c r="Z327">
        <v>100</v>
      </c>
      <c r="AA327">
        <v>150</v>
      </c>
      <c r="AB327">
        <v>110</v>
      </c>
      <c r="AC327">
        <v>95</v>
      </c>
      <c r="AD327">
        <v>110</v>
      </c>
      <c r="AE327">
        <v>70</v>
      </c>
      <c r="AF327">
        <v>635</v>
      </c>
      <c r="AG327">
        <v>0</v>
      </c>
      <c r="AH327">
        <v>3</v>
      </c>
      <c r="AI327">
        <v>0</v>
      </c>
      <c r="AJ327">
        <v>0</v>
      </c>
      <c r="AK327">
        <v>0</v>
      </c>
      <c r="AL327">
        <v>0</v>
      </c>
    </row>
    <row r="328" spans="1:38" x14ac:dyDescent="0.25">
      <c r="A328" t="s">
        <v>886</v>
      </c>
      <c r="B328" t="s">
        <v>886</v>
      </c>
      <c r="C328" s="1">
        <v>261</v>
      </c>
      <c r="D328" s="1" t="s">
        <v>885</v>
      </c>
      <c r="E328">
        <v>3</v>
      </c>
      <c r="F328">
        <v>0.5</v>
      </c>
      <c r="G328">
        <v>13.6</v>
      </c>
      <c r="H328" t="s">
        <v>135</v>
      </c>
      <c r="J328" t="s">
        <v>92</v>
      </c>
      <c r="K328" t="s">
        <v>565</v>
      </c>
      <c r="L328" t="s">
        <v>261</v>
      </c>
      <c r="M328" t="s">
        <v>318</v>
      </c>
      <c r="N328">
        <v>50</v>
      </c>
      <c r="O328">
        <v>50</v>
      </c>
      <c r="P328">
        <v>0</v>
      </c>
      <c r="Q328">
        <v>15</v>
      </c>
      <c r="R328" t="s">
        <v>132</v>
      </c>
      <c r="T328">
        <v>255</v>
      </c>
      <c r="U328">
        <v>56</v>
      </c>
      <c r="V328">
        <v>1000000</v>
      </c>
      <c r="W328" t="s">
        <v>46</v>
      </c>
      <c r="Z328">
        <v>35</v>
      </c>
      <c r="AA328">
        <v>55</v>
      </c>
      <c r="AB328">
        <v>35</v>
      </c>
      <c r="AC328">
        <v>30</v>
      </c>
      <c r="AD328">
        <v>30</v>
      </c>
      <c r="AE328">
        <v>35</v>
      </c>
      <c r="AF328">
        <v>220</v>
      </c>
      <c r="AG328">
        <v>0</v>
      </c>
      <c r="AH328">
        <v>1</v>
      </c>
      <c r="AI328">
        <v>0</v>
      </c>
      <c r="AJ328">
        <v>0</v>
      </c>
      <c r="AK328">
        <v>0</v>
      </c>
      <c r="AL328">
        <v>0</v>
      </c>
    </row>
    <row r="329" spans="1:38" x14ac:dyDescent="0.25">
      <c r="A329" t="s">
        <v>888</v>
      </c>
      <c r="B329" t="s">
        <v>888</v>
      </c>
      <c r="C329" s="1">
        <v>262</v>
      </c>
      <c r="D329" s="1" t="s">
        <v>887</v>
      </c>
      <c r="E329">
        <v>3</v>
      </c>
      <c r="F329">
        <v>1</v>
      </c>
      <c r="G329">
        <v>37</v>
      </c>
      <c r="H329" t="s">
        <v>135</v>
      </c>
      <c r="J329" t="s">
        <v>148</v>
      </c>
      <c r="K329" t="s">
        <v>565</v>
      </c>
      <c r="L329" t="s">
        <v>533</v>
      </c>
      <c r="M329" t="s">
        <v>318</v>
      </c>
      <c r="N329">
        <v>50</v>
      </c>
      <c r="O329">
        <v>50</v>
      </c>
      <c r="P329">
        <v>0</v>
      </c>
      <c r="Q329">
        <v>15</v>
      </c>
      <c r="R329" t="s">
        <v>132</v>
      </c>
      <c r="T329">
        <v>127</v>
      </c>
      <c r="U329">
        <v>147</v>
      </c>
      <c r="V329">
        <v>1000000</v>
      </c>
      <c r="W329" t="s">
        <v>46</v>
      </c>
      <c r="Z329">
        <v>70</v>
      </c>
      <c r="AA329">
        <v>90</v>
      </c>
      <c r="AB329">
        <v>70</v>
      </c>
      <c r="AC329">
        <v>60</v>
      </c>
      <c r="AD329">
        <v>60</v>
      </c>
      <c r="AE329">
        <v>70</v>
      </c>
      <c r="AF329">
        <v>420</v>
      </c>
      <c r="AG329">
        <v>0</v>
      </c>
      <c r="AH329">
        <v>2</v>
      </c>
      <c r="AI329">
        <v>0</v>
      </c>
      <c r="AJ329">
        <v>0</v>
      </c>
      <c r="AK329">
        <v>0</v>
      </c>
      <c r="AL329">
        <v>0</v>
      </c>
    </row>
    <row r="330" spans="1:38" x14ac:dyDescent="0.25">
      <c r="A330" t="s">
        <v>890</v>
      </c>
      <c r="B330" t="s">
        <v>890</v>
      </c>
      <c r="C330" s="1">
        <v>263</v>
      </c>
      <c r="D330" s="1" t="s">
        <v>889</v>
      </c>
      <c r="E330">
        <v>3</v>
      </c>
      <c r="F330">
        <v>0.4</v>
      </c>
      <c r="G330">
        <v>17.5</v>
      </c>
      <c r="H330" t="s">
        <v>116</v>
      </c>
      <c r="J330" t="s">
        <v>257</v>
      </c>
      <c r="K330" t="s">
        <v>136</v>
      </c>
      <c r="L330" t="s">
        <v>565</v>
      </c>
      <c r="M330" t="s">
        <v>103</v>
      </c>
      <c r="N330">
        <v>50</v>
      </c>
      <c r="O330">
        <v>50</v>
      </c>
      <c r="P330">
        <v>0</v>
      </c>
      <c r="Q330">
        <v>15</v>
      </c>
      <c r="R330" t="s">
        <v>132</v>
      </c>
      <c r="T330">
        <v>255</v>
      </c>
      <c r="U330">
        <v>56</v>
      </c>
      <c r="V330">
        <v>1000000</v>
      </c>
      <c r="W330" t="s">
        <v>46</v>
      </c>
      <c r="Z330">
        <v>38</v>
      </c>
      <c r="AA330">
        <v>30</v>
      </c>
      <c r="AB330">
        <v>41</v>
      </c>
      <c r="AC330">
        <v>30</v>
      </c>
      <c r="AD330">
        <v>41</v>
      </c>
      <c r="AE330">
        <v>60</v>
      </c>
      <c r="AF330">
        <v>240</v>
      </c>
      <c r="AG330">
        <v>0</v>
      </c>
      <c r="AH330">
        <v>0</v>
      </c>
      <c r="AI330">
        <v>0</v>
      </c>
      <c r="AJ330">
        <v>0</v>
      </c>
      <c r="AK330">
        <v>0</v>
      </c>
      <c r="AL330">
        <v>1</v>
      </c>
    </row>
    <row r="331" spans="1:38" x14ac:dyDescent="0.25">
      <c r="A331" t="s">
        <v>890</v>
      </c>
      <c r="B331" t="s">
        <v>892</v>
      </c>
      <c r="C331" s="1">
        <v>263</v>
      </c>
      <c r="D331" s="1" t="s">
        <v>891</v>
      </c>
      <c r="E331">
        <v>8</v>
      </c>
      <c r="F331">
        <v>0.4</v>
      </c>
      <c r="G331">
        <v>17.5</v>
      </c>
      <c r="H331" t="s">
        <v>135</v>
      </c>
      <c r="I331" t="s">
        <v>116</v>
      </c>
      <c r="J331" t="s">
        <v>257</v>
      </c>
      <c r="K331" t="s">
        <v>136</v>
      </c>
      <c r="L331" t="s">
        <v>565</v>
      </c>
      <c r="M331" t="s">
        <v>100</v>
      </c>
      <c r="N331">
        <v>50</v>
      </c>
      <c r="O331">
        <v>50</v>
      </c>
      <c r="P331">
        <v>0</v>
      </c>
      <c r="Q331">
        <v>15</v>
      </c>
      <c r="R331" t="s">
        <v>132</v>
      </c>
      <c r="T331">
        <v>255</v>
      </c>
      <c r="U331">
        <v>56</v>
      </c>
      <c r="V331">
        <v>1000000</v>
      </c>
      <c r="W331" t="s">
        <v>46</v>
      </c>
      <c r="Y331" t="s">
        <v>264</v>
      </c>
      <c r="Z331">
        <v>38</v>
      </c>
      <c r="AA331">
        <v>30</v>
      </c>
      <c r="AB331">
        <v>41</v>
      </c>
      <c r="AC331">
        <v>30</v>
      </c>
      <c r="AD331">
        <v>41</v>
      </c>
      <c r="AE331">
        <v>60</v>
      </c>
      <c r="AF331">
        <v>240</v>
      </c>
      <c r="AG331">
        <v>0</v>
      </c>
      <c r="AH331">
        <v>0</v>
      </c>
      <c r="AI331">
        <v>0</v>
      </c>
      <c r="AJ331">
        <v>0</v>
      </c>
      <c r="AK331">
        <v>0</v>
      </c>
      <c r="AL331">
        <v>1</v>
      </c>
    </row>
    <row r="332" spans="1:38" x14ac:dyDescent="0.25">
      <c r="A332" t="s">
        <v>894</v>
      </c>
      <c r="B332" t="s">
        <v>894</v>
      </c>
      <c r="C332" s="1">
        <v>264</v>
      </c>
      <c r="D332" s="1" t="s">
        <v>893</v>
      </c>
      <c r="E332">
        <v>3</v>
      </c>
      <c r="F332">
        <v>0.5</v>
      </c>
      <c r="G332">
        <v>32.5</v>
      </c>
      <c r="H332" t="s">
        <v>116</v>
      </c>
      <c r="J332" t="s">
        <v>257</v>
      </c>
      <c r="K332" t="s">
        <v>136</v>
      </c>
      <c r="L332" t="s">
        <v>565</v>
      </c>
      <c r="M332" t="s">
        <v>100</v>
      </c>
      <c r="N332">
        <v>50</v>
      </c>
      <c r="O332">
        <v>50</v>
      </c>
      <c r="P332">
        <v>0</v>
      </c>
      <c r="Q332">
        <v>15</v>
      </c>
      <c r="R332" t="s">
        <v>132</v>
      </c>
      <c r="T332">
        <v>90</v>
      </c>
      <c r="U332">
        <v>147</v>
      </c>
      <c r="V332">
        <v>1000000</v>
      </c>
      <c r="W332" t="s">
        <v>46</v>
      </c>
      <c r="Z332">
        <v>78</v>
      </c>
      <c r="AA332">
        <v>70</v>
      </c>
      <c r="AB332">
        <v>61</v>
      </c>
      <c r="AC332">
        <v>50</v>
      </c>
      <c r="AD332">
        <v>61</v>
      </c>
      <c r="AE332">
        <v>100</v>
      </c>
      <c r="AF332">
        <v>420</v>
      </c>
      <c r="AG332">
        <v>0</v>
      </c>
      <c r="AH332">
        <v>0</v>
      </c>
      <c r="AI332">
        <v>0</v>
      </c>
      <c r="AJ332">
        <v>0</v>
      </c>
      <c r="AK332">
        <v>0</v>
      </c>
      <c r="AL332">
        <v>2</v>
      </c>
    </row>
    <row r="333" spans="1:38" x14ac:dyDescent="0.25">
      <c r="A333" t="s">
        <v>894</v>
      </c>
      <c r="B333" t="s">
        <v>896</v>
      </c>
      <c r="C333" s="1">
        <v>264</v>
      </c>
      <c r="D333" s="1" t="s">
        <v>895</v>
      </c>
      <c r="E333">
        <v>8</v>
      </c>
      <c r="F333">
        <v>0.5</v>
      </c>
      <c r="G333">
        <v>32.5</v>
      </c>
      <c r="H333" t="s">
        <v>135</v>
      </c>
      <c r="I333" t="s">
        <v>116</v>
      </c>
      <c r="J333" t="s">
        <v>257</v>
      </c>
      <c r="K333" t="s">
        <v>136</v>
      </c>
      <c r="L333" t="s">
        <v>565</v>
      </c>
      <c r="M333" t="s">
        <v>100</v>
      </c>
      <c r="N333">
        <v>50</v>
      </c>
      <c r="O333">
        <v>50</v>
      </c>
      <c r="P333">
        <v>0</v>
      </c>
      <c r="Q333">
        <v>15</v>
      </c>
      <c r="R333" t="s">
        <v>132</v>
      </c>
      <c r="T333">
        <v>90</v>
      </c>
      <c r="U333">
        <v>147</v>
      </c>
      <c r="V333">
        <v>1000000</v>
      </c>
      <c r="W333" t="s">
        <v>46</v>
      </c>
      <c r="Y333" t="s">
        <v>264</v>
      </c>
      <c r="Z333">
        <v>78</v>
      </c>
      <c r="AA333">
        <v>70</v>
      </c>
      <c r="AB333">
        <v>61</v>
      </c>
      <c r="AC333">
        <v>50</v>
      </c>
      <c r="AD333">
        <v>61</v>
      </c>
      <c r="AE333">
        <v>100</v>
      </c>
      <c r="AF333">
        <v>420</v>
      </c>
      <c r="AG333">
        <v>0</v>
      </c>
      <c r="AH333">
        <v>0</v>
      </c>
      <c r="AI333">
        <v>0</v>
      </c>
      <c r="AJ333">
        <v>0</v>
      </c>
      <c r="AK333">
        <v>0</v>
      </c>
      <c r="AL333">
        <v>2</v>
      </c>
    </row>
    <row r="334" spans="1:38" x14ac:dyDescent="0.25">
      <c r="A334" t="s">
        <v>898</v>
      </c>
      <c r="B334" t="s">
        <v>898</v>
      </c>
      <c r="C334" s="1">
        <v>265</v>
      </c>
      <c r="D334" s="1" t="s">
        <v>897</v>
      </c>
      <c r="E334">
        <v>3</v>
      </c>
      <c r="F334">
        <v>0.3</v>
      </c>
      <c r="G334">
        <v>3.6</v>
      </c>
      <c r="H334" t="s">
        <v>90</v>
      </c>
      <c r="J334" t="s">
        <v>91</v>
      </c>
      <c r="L334" t="s">
        <v>92</v>
      </c>
      <c r="M334" t="s">
        <v>60</v>
      </c>
      <c r="N334">
        <v>50</v>
      </c>
      <c r="O334">
        <v>50</v>
      </c>
      <c r="P334">
        <v>0</v>
      </c>
      <c r="Q334">
        <v>15</v>
      </c>
      <c r="R334" t="s">
        <v>90</v>
      </c>
      <c r="T334">
        <v>255</v>
      </c>
      <c r="U334">
        <v>56</v>
      </c>
      <c r="V334">
        <v>1000000</v>
      </c>
      <c r="W334" t="s">
        <v>46</v>
      </c>
      <c r="Z334">
        <v>45</v>
      </c>
      <c r="AA334">
        <v>45</v>
      </c>
      <c r="AB334">
        <v>35</v>
      </c>
      <c r="AC334">
        <v>20</v>
      </c>
      <c r="AD334">
        <v>30</v>
      </c>
      <c r="AE334">
        <v>20</v>
      </c>
      <c r="AF334">
        <v>195</v>
      </c>
      <c r="AG334">
        <v>1</v>
      </c>
      <c r="AH334">
        <v>0</v>
      </c>
      <c r="AI334">
        <v>0</v>
      </c>
      <c r="AJ334">
        <v>0</v>
      </c>
      <c r="AK334">
        <v>0</v>
      </c>
      <c r="AL334">
        <v>0</v>
      </c>
    </row>
    <row r="335" spans="1:38" x14ac:dyDescent="0.25">
      <c r="A335" t="s">
        <v>900</v>
      </c>
      <c r="B335" t="s">
        <v>900</v>
      </c>
      <c r="C335" s="1">
        <v>266</v>
      </c>
      <c r="D335" s="1" t="s">
        <v>899</v>
      </c>
      <c r="E335">
        <v>3</v>
      </c>
      <c r="F335">
        <v>0.6</v>
      </c>
      <c r="G335">
        <v>10</v>
      </c>
      <c r="H335" t="s">
        <v>90</v>
      </c>
      <c r="J335" t="s">
        <v>95</v>
      </c>
      <c r="M335" t="s">
        <v>100</v>
      </c>
      <c r="N335">
        <v>50</v>
      </c>
      <c r="O335">
        <v>50</v>
      </c>
      <c r="P335">
        <v>0</v>
      </c>
      <c r="Q335">
        <v>15</v>
      </c>
      <c r="R335" t="s">
        <v>90</v>
      </c>
      <c r="T335">
        <v>120</v>
      </c>
      <c r="U335">
        <v>72</v>
      </c>
      <c r="V335">
        <v>1000000</v>
      </c>
      <c r="W335" t="s">
        <v>46</v>
      </c>
      <c r="Z335">
        <v>50</v>
      </c>
      <c r="AA335">
        <v>35</v>
      </c>
      <c r="AB335">
        <v>55</v>
      </c>
      <c r="AC335">
        <v>25</v>
      </c>
      <c r="AD335">
        <v>25</v>
      </c>
      <c r="AE335">
        <v>15</v>
      </c>
      <c r="AF335">
        <v>205</v>
      </c>
      <c r="AG335">
        <v>0</v>
      </c>
      <c r="AH335">
        <v>0</v>
      </c>
      <c r="AI335">
        <v>2</v>
      </c>
      <c r="AJ335">
        <v>0</v>
      </c>
      <c r="AK335">
        <v>0</v>
      </c>
      <c r="AL335">
        <v>0</v>
      </c>
    </row>
    <row r="336" spans="1:38" x14ac:dyDescent="0.25">
      <c r="A336" t="s">
        <v>902</v>
      </c>
      <c r="B336" t="s">
        <v>902</v>
      </c>
      <c r="C336" s="1">
        <v>267</v>
      </c>
      <c r="D336" s="1" t="s">
        <v>901</v>
      </c>
      <c r="E336">
        <v>3</v>
      </c>
      <c r="F336">
        <v>1</v>
      </c>
      <c r="G336">
        <v>28.4</v>
      </c>
      <c r="H336" t="s">
        <v>90</v>
      </c>
      <c r="I336" t="s">
        <v>66</v>
      </c>
      <c r="J336" t="s">
        <v>109</v>
      </c>
      <c r="L336" t="s">
        <v>181</v>
      </c>
      <c r="M336" t="s">
        <v>106</v>
      </c>
      <c r="N336">
        <v>50</v>
      </c>
      <c r="O336">
        <v>50</v>
      </c>
      <c r="P336">
        <v>0</v>
      </c>
      <c r="Q336">
        <v>15</v>
      </c>
      <c r="R336" t="s">
        <v>90</v>
      </c>
      <c r="T336">
        <v>45</v>
      </c>
      <c r="U336">
        <v>178</v>
      </c>
      <c r="V336">
        <v>1000000</v>
      </c>
      <c r="W336" t="s">
        <v>46</v>
      </c>
      <c r="Z336">
        <v>60</v>
      </c>
      <c r="AA336">
        <v>70</v>
      </c>
      <c r="AB336">
        <v>50</v>
      </c>
      <c r="AC336">
        <v>100</v>
      </c>
      <c r="AD336">
        <v>50</v>
      </c>
      <c r="AE336">
        <v>65</v>
      </c>
      <c r="AF336">
        <v>395</v>
      </c>
      <c r="AG336">
        <v>0</v>
      </c>
      <c r="AH336">
        <v>0</v>
      </c>
      <c r="AI336">
        <v>0</v>
      </c>
      <c r="AJ336">
        <v>3</v>
      </c>
      <c r="AK336">
        <v>0</v>
      </c>
      <c r="AL336">
        <v>0</v>
      </c>
    </row>
    <row r="337" spans="1:38" x14ac:dyDescent="0.25">
      <c r="A337" t="s">
        <v>904</v>
      </c>
      <c r="B337" t="s">
        <v>904</v>
      </c>
      <c r="C337" s="1">
        <v>268</v>
      </c>
      <c r="D337" s="1" t="s">
        <v>903</v>
      </c>
      <c r="E337">
        <v>3</v>
      </c>
      <c r="F337">
        <v>0.7</v>
      </c>
      <c r="G337">
        <v>11.5</v>
      </c>
      <c r="H337" t="s">
        <v>90</v>
      </c>
      <c r="J337" t="s">
        <v>95</v>
      </c>
      <c r="M337" t="s">
        <v>131</v>
      </c>
      <c r="N337">
        <v>50</v>
      </c>
      <c r="O337">
        <v>50</v>
      </c>
      <c r="P337">
        <v>0</v>
      </c>
      <c r="Q337">
        <v>15</v>
      </c>
      <c r="R337" t="s">
        <v>90</v>
      </c>
      <c r="T337">
        <v>120</v>
      </c>
      <c r="U337">
        <v>72</v>
      </c>
      <c r="V337">
        <v>1000000</v>
      </c>
      <c r="W337" t="s">
        <v>46</v>
      </c>
      <c r="Z337">
        <v>50</v>
      </c>
      <c r="AA337">
        <v>35</v>
      </c>
      <c r="AB337">
        <v>55</v>
      </c>
      <c r="AC337">
        <v>25</v>
      </c>
      <c r="AD337">
        <v>25</v>
      </c>
      <c r="AE337">
        <v>15</v>
      </c>
      <c r="AF337">
        <v>205</v>
      </c>
      <c r="AG337">
        <v>0</v>
      </c>
      <c r="AH337">
        <v>0</v>
      </c>
      <c r="AI337">
        <v>2</v>
      </c>
      <c r="AJ337">
        <v>0</v>
      </c>
      <c r="AK337">
        <v>0</v>
      </c>
      <c r="AL337">
        <v>0</v>
      </c>
    </row>
    <row r="338" spans="1:38" x14ac:dyDescent="0.25">
      <c r="A338" t="s">
        <v>906</v>
      </c>
      <c r="B338" t="s">
        <v>906</v>
      </c>
      <c r="C338" s="1">
        <v>269</v>
      </c>
      <c r="D338" s="1" t="s">
        <v>905</v>
      </c>
      <c r="E338">
        <v>3</v>
      </c>
      <c r="F338">
        <v>1.2</v>
      </c>
      <c r="G338">
        <v>31.6</v>
      </c>
      <c r="H338" t="s">
        <v>90</v>
      </c>
      <c r="I338" t="s">
        <v>41</v>
      </c>
      <c r="J338" t="s">
        <v>91</v>
      </c>
      <c r="L338" t="s">
        <v>98</v>
      </c>
      <c r="M338" t="s">
        <v>44</v>
      </c>
      <c r="N338">
        <v>50</v>
      </c>
      <c r="O338">
        <v>50</v>
      </c>
      <c r="P338">
        <v>0</v>
      </c>
      <c r="Q338">
        <v>15</v>
      </c>
      <c r="R338" t="s">
        <v>90</v>
      </c>
      <c r="T338">
        <v>45</v>
      </c>
      <c r="U338">
        <v>173</v>
      </c>
      <c r="V338">
        <v>1000000</v>
      </c>
      <c r="W338" t="s">
        <v>46</v>
      </c>
      <c r="Z338">
        <v>60</v>
      </c>
      <c r="AA338">
        <v>50</v>
      </c>
      <c r="AB338">
        <v>70</v>
      </c>
      <c r="AC338">
        <v>50</v>
      </c>
      <c r="AD338">
        <v>90</v>
      </c>
      <c r="AE338">
        <v>65</v>
      </c>
      <c r="AF338">
        <v>385</v>
      </c>
      <c r="AG338">
        <v>0</v>
      </c>
      <c r="AH338">
        <v>0</v>
      </c>
      <c r="AI338">
        <v>0</v>
      </c>
      <c r="AJ338">
        <v>0</v>
      </c>
      <c r="AK338">
        <v>3</v>
      </c>
      <c r="AL338">
        <v>0</v>
      </c>
    </row>
    <row r="339" spans="1:38" x14ac:dyDescent="0.25">
      <c r="A339" t="s">
        <v>908</v>
      </c>
      <c r="B339" t="s">
        <v>908</v>
      </c>
      <c r="C339" s="1">
        <v>270</v>
      </c>
      <c r="D339" s="1" t="s">
        <v>907</v>
      </c>
      <c r="E339">
        <v>3</v>
      </c>
      <c r="F339">
        <v>0.5</v>
      </c>
      <c r="G339">
        <v>2.6</v>
      </c>
      <c r="H339" t="s">
        <v>76</v>
      </c>
      <c r="I339" t="s">
        <v>40</v>
      </c>
      <c r="J339" t="s">
        <v>274</v>
      </c>
      <c r="K339" t="s">
        <v>78</v>
      </c>
      <c r="L339" t="s">
        <v>366</v>
      </c>
      <c r="M339" t="s">
        <v>44</v>
      </c>
      <c r="N339">
        <v>50</v>
      </c>
      <c r="O339">
        <v>50</v>
      </c>
      <c r="P339">
        <v>0</v>
      </c>
      <c r="Q339">
        <v>15</v>
      </c>
      <c r="R339" t="s">
        <v>80</v>
      </c>
      <c r="S339" t="s">
        <v>40</v>
      </c>
      <c r="T339">
        <v>255</v>
      </c>
      <c r="U339">
        <v>44</v>
      </c>
      <c r="V339">
        <v>1059860</v>
      </c>
      <c r="W339" t="s">
        <v>46</v>
      </c>
      <c r="Z339">
        <v>40</v>
      </c>
      <c r="AA339">
        <v>30</v>
      </c>
      <c r="AB339">
        <v>30</v>
      </c>
      <c r="AC339">
        <v>40</v>
      </c>
      <c r="AD339">
        <v>50</v>
      </c>
      <c r="AE339">
        <v>30</v>
      </c>
      <c r="AF339">
        <v>220</v>
      </c>
      <c r="AG339">
        <v>0</v>
      </c>
      <c r="AH339">
        <v>0</v>
      </c>
      <c r="AI339">
        <v>0</v>
      </c>
      <c r="AJ339">
        <v>0</v>
      </c>
      <c r="AK339">
        <v>1</v>
      </c>
      <c r="AL339">
        <v>0</v>
      </c>
    </row>
    <row r="340" spans="1:38" x14ac:dyDescent="0.25">
      <c r="A340" t="s">
        <v>910</v>
      </c>
      <c r="B340" t="s">
        <v>910</v>
      </c>
      <c r="C340" s="1">
        <v>271</v>
      </c>
      <c r="D340" s="1" t="s">
        <v>909</v>
      </c>
      <c r="E340">
        <v>3</v>
      </c>
      <c r="F340">
        <v>1.2</v>
      </c>
      <c r="G340">
        <v>32.5</v>
      </c>
      <c r="H340" t="s">
        <v>76</v>
      </c>
      <c r="I340" t="s">
        <v>40</v>
      </c>
      <c r="J340" t="s">
        <v>274</v>
      </c>
      <c r="K340" t="s">
        <v>78</v>
      </c>
      <c r="L340" t="s">
        <v>366</v>
      </c>
      <c r="M340" t="s">
        <v>44</v>
      </c>
      <c r="N340">
        <v>50</v>
      </c>
      <c r="O340">
        <v>50</v>
      </c>
      <c r="P340">
        <v>0</v>
      </c>
      <c r="Q340">
        <v>15</v>
      </c>
      <c r="R340" t="s">
        <v>80</v>
      </c>
      <c r="S340" t="s">
        <v>40</v>
      </c>
      <c r="T340">
        <v>120</v>
      </c>
      <c r="U340">
        <v>119</v>
      </c>
      <c r="V340">
        <v>1059860</v>
      </c>
      <c r="W340" t="s">
        <v>46</v>
      </c>
      <c r="Z340">
        <v>60</v>
      </c>
      <c r="AA340">
        <v>50</v>
      </c>
      <c r="AB340">
        <v>50</v>
      </c>
      <c r="AC340">
        <v>60</v>
      </c>
      <c r="AD340">
        <v>70</v>
      </c>
      <c r="AE340">
        <v>50</v>
      </c>
      <c r="AF340">
        <v>340</v>
      </c>
      <c r="AG340">
        <v>0</v>
      </c>
      <c r="AH340">
        <v>0</v>
      </c>
      <c r="AI340">
        <v>0</v>
      </c>
      <c r="AJ340">
        <v>0</v>
      </c>
      <c r="AK340">
        <v>2</v>
      </c>
      <c r="AL340">
        <v>0</v>
      </c>
    </row>
    <row r="341" spans="1:38" x14ac:dyDescent="0.25">
      <c r="A341" t="s">
        <v>912</v>
      </c>
      <c r="B341" t="s">
        <v>912</v>
      </c>
      <c r="C341" s="1">
        <v>272</v>
      </c>
      <c r="D341" s="1" t="s">
        <v>911</v>
      </c>
      <c r="E341">
        <v>3</v>
      </c>
      <c r="F341">
        <v>1.5</v>
      </c>
      <c r="G341">
        <v>55</v>
      </c>
      <c r="H341" t="s">
        <v>76</v>
      </c>
      <c r="I341" t="s">
        <v>40</v>
      </c>
      <c r="J341" t="s">
        <v>274</v>
      </c>
      <c r="K341" t="s">
        <v>78</v>
      </c>
      <c r="L341" t="s">
        <v>366</v>
      </c>
      <c r="M341" t="s">
        <v>44</v>
      </c>
      <c r="N341">
        <v>50</v>
      </c>
      <c r="O341">
        <v>50</v>
      </c>
      <c r="P341">
        <v>0</v>
      </c>
      <c r="Q341">
        <v>15</v>
      </c>
      <c r="R341" t="s">
        <v>80</v>
      </c>
      <c r="S341" t="s">
        <v>40</v>
      </c>
      <c r="T341">
        <v>45</v>
      </c>
      <c r="U341">
        <v>240</v>
      </c>
      <c r="V341">
        <v>1059860</v>
      </c>
      <c r="W341" t="s">
        <v>46</v>
      </c>
      <c r="Z341">
        <v>80</v>
      </c>
      <c r="AA341">
        <v>70</v>
      </c>
      <c r="AB341">
        <v>70</v>
      </c>
      <c r="AC341">
        <v>90</v>
      </c>
      <c r="AD341">
        <v>100</v>
      </c>
      <c r="AE341">
        <v>70</v>
      </c>
      <c r="AF341">
        <v>480</v>
      </c>
      <c r="AG341">
        <v>0</v>
      </c>
      <c r="AH341">
        <v>0</v>
      </c>
      <c r="AI341">
        <v>0</v>
      </c>
      <c r="AJ341">
        <v>0</v>
      </c>
      <c r="AK341">
        <v>3</v>
      </c>
      <c r="AL341">
        <v>0</v>
      </c>
    </row>
    <row r="342" spans="1:38" x14ac:dyDescent="0.25">
      <c r="A342" t="s">
        <v>914</v>
      </c>
      <c r="B342" t="s">
        <v>914</v>
      </c>
      <c r="C342" s="1">
        <v>273</v>
      </c>
      <c r="D342" s="1" t="s">
        <v>913</v>
      </c>
      <c r="E342">
        <v>3</v>
      </c>
      <c r="F342">
        <v>0.5</v>
      </c>
      <c r="G342">
        <v>4</v>
      </c>
      <c r="H342" t="s">
        <v>40</v>
      </c>
      <c r="J342" t="s">
        <v>43</v>
      </c>
      <c r="K342" t="s">
        <v>390</v>
      </c>
      <c r="L342" t="s">
        <v>775</v>
      </c>
      <c r="M342" t="s">
        <v>103</v>
      </c>
      <c r="N342">
        <v>50</v>
      </c>
      <c r="O342">
        <v>50</v>
      </c>
      <c r="P342">
        <v>0</v>
      </c>
      <c r="Q342">
        <v>15</v>
      </c>
      <c r="R342" t="s">
        <v>132</v>
      </c>
      <c r="S342" t="s">
        <v>40</v>
      </c>
      <c r="T342">
        <v>255</v>
      </c>
      <c r="U342">
        <v>44</v>
      </c>
      <c r="V342">
        <v>1059860</v>
      </c>
      <c r="W342" t="s">
        <v>46</v>
      </c>
      <c r="Z342">
        <v>40</v>
      </c>
      <c r="AA342">
        <v>40</v>
      </c>
      <c r="AB342">
        <v>50</v>
      </c>
      <c r="AC342">
        <v>30</v>
      </c>
      <c r="AD342">
        <v>30</v>
      </c>
      <c r="AE342">
        <v>30</v>
      </c>
      <c r="AF342">
        <v>220</v>
      </c>
      <c r="AG342">
        <v>0</v>
      </c>
      <c r="AH342">
        <v>0</v>
      </c>
      <c r="AI342">
        <v>1</v>
      </c>
      <c r="AJ342">
        <v>0</v>
      </c>
      <c r="AK342">
        <v>0</v>
      </c>
      <c r="AL342">
        <v>0</v>
      </c>
    </row>
    <row r="343" spans="1:38" x14ac:dyDescent="0.25">
      <c r="A343" t="s">
        <v>916</v>
      </c>
      <c r="B343" t="s">
        <v>916</v>
      </c>
      <c r="C343" s="1">
        <v>274</v>
      </c>
      <c r="D343" s="1" t="s">
        <v>915</v>
      </c>
      <c r="E343">
        <v>3</v>
      </c>
      <c r="F343">
        <v>1</v>
      </c>
      <c r="G343">
        <v>28</v>
      </c>
      <c r="H343" t="s">
        <v>40</v>
      </c>
      <c r="I343" t="s">
        <v>135</v>
      </c>
      <c r="J343" t="s">
        <v>43</v>
      </c>
      <c r="K343" t="s">
        <v>390</v>
      </c>
      <c r="L343" t="s">
        <v>775</v>
      </c>
      <c r="M343" t="s">
        <v>103</v>
      </c>
      <c r="N343">
        <v>50</v>
      </c>
      <c r="O343">
        <v>50</v>
      </c>
      <c r="P343">
        <v>0</v>
      </c>
      <c r="Q343">
        <v>15</v>
      </c>
      <c r="R343" t="s">
        <v>132</v>
      </c>
      <c r="S343" t="s">
        <v>40</v>
      </c>
      <c r="T343">
        <v>120</v>
      </c>
      <c r="U343">
        <v>119</v>
      </c>
      <c r="V343">
        <v>1059860</v>
      </c>
      <c r="W343" t="s">
        <v>46</v>
      </c>
      <c r="Z343">
        <v>70</v>
      </c>
      <c r="AA343">
        <v>70</v>
      </c>
      <c r="AB343">
        <v>40</v>
      </c>
      <c r="AC343">
        <v>60</v>
      </c>
      <c r="AD343">
        <v>40</v>
      </c>
      <c r="AE343">
        <v>60</v>
      </c>
      <c r="AF343">
        <v>340</v>
      </c>
      <c r="AG343">
        <v>0</v>
      </c>
      <c r="AH343">
        <v>2</v>
      </c>
      <c r="AI343">
        <v>0</v>
      </c>
      <c r="AJ343">
        <v>0</v>
      </c>
      <c r="AK343">
        <v>0</v>
      </c>
      <c r="AL343">
        <v>0</v>
      </c>
    </row>
    <row r="344" spans="1:38" x14ac:dyDescent="0.25">
      <c r="A344" t="s">
        <v>918</v>
      </c>
      <c r="B344" t="s">
        <v>918</v>
      </c>
      <c r="C344" s="1">
        <v>275</v>
      </c>
      <c r="D344" s="1" t="s">
        <v>917</v>
      </c>
      <c r="E344">
        <v>3</v>
      </c>
      <c r="F344">
        <v>1.3</v>
      </c>
      <c r="G344">
        <v>59.6</v>
      </c>
      <c r="H344" t="s">
        <v>40</v>
      </c>
      <c r="I344" t="s">
        <v>135</v>
      </c>
      <c r="J344" t="s">
        <v>43</v>
      </c>
      <c r="K344" t="s">
        <v>390</v>
      </c>
      <c r="L344" t="s">
        <v>775</v>
      </c>
      <c r="M344" t="s">
        <v>103</v>
      </c>
      <c r="N344">
        <v>50</v>
      </c>
      <c r="O344">
        <v>50</v>
      </c>
      <c r="P344">
        <v>0</v>
      </c>
      <c r="Q344">
        <v>15</v>
      </c>
      <c r="R344" t="s">
        <v>132</v>
      </c>
      <c r="S344" t="s">
        <v>40</v>
      </c>
      <c r="T344">
        <v>45</v>
      </c>
      <c r="U344">
        <v>240</v>
      </c>
      <c r="V344">
        <v>1059860</v>
      </c>
      <c r="W344" t="s">
        <v>46</v>
      </c>
      <c r="Z344">
        <v>90</v>
      </c>
      <c r="AA344">
        <v>100</v>
      </c>
      <c r="AB344">
        <v>60</v>
      </c>
      <c r="AC344">
        <v>90</v>
      </c>
      <c r="AD344">
        <v>60</v>
      </c>
      <c r="AE344">
        <v>80</v>
      </c>
      <c r="AF344">
        <v>480</v>
      </c>
      <c r="AG344">
        <v>0</v>
      </c>
      <c r="AH344">
        <v>3</v>
      </c>
      <c r="AI344">
        <v>0</v>
      </c>
      <c r="AJ344">
        <v>0</v>
      </c>
      <c r="AK344">
        <v>0</v>
      </c>
      <c r="AL344">
        <v>0</v>
      </c>
    </row>
    <row r="345" spans="1:38" x14ac:dyDescent="0.25">
      <c r="A345" t="s">
        <v>920</v>
      </c>
      <c r="B345" t="s">
        <v>920</v>
      </c>
      <c r="C345" s="1">
        <v>276</v>
      </c>
      <c r="D345" s="1" t="s">
        <v>919</v>
      </c>
      <c r="E345">
        <v>3</v>
      </c>
      <c r="F345">
        <v>0.3</v>
      </c>
      <c r="G345">
        <v>2.2999999999999998</v>
      </c>
      <c r="H345" t="s">
        <v>116</v>
      </c>
      <c r="I345" t="s">
        <v>66</v>
      </c>
      <c r="J345" t="s">
        <v>129</v>
      </c>
      <c r="L345" t="s">
        <v>387</v>
      </c>
      <c r="M345" t="s">
        <v>79</v>
      </c>
      <c r="N345">
        <v>50</v>
      </c>
      <c r="O345">
        <v>50</v>
      </c>
      <c r="P345">
        <v>0</v>
      </c>
      <c r="Q345">
        <v>15</v>
      </c>
      <c r="R345" t="s">
        <v>66</v>
      </c>
      <c r="T345">
        <v>200</v>
      </c>
      <c r="U345">
        <v>54</v>
      </c>
      <c r="V345">
        <v>1059860</v>
      </c>
      <c r="W345" t="s">
        <v>46</v>
      </c>
      <c r="Z345">
        <v>40</v>
      </c>
      <c r="AA345">
        <v>55</v>
      </c>
      <c r="AB345">
        <v>30</v>
      </c>
      <c r="AC345">
        <v>30</v>
      </c>
      <c r="AD345">
        <v>30</v>
      </c>
      <c r="AE345">
        <v>85</v>
      </c>
      <c r="AF345">
        <v>270</v>
      </c>
      <c r="AG345">
        <v>0</v>
      </c>
      <c r="AH345">
        <v>0</v>
      </c>
      <c r="AI345">
        <v>0</v>
      </c>
      <c r="AJ345">
        <v>0</v>
      </c>
      <c r="AK345">
        <v>0</v>
      </c>
      <c r="AL345">
        <v>1</v>
      </c>
    </row>
    <row r="346" spans="1:38" x14ac:dyDescent="0.25">
      <c r="A346" t="s">
        <v>922</v>
      </c>
      <c r="B346" t="s">
        <v>922</v>
      </c>
      <c r="C346" s="1">
        <v>277</v>
      </c>
      <c r="D346" s="1" t="s">
        <v>921</v>
      </c>
      <c r="E346">
        <v>3</v>
      </c>
      <c r="F346">
        <v>0.7</v>
      </c>
      <c r="G346">
        <v>19.8</v>
      </c>
      <c r="H346" t="s">
        <v>116</v>
      </c>
      <c r="I346" t="s">
        <v>66</v>
      </c>
      <c r="J346" t="s">
        <v>129</v>
      </c>
      <c r="L346" t="s">
        <v>387</v>
      </c>
      <c r="M346" t="s">
        <v>79</v>
      </c>
      <c r="N346">
        <v>50</v>
      </c>
      <c r="O346">
        <v>50</v>
      </c>
      <c r="P346">
        <v>0</v>
      </c>
      <c r="Q346">
        <v>15</v>
      </c>
      <c r="R346" t="s">
        <v>66</v>
      </c>
      <c r="T346">
        <v>45</v>
      </c>
      <c r="U346">
        <v>159</v>
      </c>
      <c r="V346">
        <v>1059860</v>
      </c>
      <c r="W346" t="s">
        <v>46</v>
      </c>
      <c r="Z346">
        <v>60</v>
      </c>
      <c r="AA346">
        <v>85</v>
      </c>
      <c r="AB346">
        <v>60</v>
      </c>
      <c r="AC346">
        <v>75</v>
      </c>
      <c r="AD346">
        <v>50</v>
      </c>
      <c r="AE346">
        <v>125</v>
      </c>
      <c r="AF346">
        <v>455</v>
      </c>
      <c r="AG346">
        <v>0</v>
      </c>
      <c r="AH346">
        <v>0</v>
      </c>
      <c r="AI346">
        <v>0</v>
      </c>
      <c r="AJ346">
        <v>0</v>
      </c>
      <c r="AK346">
        <v>0</v>
      </c>
      <c r="AL346">
        <v>2</v>
      </c>
    </row>
    <row r="347" spans="1:38" x14ac:dyDescent="0.25">
      <c r="A347" t="s">
        <v>924</v>
      </c>
      <c r="B347" t="s">
        <v>924</v>
      </c>
      <c r="C347" s="1">
        <v>278</v>
      </c>
      <c r="D347" s="1" t="s">
        <v>923</v>
      </c>
      <c r="E347">
        <v>3</v>
      </c>
      <c r="F347">
        <v>0.6</v>
      </c>
      <c r="G347">
        <v>9.5</v>
      </c>
      <c r="H347" t="s">
        <v>76</v>
      </c>
      <c r="I347" t="s">
        <v>66</v>
      </c>
      <c r="J347" t="s">
        <v>117</v>
      </c>
      <c r="K347" t="s">
        <v>395</v>
      </c>
      <c r="L347" t="s">
        <v>78</v>
      </c>
      <c r="M347" t="s">
        <v>100</v>
      </c>
      <c r="N347">
        <v>50</v>
      </c>
      <c r="O347">
        <v>50</v>
      </c>
      <c r="P347">
        <v>0</v>
      </c>
      <c r="Q347">
        <v>20</v>
      </c>
      <c r="R347" t="s">
        <v>80</v>
      </c>
      <c r="S347" t="s">
        <v>66</v>
      </c>
      <c r="T347">
        <v>190</v>
      </c>
      <c r="U347">
        <v>54</v>
      </c>
      <c r="V347">
        <v>1000000</v>
      </c>
      <c r="W347" t="s">
        <v>46</v>
      </c>
      <c r="Z347">
        <v>40</v>
      </c>
      <c r="AA347">
        <v>30</v>
      </c>
      <c r="AB347">
        <v>30</v>
      </c>
      <c r="AC347">
        <v>55</v>
      </c>
      <c r="AD347">
        <v>30</v>
      </c>
      <c r="AE347">
        <v>85</v>
      </c>
      <c r="AF347">
        <v>270</v>
      </c>
      <c r="AG347">
        <v>0</v>
      </c>
      <c r="AH347">
        <v>0</v>
      </c>
      <c r="AI347">
        <v>0</v>
      </c>
      <c r="AJ347">
        <v>0</v>
      </c>
      <c r="AK347">
        <v>0</v>
      </c>
      <c r="AL347">
        <v>1</v>
      </c>
    </row>
    <row r="348" spans="1:38" x14ac:dyDescent="0.25">
      <c r="A348" t="s">
        <v>926</v>
      </c>
      <c r="B348" t="s">
        <v>926</v>
      </c>
      <c r="C348" s="1">
        <v>279</v>
      </c>
      <c r="D348" s="1" t="s">
        <v>925</v>
      </c>
      <c r="E348">
        <v>3</v>
      </c>
      <c r="F348">
        <v>1.2</v>
      </c>
      <c r="G348">
        <v>28</v>
      </c>
      <c r="H348" t="s">
        <v>76</v>
      </c>
      <c r="I348" t="s">
        <v>66</v>
      </c>
      <c r="J348" t="s">
        <v>117</v>
      </c>
      <c r="K348" t="s">
        <v>698</v>
      </c>
      <c r="L348" t="s">
        <v>78</v>
      </c>
      <c r="M348" t="s">
        <v>106</v>
      </c>
      <c r="N348">
        <v>50</v>
      </c>
      <c r="O348">
        <v>50</v>
      </c>
      <c r="P348">
        <v>0</v>
      </c>
      <c r="Q348">
        <v>20</v>
      </c>
      <c r="R348" t="s">
        <v>80</v>
      </c>
      <c r="S348" t="s">
        <v>66</v>
      </c>
      <c r="T348">
        <v>45</v>
      </c>
      <c r="U348">
        <v>154</v>
      </c>
      <c r="V348">
        <v>1000000</v>
      </c>
      <c r="W348" t="s">
        <v>46</v>
      </c>
      <c r="Z348">
        <v>60</v>
      </c>
      <c r="AA348">
        <v>50</v>
      </c>
      <c r="AB348">
        <v>100</v>
      </c>
      <c r="AC348">
        <v>95</v>
      </c>
      <c r="AD348">
        <v>70</v>
      </c>
      <c r="AE348">
        <v>65</v>
      </c>
      <c r="AF348">
        <v>440</v>
      </c>
      <c r="AG348">
        <v>0</v>
      </c>
      <c r="AH348">
        <v>0</v>
      </c>
      <c r="AI348">
        <v>2</v>
      </c>
      <c r="AJ348">
        <v>0</v>
      </c>
      <c r="AK348">
        <v>0</v>
      </c>
      <c r="AL348">
        <v>0</v>
      </c>
    </row>
    <row r="349" spans="1:38" x14ac:dyDescent="0.25">
      <c r="A349" t="s">
        <v>928</v>
      </c>
      <c r="B349" t="s">
        <v>928</v>
      </c>
      <c r="C349" s="1">
        <v>280</v>
      </c>
      <c r="D349" s="1" t="s">
        <v>927</v>
      </c>
      <c r="E349">
        <v>3</v>
      </c>
      <c r="F349">
        <v>0.4</v>
      </c>
      <c r="G349">
        <v>6.6</v>
      </c>
      <c r="H349" t="s">
        <v>162</v>
      </c>
      <c r="I349" t="s">
        <v>157</v>
      </c>
      <c r="J349" t="s">
        <v>306</v>
      </c>
      <c r="K349" t="s">
        <v>314</v>
      </c>
      <c r="L349" t="s">
        <v>738</v>
      </c>
      <c r="M349" t="s">
        <v>100</v>
      </c>
      <c r="N349">
        <v>50</v>
      </c>
      <c r="O349">
        <v>50</v>
      </c>
      <c r="P349">
        <v>0</v>
      </c>
      <c r="Q349">
        <v>20</v>
      </c>
      <c r="R349" t="s">
        <v>307</v>
      </c>
      <c r="S349" t="s">
        <v>403</v>
      </c>
      <c r="T349">
        <v>235</v>
      </c>
      <c r="U349">
        <v>40</v>
      </c>
      <c r="V349">
        <v>1250000</v>
      </c>
      <c r="W349" t="s">
        <v>46</v>
      </c>
      <c r="Z349">
        <v>28</v>
      </c>
      <c r="AA349">
        <v>25</v>
      </c>
      <c r="AB349">
        <v>25</v>
      </c>
      <c r="AC349">
        <v>45</v>
      </c>
      <c r="AD349">
        <v>35</v>
      </c>
      <c r="AE349">
        <v>40</v>
      </c>
      <c r="AF349">
        <v>198</v>
      </c>
      <c r="AG349">
        <v>0</v>
      </c>
      <c r="AH349">
        <v>0</v>
      </c>
      <c r="AI349">
        <v>0</v>
      </c>
      <c r="AJ349">
        <v>1</v>
      </c>
      <c r="AK349">
        <v>0</v>
      </c>
      <c r="AL349">
        <v>0</v>
      </c>
    </row>
    <row r="350" spans="1:38" x14ac:dyDescent="0.25">
      <c r="A350" t="s">
        <v>930</v>
      </c>
      <c r="B350" t="s">
        <v>930</v>
      </c>
      <c r="C350" s="1">
        <v>281</v>
      </c>
      <c r="D350" s="1" t="s">
        <v>929</v>
      </c>
      <c r="E350">
        <v>3</v>
      </c>
      <c r="F350">
        <v>0.8</v>
      </c>
      <c r="G350">
        <v>20.2</v>
      </c>
      <c r="H350" t="s">
        <v>162</v>
      </c>
      <c r="I350" t="s">
        <v>157</v>
      </c>
      <c r="J350" t="s">
        <v>306</v>
      </c>
      <c r="K350" t="s">
        <v>314</v>
      </c>
      <c r="L350" t="s">
        <v>738</v>
      </c>
      <c r="M350" t="s">
        <v>100</v>
      </c>
      <c r="N350">
        <v>50</v>
      </c>
      <c r="O350">
        <v>50</v>
      </c>
      <c r="P350">
        <v>0</v>
      </c>
      <c r="Q350">
        <v>20</v>
      </c>
      <c r="R350" t="s">
        <v>307</v>
      </c>
      <c r="S350" t="s">
        <v>403</v>
      </c>
      <c r="T350">
        <v>120</v>
      </c>
      <c r="U350">
        <v>97</v>
      </c>
      <c r="V350">
        <v>1250000</v>
      </c>
      <c r="W350" t="s">
        <v>46</v>
      </c>
      <c r="Z350">
        <v>38</v>
      </c>
      <c r="AA350">
        <v>35</v>
      </c>
      <c r="AB350">
        <v>35</v>
      </c>
      <c r="AC350">
        <v>65</v>
      </c>
      <c r="AD350">
        <v>55</v>
      </c>
      <c r="AE350">
        <v>50</v>
      </c>
      <c r="AF350">
        <v>278</v>
      </c>
      <c r="AG350">
        <v>0</v>
      </c>
      <c r="AH350">
        <v>0</v>
      </c>
      <c r="AI350">
        <v>0</v>
      </c>
      <c r="AJ350">
        <v>2</v>
      </c>
      <c r="AK350">
        <v>0</v>
      </c>
      <c r="AL350">
        <v>0</v>
      </c>
    </row>
    <row r="351" spans="1:38" x14ac:dyDescent="0.25">
      <c r="A351" t="s">
        <v>932</v>
      </c>
      <c r="B351" t="s">
        <v>932</v>
      </c>
      <c r="C351" s="1">
        <v>282</v>
      </c>
      <c r="D351" s="1" t="s">
        <v>931</v>
      </c>
      <c r="E351">
        <v>3</v>
      </c>
      <c r="F351">
        <v>1.6</v>
      </c>
      <c r="G351">
        <v>48.4</v>
      </c>
      <c r="H351" t="s">
        <v>162</v>
      </c>
      <c r="I351" t="s">
        <v>157</v>
      </c>
      <c r="J351" t="s">
        <v>306</v>
      </c>
      <c r="K351" t="s">
        <v>314</v>
      </c>
      <c r="L351" t="s">
        <v>738</v>
      </c>
      <c r="M351" t="s">
        <v>100</v>
      </c>
      <c r="N351">
        <v>50</v>
      </c>
      <c r="O351">
        <v>50</v>
      </c>
      <c r="P351">
        <v>0</v>
      </c>
      <c r="Q351">
        <v>20</v>
      </c>
      <c r="R351" t="s">
        <v>307</v>
      </c>
      <c r="S351" t="s">
        <v>403</v>
      </c>
      <c r="T351">
        <v>45</v>
      </c>
      <c r="U351">
        <v>259</v>
      </c>
      <c r="V351">
        <v>1250000</v>
      </c>
      <c r="W351" t="s">
        <v>46</v>
      </c>
      <c r="Z351">
        <v>68</v>
      </c>
      <c r="AA351">
        <v>65</v>
      </c>
      <c r="AB351">
        <v>65</v>
      </c>
      <c r="AC351">
        <v>125</v>
      </c>
      <c r="AD351">
        <v>115</v>
      </c>
      <c r="AE351">
        <v>80</v>
      </c>
      <c r="AF351">
        <v>518</v>
      </c>
      <c r="AG351">
        <v>0</v>
      </c>
      <c r="AH351">
        <v>0</v>
      </c>
      <c r="AI351">
        <v>0</v>
      </c>
      <c r="AJ351">
        <v>3</v>
      </c>
      <c r="AK351">
        <v>0</v>
      </c>
      <c r="AL351">
        <v>0</v>
      </c>
    </row>
    <row r="352" spans="1:38" x14ac:dyDescent="0.25">
      <c r="A352" t="s">
        <v>932</v>
      </c>
      <c r="B352" t="s">
        <v>934</v>
      </c>
      <c r="C352" s="1">
        <v>282</v>
      </c>
      <c r="D352" s="1" t="s">
        <v>933</v>
      </c>
      <c r="E352">
        <v>3</v>
      </c>
      <c r="F352">
        <v>1.6</v>
      </c>
      <c r="G352">
        <v>48.4</v>
      </c>
      <c r="H352" t="s">
        <v>162</v>
      </c>
      <c r="I352" t="s">
        <v>157</v>
      </c>
      <c r="J352" t="s">
        <v>935</v>
      </c>
      <c r="M352" t="s">
        <v>100</v>
      </c>
      <c r="N352">
        <v>50</v>
      </c>
      <c r="O352">
        <v>50</v>
      </c>
      <c r="P352">
        <v>0</v>
      </c>
      <c r="Q352">
        <v>20</v>
      </c>
      <c r="R352" t="s">
        <v>403</v>
      </c>
      <c r="T352">
        <v>45</v>
      </c>
      <c r="U352">
        <v>278</v>
      </c>
      <c r="V352">
        <v>1250000</v>
      </c>
      <c r="W352" t="s">
        <v>46</v>
      </c>
      <c r="X352" t="s">
        <v>54</v>
      </c>
      <c r="Z352">
        <v>68</v>
      </c>
      <c r="AA352">
        <v>85</v>
      </c>
      <c r="AB352">
        <v>65</v>
      </c>
      <c r="AC352">
        <v>165</v>
      </c>
      <c r="AD352">
        <v>135</v>
      </c>
      <c r="AE352">
        <v>100</v>
      </c>
      <c r="AF352">
        <v>618</v>
      </c>
      <c r="AG352">
        <v>0</v>
      </c>
      <c r="AH352">
        <v>0</v>
      </c>
      <c r="AI352">
        <v>0</v>
      </c>
      <c r="AJ352">
        <v>3</v>
      </c>
      <c r="AK352">
        <v>0</v>
      </c>
      <c r="AL352">
        <v>0</v>
      </c>
    </row>
    <row r="353" spans="1:38" x14ac:dyDescent="0.25">
      <c r="A353" t="s">
        <v>937</v>
      </c>
      <c r="B353" t="s">
        <v>937</v>
      </c>
      <c r="C353" s="1">
        <v>283</v>
      </c>
      <c r="D353" s="1" t="s">
        <v>936</v>
      </c>
      <c r="E353">
        <v>3</v>
      </c>
      <c r="F353">
        <v>0.5</v>
      </c>
      <c r="G353">
        <v>1.7</v>
      </c>
      <c r="H353" t="s">
        <v>90</v>
      </c>
      <c r="I353" t="s">
        <v>76</v>
      </c>
      <c r="J353" t="s">
        <v>274</v>
      </c>
      <c r="L353" t="s">
        <v>78</v>
      </c>
      <c r="M353" t="s">
        <v>79</v>
      </c>
      <c r="N353">
        <v>50</v>
      </c>
      <c r="O353">
        <v>50</v>
      </c>
      <c r="P353">
        <v>0</v>
      </c>
      <c r="Q353">
        <v>15</v>
      </c>
      <c r="R353" t="s">
        <v>80</v>
      </c>
      <c r="S353" t="s">
        <v>90</v>
      </c>
      <c r="T353">
        <v>200</v>
      </c>
      <c r="U353">
        <v>54</v>
      </c>
      <c r="V353">
        <v>1000000</v>
      </c>
      <c r="W353" t="s">
        <v>46</v>
      </c>
      <c r="Z353">
        <v>40</v>
      </c>
      <c r="AA353">
        <v>30</v>
      </c>
      <c r="AB353">
        <v>32</v>
      </c>
      <c r="AC353">
        <v>50</v>
      </c>
      <c r="AD353">
        <v>52</v>
      </c>
      <c r="AE353">
        <v>65</v>
      </c>
      <c r="AF353">
        <v>269</v>
      </c>
      <c r="AG353">
        <v>0</v>
      </c>
      <c r="AH353">
        <v>0</v>
      </c>
      <c r="AI353">
        <v>0</v>
      </c>
      <c r="AJ353">
        <v>0</v>
      </c>
      <c r="AK353">
        <v>0</v>
      </c>
      <c r="AL353">
        <v>1</v>
      </c>
    </row>
    <row r="354" spans="1:38" x14ac:dyDescent="0.25">
      <c r="A354" t="s">
        <v>939</v>
      </c>
      <c r="B354" t="s">
        <v>939</v>
      </c>
      <c r="C354" s="1">
        <v>284</v>
      </c>
      <c r="D354" s="1" t="s">
        <v>938</v>
      </c>
      <c r="E354">
        <v>3</v>
      </c>
      <c r="F354">
        <v>0.8</v>
      </c>
      <c r="G354">
        <v>3.6</v>
      </c>
      <c r="H354" t="s">
        <v>90</v>
      </c>
      <c r="I354" t="s">
        <v>66</v>
      </c>
      <c r="J354" t="s">
        <v>148</v>
      </c>
      <c r="L354" t="s">
        <v>149</v>
      </c>
      <c r="M354" t="s">
        <v>79</v>
      </c>
      <c r="N354">
        <v>50</v>
      </c>
      <c r="O354">
        <v>50</v>
      </c>
      <c r="P354">
        <v>0</v>
      </c>
      <c r="Q354">
        <v>15</v>
      </c>
      <c r="R354" t="s">
        <v>80</v>
      </c>
      <c r="S354" t="s">
        <v>90</v>
      </c>
      <c r="T354">
        <v>75</v>
      </c>
      <c r="U354">
        <v>159</v>
      </c>
      <c r="V354">
        <v>1000000</v>
      </c>
      <c r="W354" t="s">
        <v>46</v>
      </c>
      <c r="Z354">
        <v>70</v>
      </c>
      <c r="AA354">
        <v>60</v>
      </c>
      <c r="AB354">
        <v>62</v>
      </c>
      <c r="AC354">
        <v>100</v>
      </c>
      <c r="AD354">
        <v>82</v>
      </c>
      <c r="AE354">
        <v>80</v>
      </c>
      <c r="AF354">
        <v>454</v>
      </c>
      <c r="AG354">
        <v>0</v>
      </c>
      <c r="AH354">
        <v>0</v>
      </c>
      <c r="AI354">
        <v>0</v>
      </c>
      <c r="AJ354">
        <v>1</v>
      </c>
      <c r="AK354">
        <v>1</v>
      </c>
      <c r="AL354">
        <v>0</v>
      </c>
    </row>
    <row r="355" spans="1:38" x14ac:dyDescent="0.25">
      <c r="A355" t="s">
        <v>941</v>
      </c>
      <c r="B355" t="s">
        <v>941</v>
      </c>
      <c r="C355" s="1">
        <v>285</v>
      </c>
      <c r="D355" s="1" t="s">
        <v>940</v>
      </c>
      <c r="E355">
        <v>3</v>
      </c>
      <c r="F355">
        <v>0.4</v>
      </c>
      <c r="G355">
        <v>4.5</v>
      </c>
      <c r="H355" t="s">
        <v>40</v>
      </c>
      <c r="J355" t="s">
        <v>232</v>
      </c>
      <c r="K355" t="s">
        <v>942</v>
      </c>
      <c r="L355" t="s">
        <v>565</v>
      </c>
      <c r="M355" t="s">
        <v>103</v>
      </c>
      <c r="N355">
        <v>50</v>
      </c>
      <c r="O355">
        <v>50</v>
      </c>
      <c r="P355">
        <v>0</v>
      </c>
      <c r="Q355">
        <v>15</v>
      </c>
      <c r="R355" t="s">
        <v>157</v>
      </c>
      <c r="S355" t="s">
        <v>40</v>
      </c>
      <c r="T355">
        <v>255</v>
      </c>
      <c r="U355">
        <v>59</v>
      </c>
      <c r="V355">
        <v>1640000</v>
      </c>
      <c r="W355" t="s">
        <v>46</v>
      </c>
      <c r="Z355">
        <v>60</v>
      </c>
      <c r="AA355">
        <v>40</v>
      </c>
      <c r="AB355">
        <v>60</v>
      </c>
      <c r="AC355">
        <v>40</v>
      </c>
      <c r="AD355">
        <v>60</v>
      </c>
      <c r="AE355">
        <v>35</v>
      </c>
      <c r="AF355">
        <v>295</v>
      </c>
      <c r="AG355">
        <v>1</v>
      </c>
      <c r="AH355">
        <v>0</v>
      </c>
      <c r="AI355">
        <v>0</v>
      </c>
      <c r="AJ355">
        <v>0</v>
      </c>
      <c r="AK355">
        <v>0</v>
      </c>
      <c r="AL355">
        <v>0</v>
      </c>
    </row>
    <row r="356" spans="1:38" x14ac:dyDescent="0.25">
      <c r="A356" t="s">
        <v>944</v>
      </c>
      <c r="B356" t="s">
        <v>944</v>
      </c>
      <c r="C356" s="1">
        <v>286</v>
      </c>
      <c r="D356" s="1" t="s">
        <v>943</v>
      </c>
      <c r="E356">
        <v>3</v>
      </c>
      <c r="F356">
        <v>1.2</v>
      </c>
      <c r="G356">
        <v>39.200000000000003</v>
      </c>
      <c r="H356" t="s">
        <v>40</v>
      </c>
      <c r="I356" t="s">
        <v>279</v>
      </c>
      <c r="J356" t="s">
        <v>232</v>
      </c>
      <c r="K356" t="s">
        <v>942</v>
      </c>
      <c r="L356" t="s">
        <v>258</v>
      </c>
      <c r="M356" t="s">
        <v>44</v>
      </c>
      <c r="N356">
        <v>50</v>
      </c>
      <c r="O356">
        <v>50</v>
      </c>
      <c r="P356">
        <v>0</v>
      </c>
      <c r="Q356">
        <v>15</v>
      </c>
      <c r="R356" t="s">
        <v>157</v>
      </c>
      <c r="S356" t="s">
        <v>40</v>
      </c>
      <c r="T356">
        <v>90</v>
      </c>
      <c r="U356">
        <v>161</v>
      </c>
      <c r="V356">
        <v>1640000</v>
      </c>
      <c r="W356" t="s">
        <v>46</v>
      </c>
      <c r="Z356">
        <v>60</v>
      </c>
      <c r="AA356">
        <v>130</v>
      </c>
      <c r="AB356">
        <v>80</v>
      </c>
      <c r="AC356">
        <v>60</v>
      </c>
      <c r="AD356">
        <v>60</v>
      </c>
      <c r="AE356">
        <v>70</v>
      </c>
      <c r="AF356">
        <v>460</v>
      </c>
      <c r="AG356">
        <v>0</v>
      </c>
      <c r="AH356">
        <v>2</v>
      </c>
      <c r="AI356">
        <v>0</v>
      </c>
      <c r="AJ356">
        <v>0</v>
      </c>
      <c r="AK356">
        <v>0</v>
      </c>
      <c r="AL356">
        <v>0</v>
      </c>
    </row>
    <row r="357" spans="1:38" x14ac:dyDescent="0.25">
      <c r="A357" t="s">
        <v>946</v>
      </c>
      <c r="B357" t="s">
        <v>946</v>
      </c>
      <c r="C357" s="1">
        <v>287</v>
      </c>
      <c r="D357" s="1" t="s">
        <v>945</v>
      </c>
      <c r="E357">
        <v>3</v>
      </c>
      <c r="F357">
        <v>0.8</v>
      </c>
      <c r="G357">
        <v>24</v>
      </c>
      <c r="H357" t="s">
        <v>116</v>
      </c>
      <c r="J357" t="s">
        <v>947</v>
      </c>
      <c r="M357" t="s">
        <v>103</v>
      </c>
      <c r="N357">
        <v>50</v>
      </c>
      <c r="O357">
        <v>50</v>
      </c>
      <c r="P357">
        <v>0</v>
      </c>
      <c r="Q357">
        <v>15</v>
      </c>
      <c r="R357" t="s">
        <v>132</v>
      </c>
      <c r="T357">
        <v>255</v>
      </c>
      <c r="U357">
        <v>56</v>
      </c>
      <c r="V357">
        <v>1250000</v>
      </c>
      <c r="W357" t="s">
        <v>46</v>
      </c>
      <c r="Z357">
        <v>60</v>
      </c>
      <c r="AA357">
        <v>60</v>
      </c>
      <c r="AB357">
        <v>60</v>
      </c>
      <c r="AC357">
        <v>35</v>
      </c>
      <c r="AD357">
        <v>35</v>
      </c>
      <c r="AE357">
        <v>30</v>
      </c>
      <c r="AF357">
        <v>280</v>
      </c>
      <c r="AG357">
        <v>1</v>
      </c>
      <c r="AH357">
        <v>0</v>
      </c>
      <c r="AI357">
        <v>0</v>
      </c>
      <c r="AJ357">
        <v>0</v>
      </c>
      <c r="AK357">
        <v>0</v>
      </c>
      <c r="AL357">
        <v>0</v>
      </c>
    </row>
    <row r="358" spans="1:38" x14ac:dyDescent="0.25">
      <c r="A358" t="s">
        <v>949</v>
      </c>
      <c r="B358" t="s">
        <v>949</v>
      </c>
      <c r="C358" s="1">
        <v>288</v>
      </c>
      <c r="D358" s="1" t="s">
        <v>948</v>
      </c>
      <c r="E358">
        <v>3</v>
      </c>
      <c r="F358">
        <v>1.4</v>
      </c>
      <c r="G358">
        <v>46.5</v>
      </c>
      <c r="H358" t="s">
        <v>116</v>
      </c>
      <c r="J358" t="s">
        <v>280</v>
      </c>
      <c r="M358" t="s">
        <v>100</v>
      </c>
      <c r="N358">
        <v>50</v>
      </c>
      <c r="O358">
        <v>50</v>
      </c>
      <c r="P358">
        <v>0</v>
      </c>
      <c r="Q358">
        <v>15</v>
      </c>
      <c r="R358" t="s">
        <v>132</v>
      </c>
      <c r="T358">
        <v>120</v>
      </c>
      <c r="U358">
        <v>154</v>
      </c>
      <c r="V358">
        <v>1250000</v>
      </c>
      <c r="W358" t="s">
        <v>46</v>
      </c>
      <c r="Z358">
        <v>80</v>
      </c>
      <c r="AA358">
        <v>80</v>
      </c>
      <c r="AB358">
        <v>80</v>
      </c>
      <c r="AC358">
        <v>55</v>
      </c>
      <c r="AD358">
        <v>55</v>
      </c>
      <c r="AE358">
        <v>90</v>
      </c>
      <c r="AF358">
        <v>440</v>
      </c>
      <c r="AG358">
        <v>0</v>
      </c>
      <c r="AH358">
        <v>0</v>
      </c>
      <c r="AI358">
        <v>0</v>
      </c>
      <c r="AJ358">
        <v>0</v>
      </c>
      <c r="AK358">
        <v>0</v>
      </c>
      <c r="AL358">
        <v>2</v>
      </c>
    </row>
    <row r="359" spans="1:38" x14ac:dyDescent="0.25">
      <c r="A359" t="s">
        <v>951</v>
      </c>
      <c r="B359" t="s">
        <v>951</v>
      </c>
      <c r="C359" s="1">
        <v>289</v>
      </c>
      <c r="D359" s="1" t="s">
        <v>950</v>
      </c>
      <c r="E359">
        <v>3</v>
      </c>
      <c r="F359">
        <v>2</v>
      </c>
      <c r="G359">
        <v>130.5</v>
      </c>
      <c r="H359" t="s">
        <v>116</v>
      </c>
      <c r="J359" t="s">
        <v>947</v>
      </c>
      <c r="M359" t="s">
        <v>103</v>
      </c>
      <c r="N359">
        <v>50</v>
      </c>
      <c r="O359">
        <v>50</v>
      </c>
      <c r="P359">
        <v>0</v>
      </c>
      <c r="Q359">
        <v>15</v>
      </c>
      <c r="R359" t="s">
        <v>132</v>
      </c>
      <c r="T359">
        <v>45</v>
      </c>
      <c r="U359">
        <v>285</v>
      </c>
      <c r="V359">
        <v>1250000</v>
      </c>
      <c r="W359" t="s">
        <v>46</v>
      </c>
      <c r="Z359">
        <v>150</v>
      </c>
      <c r="AA359">
        <v>160</v>
      </c>
      <c r="AB359">
        <v>100</v>
      </c>
      <c r="AC359">
        <v>95</v>
      </c>
      <c r="AD359">
        <v>65</v>
      </c>
      <c r="AE359">
        <v>100</v>
      </c>
      <c r="AF359">
        <v>670</v>
      </c>
      <c r="AG359">
        <v>3</v>
      </c>
      <c r="AH359">
        <v>0</v>
      </c>
      <c r="AI359">
        <v>0</v>
      </c>
      <c r="AJ359">
        <v>0</v>
      </c>
      <c r="AK359">
        <v>0</v>
      </c>
      <c r="AL359">
        <v>0</v>
      </c>
    </row>
    <row r="360" spans="1:38" x14ac:dyDescent="0.25">
      <c r="A360" t="s">
        <v>953</v>
      </c>
      <c r="B360" t="s">
        <v>953</v>
      </c>
      <c r="C360" s="1">
        <v>290</v>
      </c>
      <c r="D360" s="1" t="s">
        <v>952</v>
      </c>
      <c r="E360">
        <v>3</v>
      </c>
      <c r="F360">
        <v>0.5</v>
      </c>
      <c r="G360">
        <v>5.5</v>
      </c>
      <c r="H360" t="s">
        <v>90</v>
      </c>
      <c r="I360" t="s">
        <v>132</v>
      </c>
      <c r="J360" t="s">
        <v>98</v>
      </c>
      <c r="L360" t="s">
        <v>92</v>
      </c>
      <c r="M360" t="s">
        <v>318</v>
      </c>
      <c r="N360">
        <v>50</v>
      </c>
      <c r="O360">
        <v>50</v>
      </c>
      <c r="P360">
        <v>0</v>
      </c>
      <c r="Q360">
        <v>15</v>
      </c>
      <c r="R360" t="s">
        <v>90</v>
      </c>
      <c r="T360">
        <v>255</v>
      </c>
      <c r="U360">
        <v>53</v>
      </c>
      <c r="V360">
        <v>600000</v>
      </c>
      <c r="W360" t="s">
        <v>46</v>
      </c>
      <c r="Z360">
        <v>31</v>
      </c>
      <c r="AA360">
        <v>45</v>
      </c>
      <c r="AB360">
        <v>90</v>
      </c>
      <c r="AC360">
        <v>30</v>
      </c>
      <c r="AD360">
        <v>30</v>
      </c>
      <c r="AE360">
        <v>40</v>
      </c>
      <c r="AF360">
        <v>266</v>
      </c>
      <c r="AG360">
        <v>0</v>
      </c>
      <c r="AH360">
        <v>0</v>
      </c>
      <c r="AI360">
        <v>1</v>
      </c>
      <c r="AJ360">
        <v>0</v>
      </c>
      <c r="AK360">
        <v>0</v>
      </c>
      <c r="AL360">
        <v>0</v>
      </c>
    </row>
    <row r="361" spans="1:38" x14ac:dyDescent="0.25">
      <c r="A361" t="s">
        <v>955</v>
      </c>
      <c r="B361" t="s">
        <v>955</v>
      </c>
      <c r="C361" s="1">
        <v>291</v>
      </c>
      <c r="D361" s="1" t="s">
        <v>954</v>
      </c>
      <c r="E361">
        <v>3</v>
      </c>
      <c r="F361">
        <v>0.8</v>
      </c>
      <c r="G361">
        <v>12</v>
      </c>
      <c r="H361" t="s">
        <v>90</v>
      </c>
      <c r="I361" t="s">
        <v>66</v>
      </c>
      <c r="J361" t="s">
        <v>713</v>
      </c>
      <c r="L361" t="s">
        <v>222</v>
      </c>
      <c r="M361" t="s">
        <v>106</v>
      </c>
      <c r="N361">
        <v>50</v>
      </c>
      <c r="O361">
        <v>50</v>
      </c>
      <c r="P361">
        <v>0</v>
      </c>
      <c r="Q361">
        <v>15</v>
      </c>
      <c r="R361" t="s">
        <v>90</v>
      </c>
      <c r="T361">
        <v>120</v>
      </c>
      <c r="U361">
        <v>160</v>
      </c>
      <c r="V361">
        <v>600000</v>
      </c>
      <c r="W361" t="s">
        <v>46</v>
      </c>
      <c r="Z361">
        <v>61</v>
      </c>
      <c r="AA361">
        <v>90</v>
      </c>
      <c r="AB361">
        <v>45</v>
      </c>
      <c r="AC361">
        <v>50</v>
      </c>
      <c r="AD361">
        <v>50</v>
      </c>
      <c r="AE361">
        <v>160</v>
      </c>
      <c r="AF361">
        <v>456</v>
      </c>
      <c r="AG361">
        <v>0</v>
      </c>
      <c r="AH361">
        <v>0</v>
      </c>
      <c r="AI361">
        <v>0</v>
      </c>
      <c r="AJ361">
        <v>0</v>
      </c>
      <c r="AK361">
        <v>0</v>
      </c>
      <c r="AL361">
        <v>2</v>
      </c>
    </row>
    <row r="362" spans="1:38" x14ac:dyDescent="0.25">
      <c r="A362" t="s">
        <v>957</v>
      </c>
      <c r="B362" t="s">
        <v>957</v>
      </c>
      <c r="C362" s="1">
        <v>292</v>
      </c>
      <c r="D362" s="1" t="s">
        <v>956</v>
      </c>
      <c r="E362">
        <v>3</v>
      </c>
      <c r="F362">
        <v>0.8</v>
      </c>
      <c r="G362">
        <v>1.2</v>
      </c>
      <c r="H362" t="s">
        <v>90</v>
      </c>
      <c r="I362" t="s">
        <v>419</v>
      </c>
      <c r="J362" t="s">
        <v>958</v>
      </c>
      <c r="M362" t="s">
        <v>103</v>
      </c>
      <c r="N362">
        <v>0</v>
      </c>
      <c r="O362">
        <v>0</v>
      </c>
      <c r="P362">
        <v>100</v>
      </c>
      <c r="Q362">
        <v>15</v>
      </c>
      <c r="R362" t="s">
        <v>339</v>
      </c>
      <c r="T362">
        <v>45</v>
      </c>
      <c r="U362">
        <v>83</v>
      </c>
      <c r="V362">
        <v>600000</v>
      </c>
      <c r="W362" t="s">
        <v>46</v>
      </c>
      <c r="Z362">
        <v>1</v>
      </c>
      <c r="AA362">
        <v>90</v>
      </c>
      <c r="AB362">
        <v>45</v>
      </c>
      <c r="AC362">
        <v>30</v>
      </c>
      <c r="AD362">
        <v>30</v>
      </c>
      <c r="AE362">
        <v>40</v>
      </c>
      <c r="AF362">
        <v>236</v>
      </c>
      <c r="AG362">
        <v>2</v>
      </c>
      <c r="AH362">
        <v>0</v>
      </c>
      <c r="AI362">
        <v>0</v>
      </c>
      <c r="AJ362">
        <v>0</v>
      </c>
      <c r="AK362">
        <v>0</v>
      </c>
      <c r="AL362">
        <v>0</v>
      </c>
    </row>
    <row r="363" spans="1:38" x14ac:dyDescent="0.25">
      <c r="A363" t="s">
        <v>960</v>
      </c>
      <c r="B363" t="s">
        <v>960</v>
      </c>
      <c r="C363" s="1">
        <v>293</v>
      </c>
      <c r="D363" s="1" t="s">
        <v>959</v>
      </c>
      <c r="E363">
        <v>3</v>
      </c>
      <c r="F363">
        <v>0.6</v>
      </c>
      <c r="G363">
        <v>16.3</v>
      </c>
      <c r="H363" t="s">
        <v>116</v>
      </c>
      <c r="J363" t="s">
        <v>445</v>
      </c>
      <c r="L363" t="s">
        <v>261</v>
      </c>
      <c r="M363" t="s">
        <v>199</v>
      </c>
      <c r="N363">
        <v>50</v>
      </c>
      <c r="O363">
        <v>50</v>
      </c>
      <c r="P363">
        <v>0</v>
      </c>
      <c r="Q363">
        <v>20</v>
      </c>
      <c r="R363" t="s">
        <v>45</v>
      </c>
      <c r="S363" t="s">
        <v>132</v>
      </c>
      <c r="T363">
        <v>190</v>
      </c>
      <c r="U363">
        <v>48</v>
      </c>
      <c r="V363">
        <v>1059860</v>
      </c>
      <c r="W363" t="s">
        <v>46</v>
      </c>
      <c r="Z363">
        <v>64</v>
      </c>
      <c r="AA363">
        <v>51</v>
      </c>
      <c r="AB363">
        <v>23</v>
      </c>
      <c r="AC363">
        <v>51</v>
      </c>
      <c r="AD363">
        <v>23</v>
      </c>
      <c r="AE363">
        <v>28</v>
      </c>
      <c r="AF363">
        <v>240</v>
      </c>
      <c r="AG363">
        <v>1</v>
      </c>
      <c r="AH363">
        <v>0</v>
      </c>
      <c r="AI363">
        <v>0</v>
      </c>
      <c r="AJ363">
        <v>0</v>
      </c>
      <c r="AK363">
        <v>0</v>
      </c>
      <c r="AL363">
        <v>0</v>
      </c>
    </row>
    <row r="364" spans="1:38" x14ac:dyDescent="0.25">
      <c r="A364" t="s">
        <v>962</v>
      </c>
      <c r="B364" t="s">
        <v>962</v>
      </c>
      <c r="C364" s="1">
        <v>294</v>
      </c>
      <c r="D364" s="1" t="s">
        <v>961</v>
      </c>
      <c r="E364">
        <v>3</v>
      </c>
      <c r="F364">
        <v>1</v>
      </c>
      <c r="G364">
        <v>40.5</v>
      </c>
      <c r="H364" t="s">
        <v>116</v>
      </c>
      <c r="J364" t="s">
        <v>445</v>
      </c>
      <c r="L364" t="s">
        <v>387</v>
      </c>
      <c r="M364" t="s">
        <v>79</v>
      </c>
      <c r="N364">
        <v>50</v>
      </c>
      <c r="O364">
        <v>50</v>
      </c>
      <c r="P364">
        <v>0</v>
      </c>
      <c r="Q364">
        <v>20</v>
      </c>
      <c r="R364" t="s">
        <v>45</v>
      </c>
      <c r="S364" t="s">
        <v>132</v>
      </c>
      <c r="T364">
        <v>120</v>
      </c>
      <c r="U364">
        <v>126</v>
      </c>
      <c r="V364">
        <v>1059860</v>
      </c>
      <c r="W364" t="s">
        <v>46</v>
      </c>
      <c r="Z364">
        <v>84</v>
      </c>
      <c r="AA364">
        <v>71</v>
      </c>
      <c r="AB364">
        <v>43</v>
      </c>
      <c r="AC364">
        <v>71</v>
      </c>
      <c r="AD364">
        <v>43</v>
      </c>
      <c r="AE364">
        <v>48</v>
      </c>
      <c r="AF364">
        <v>360</v>
      </c>
      <c r="AG364">
        <v>2</v>
      </c>
      <c r="AH364">
        <v>0</v>
      </c>
      <c r="AI364">
        <v>0</v>
      </c>
      <c r="AJ364">
        <v>0</v>
      </c>
      <c r="AK364">
        <v>0</v>
      </c>
      <c r="AL364">
        <v>0</v>
      </c>
    </row>
    <row r="365" spans="1:38" x14ac:dyDescent="0.25">
      <c r="A365" t="s">
        <v>964</v>
      </c>
      <c r="B365" t="s">
        <v>964</v>
      </c>
      <c r="C365" s="1">
        <v>295</v>
      </c>
      <c r="D365" s="1" t="s">
        <v>963</v>
      </c>
      <c r="E365">
        <v>3</v>
      </c>
      <c r="F365">
        <v>1.5</v>
      </c>
      <c r="G365">
        <v>84</v>
      </c>
      <c r="H365" t="s">
        <v>116</v>
      </c>
      <c r="J365" t="s">
        <v>445</v>
      </c>
      <c r="L365" t="s">
        <v>387</v>
      </c>
      <c r="M365" t="s">
        <v>79</v>
      </c>
      <c r="N365">
        <v>50</v>
      </c>
      <c r="O365">
        <v>50</v>
      </c>
      <c r="P365">
        <v>0</v>
      </c>
      <c r="Q365">
        <v>20</v>
      </c>
      <c r="R365" t="s">
        <v>45</v>
      </c>
      <c r="S365" t="s">
        <v>132</v>
      </c>
      <c r="T365">
        <v>45</v>
      </c>
      <c r="U365">
        <v>245</v>
      </c>
      <c r="V365">
        <v>1059860</v>
      </c>
      <c r="W365" t="s">
        <v>46</v>
      </c>
      <c r="Z365">
        <v>104</v>
      </c>
      <c r="AA365">
        <v>91</v>
      </c>
      <c r="AB365">
        <v>63</v>
      </c>
      <c r="AC365">
        <v>91</v>
      </c>
      <c r="AD365">
        <v>73</v>
      </c>
      <c r="AE365">
        <v>68</v>
      </c>
      <c r="AF365">
        <v>490</v>
      </c>
      <c r="AG365">
        <v>3</v>
      </c>
      <c r="AH365">
        <v>0</v>
      </c>
      <c r="AI365">
        <v>0</v>
      </c>
      <c r="AJ365">
        <v>0</v>
      </c>
      <c r="AK365">
        <v>0</v>
      </c>
      <c r="AL365">
        <v>0</v>
      </c>
    </row>
    <row r="366" spans="1:38" x14ac:dyDescent="0.25">
      <c r="A366" t="s">
        <v>966</v>
      </c>
      <c r="B366" t="s">
        <v>966</v>
      </c>
      <c r="C366" s="1">
        <v>296</v>
      </c>
      <c r="D366" s="1" t="s">
        <v>965</v>
      </c>
      <c r="E366">
        <v>3</v>
      </c>
      <c r="F366">
        <v>1</v>
      </c>
      <c r="G366">
        <v>86.4</v>
      </c>
      <c r="H366" t="s">
        <v>279</v>
      </c>
      <c r="J366" t="s">
        <v>53</v>
      </c>
      <c r="K366" t="s">
        <v>129</v>
      </c>
      <c r="L366" t="s">
        <v>187</v>
      </c>
      <c r="M366" t="s">
        <v>106</v>
      </c>
      <c r="N366">
        <v>75</v>
      </c>
      <c r="O366">
        <v>25</v>
      </c>
      <c r="P366">
        <v>0</v>
      </c>
      <c r="Q366">
        <v>20</v>
      </c>
      <c r="R366" t="s">
        <v>307</v>
      </c>
      <c r="T366">
        <v>180</v>
      </c>
      <c r="U366">
        <v>47</v>
      </c>
      <c r="V366">
        <v>1640000</v>
      </c>
      <c r="W366" t="s">
        <v>46</v>
      </c>
      <c r="Z366">
        <v>72</v>
      </c>
      <c r="AA366">
        <v>60</v>
      </c>
      <c r="AB366">
        <v>30</v>
      </c>
      <c r="AC366">
        <v>20</v>
      </c>
      <c r="AD366">
        <v>30</v>
      </c>
      <c r="AE366">
        <v>25</v>
      </c>
      <c r="AF366">
        <v>237</v>
      </c>
      <c r="AG366">
        <v>1</v>
      </c>
      <c r="AH366">
        <v>0</v>
      </c>
      <c r="AI366">
        <v>0</v>
      </c>
      <c r="AJ366">
        <v>0</v>
      </c>
      <c r="AK366">
        <v>0</v>
      </c>
      <c r="AL366">
        <v>0</v>
      </c>
    </row>
    <row r="367" spans="1:38" x14ac:dyDescent="0.25">
      <c r="A367" t="s">
        <v>968</v>
      </c>
      <c r="B367" t="s">
        <v>968</v>
      </c>
      <c r="C367" s="1">
        <v>297</v>
      </c>
      <c r="D367" s="1" t="s">
        <v>967</v>
      </c>
      <c r="E367">
        <v>3</v>
      </c>
      <c r="F367">
        <v>2.2999999999999998</v>
      </c>
      <c r="G367">
        <v>253.8</v>
      </c>
      <c r="H367" t="s">
        <v>279</v>
      </c>
      <c r="J367" t="s">
        <v>53</v>
      </c>
      <c r="K367" t="s">
        <v>129</v>
      </c>
      <c r="L367" t="s">
        <v>187</v>
      </c>
      <c r="M367" t="s">
        <v>103</v>
      </c>
      <c r="N367">
        <v>75</v>
      </c>
      <c r="O367">
        <v>25</v>
      </c>
      <c r="P367">
        <v>0</v>
      </c>
      <c r="Q367">
        <v>20</v>
      </c>
      <c r="R367" t="s">
        <v>307</v>
      </c>
      <c r="T367">
        <v>200</v>
      </c>
      <c r="U367">
        <v>166</v>
      </c>
      <c r="V367">
        <v>1640000</v>
      </c>
      <c r="W367" t="s">
        <v>46</v>
      </c>
      <c r="Z367">
        <v>144</v>
      </c>
      <c r="AA367">
        <v>120</v>
      </c>
      <c r="AB367">
        <v>60</v>
      </c>
      <c r="AC367">
        <v>40</v>
      </c>
      <c r="AD367">
        <v>60</v>
      </c>
      <c r="AE367">
        <v>50</v>
      </c>
      <c r="AF367">
        <v>474</v>
      </c>
      <c r="AG367">
        <v>2</v>
      </c>
      <c r="AH367">
        <v>0</v>
      </c>
      <c r="AI367">
        <v>0</v>
      </c>
      <c r="AJ367">
        <v>0</v>
      </c>
      <c r="AK367">
        <v>0</v>
      </c>
      <c r="AL367">
        <v>0</v>
      </c>
    </row>
    <row r="368" spans="1:38" x14ac:dyDescent="0.25">
      <c r="A368" t="s">
        <v>970</v>
      </c>
      <c r="B368" t="s">
        <v>970</v>
      </c>
      <c r="C368" s="1">
        <v>298</v>
      </c>
      <c r="D368" s="1" t="s">
        <v>969</v>
      </c>
      <c r="E368">
        <v>3</v>
      </c>
      <c r="F368">
        <v>0.2</v>
      </c>
      <c r="G368">
        <v>2</v>
      </c>
      <c r="H368" t="s">
        <v>116</v>
      </c>
      <c r="I368" t="s">
        <v>157</v>
      </c>
      <c r="J368" t="s">
        <v>53</v>
      </c>
      <c r="K368" t="s">
        <v>690</v>
      </c>
      <c r="L368" t="s">
        <v>691</v>
      </c>
      <c r="M368" t="s">
        <v>79</v>
      </c>
      <c r="N368">
        <v>25</v>
      </c>
      <c r="O368">
        <v>75</v>
      </c>
      <c r="P368">
        <v>0</v>
      </c>
      <c r="Q368">
        <v>10</v>
      </c>
      <c r="R368" t="s">
        <v>184</v>
      </c>
      <c r="T368">
        <v>150</v>
      </c>
      <c r="U368">
        <v>38</v>
      </c>
      <c r="V368">
        <v>800000</v>
      </c>
      <c r="W368" t="s">
        <v>46</v>
      </c>
      <c r="Z368">
        <v>50</v>
      </c>
      <c r="AA368">
        <v>20</v>
      </c>
      <c r="AB368">
        <v>40</v>
      </c>
      <c r="AC368">
        <v>20</v>
      </c>
      <c r="AD368">
        <v>40</v>
      </c>
      <c r="AE368">
        <v>20</v>
      </c>
      <c r="AF368">
        <v>190</v>
      </c>
      <c r="AG368">
        <v>1</v>
      </c>
      <c r="AH368">
        <v>0</v>
      </c>
      <c r="AI368">
        <v>0</v>
      </c>
      <c r="AJ368">
        <v>0</v>
      </c>
      <c r="AK368">
        <v>0</v>
      </c>
      <c r="AL368">
        <v>0</v>
      </c>
    </row>
    <row r="369" spans="1:38" x14ac:dyDescent="0.25">
      <c r="A369" t="s">
        <v>972</v>
      </c>
      <c r="B369" t="s">
        <v>972</v>
      </c>
      <c r="C369" s="1">
        <v>299</v>
      </c>
      <c r="D369" s="1" t="s">
        <v>971</v>
      </c>
      <c r="E369">
        <v>3</v>
      </c>
      <c r="F369">
        <v>1</v>
      </c>
      <c r="G369">
        <v>97</v>
      </c>
      <c r="H369" t="s">
        <v>290</v>
      </c>
      <c r="J369" t="s">
        <v>338</v>
      </c>
      <c r="K369" t="s">
        <v>342</v>
      </c>
      <c r="L369" t="s">
        <v>247</v>
      </c>
      <c r="M369" t="s">
        <v>318</v>
      </c>
      <c r="N369">
        <v>50</v>
      </c>
      <c r="O369">
        <v>50</v>
      </c>
      <c r="P369">
        <v>0</v>
      </c>
      <c r="Q369">
        <v>20</v>
      </c>
      <c r="R369" t="s">
        <v>339</v>
      </c>
      <c r="T369">
        <v>255</v>
      </c>
      <c r="U369">
        <v>75</v>
      </c>
      <c r="V369">
        <v>1000000</v>
      </c>
      <c r="W369" t="s">
        <v>46</v>
      </c>
      <c r="Z369">
        <v>30</v>
      </c>
      <c r="AA369">
        <v>45</v>
      </c>
      <c r="AB369">
        <v>135</v>
      </c>
      <c r="AC369">
        <v>45</v>
      </c>
      <c r="AD369">
        <v>90</v>
      </c>
      <c r="AE369">
        <v>30</v>
      </c>
      <c r="AF369">
        <v>375</v>
      </c>
      <c r="AG369">
        <v>0</v>
      </c>
      <c r="AH369">
        <v>0</v>
      </c>
      <c r="AI369">
        <v>1</v>
      </c>
      <c r="AJ369">
        <v>0</v>
      </c>
      <c r="AK369">
        <v>0</v>
      </c>
      <c r="AL369">
        <v>0</v>
      </c>
    </row>
    <row r="370" spans="1:38" x14ac:dyDescent="0.25">
      <c r="A370" t="s">
        <v>974</v>
      </c>
      <c r="B370" t="s">
        <v>974</v>
      </c>
      <c r="C370" s="1">
        <v>300</v>
      </c>
      <c r="D370" s="1" t="s">
        <v>973</v>
      </c>
      <c r="E370">
        <v>3</v>
      </c>
      <c r="F370">
        <v>0.6</v>
      </c>
      <c r="G370">
        <v>11</v>
      </c>
      <c r="H370" t="s">
        <v>116</v>
      </c>
      <c r="J370" t="s">
        <v>196</v>
      </c>
      <c r="K370" t="s">
        <v>975</v>
      </c>
      <c r="L370" t="s">
        <v>243</v>
      </c>
      <c r="M370" t="s">
        <v>199</v>
      </c>
      <c r="N370">
        <v>25</v>
      </c>
      <c r="O370">
        <v>75</v>
      </c>
      <c r="P370">
        <v>0</v>
      </c>
      <c r="Q370">
        <v>15</v>
      </c>
      <c r="R370" t="s">
        <v>132</v>
      </c>
      <c r="S370" t="s">
        <v>157</v>
      </c>
      <c r="T370">
        <v>255</v>
      </c>
      <c r="U370">
        <v>52</v>
      </c>
      <c r="V370">
        <v>800000</v>
      </c>
      <c r="W370" t="s">
        <v>46</v>
      </c>
      <c r="Z370">
        <v>50</v>
      </c>
      <c r="AA370">
        <v>45</v>
      </c>
      <c r="AB370">
        <v>45</v>
      </c>
      <c r="AC370">
        <v>35</v>
      </c>
      <c r="AD370">
        <v>35</v>
      </c>
      <c r="AE370">
        <v>50</v>
      </c>
      <c r="AF370">
        <v>260</v>
      </c>
      <c r="AG370">
        <v>0</v>
      </c>
      <c r="AH370">
        <v>0</v>
      </c>
      <c r="AI370">
        <v>0</v>
      </c>
      <c r="AJ370">
        <v>0</v>
      </c>
      <c r="AK370">
        <v>0</v>
      </c>
      <c r="AL370">
        <v>1</v>
      </c>
    </row>
    <row r="371" spans="1:38" x14ac:dyDescent="0.25">
      <c r="A371" t="s">
        <v>977</v>
      </c>
      <c r="B371" t="s">
        <v>977</v>
      </c>
      <c r="C371" s="1">
        <v>301</v>
      </c>
      <c r="D371" s="1" t="s">
        <v>976</v>
      </c>
      <c r="E371">
        <v>3</v>
      </c>
      <c r="F371">
        <v>1.1000000000000001</v>
      </c>
      <c r="G371">
        <v>32.6</v>
      </c>
      <c r="H371" t="s">
        <v>116</v>
      </c>
      <c r="J371" t="s">
        <v>196</v>
      </c>
      <c r="K371" t="s">
        <v>975</v>
      </c>
      <c r="L371" t="s">
        <v>243</v>
      </c>
      <c r="M371" t="s">
        <v>131</v>
      </c>
      <c r="N371">
        <v>25</v>
      </c>
      <c r="O371">
        <v>75</v>
      </c>
      <c r="P371">
        <v>0</v>
      </c>
      <c r="Q371">
        <v>15</v>
      </c>
      <c r="R371" t="s">
        <v>132</v>
      </c>
      <c r="S371" t="s">
        <v>157</v>
      </c>
      <c r="T371">
        <v>60</v>
      </c>
      <c r="U371">
        <v>140</v>
      </c>
      <c r="V371">
        <v>800000</v>
      </c>
      <c r="W371" t="s">
        <v>46</v>
      </c>
      <c r="Z371">
        <v>70</v>
      </c>
      <c r="AA371">
        <v>65</v>
      </c>
      <c r="AB371">
        <v>65</v>
      </c>
      <c r="AC371">
        <v>55</v>
      </c>
      <c r="AD371">
        <v>55</v>
      </c>
      <c r="AE371">
        <v>90</v>
      </c>
      <c r="AF371">
        <v>400</v>
      </c>
      <c r="AG371">
        <v>1</v>
      </c>
      <c r="AH371">
        <v>0</v>
      </c>
      <c r="AI371">
        <v>0</v>
      </c>
      <c r="AJ371">
        <v>0</v>
      </c>
      <c r="AK371">
        <v>0</v>
      </c>
      <c r="AL371">
        <v>1</v>
      </c>
    </row>
    <row r="372" spans="1:38" x14ac:dyDescent="0.25">
      <c r="A372" t="s">
        <v>979</v>
      </c>
      <c r="B372" t="s">
        <v>979</v>
      </c>
      <c r="C372" s="1">
        <v>302</v>
      </c>
      <c r="D372" s="1" t="s">
        <v>978</v>
      </c>
      <c r="E372">
        <v>3</v>
      </c>
      <c r="F372">
        <v>0.5</v>
      </c>
      <c r="G372">
        <v>11</v>
      </c>
      <c r="H372" t="s">
        <v>135</v>
      </c>
      <c r="I372" t="s">
        <v>419</v>
      </c>
      <c r="J372" t="s">
        <v>117</v>
      </c>
      <c r="K372" t="s">
        <v>980</v>
      </c>
      <c r="L372" t="s">
        <v>726</v>
      </c>
      <c r="M372" t="s">
        <v>131</v>
      </c>
      <c r="N372">
        <v>50</v>
      </c>
      <c r="O372">
        <v>50</v>
      </c>
      <c r="P372">
        <v>0</v>
      </c>
      <c r="Q372">
        <v>25</v>
      </c>
      <c r="R372" t="s">
        <v>307</v>
      </c>
      <c r="T372">
        <v>45</v>
      </c>
      <c r="U372">
        <v>133</v>
      </c>
      <c r="V372">
        <v>1059860</v>
      </c>
      <c r="W372" t="s">
        <v>46</v>
      </c>
      <c r="Z372">
        <v>50</v>
      </c>
      <c r="AA372">
        <v>75</v>
      </c>
      <c r="AB372">
        <v>75</v>
      </c>
      <c r="AC372">
        <v>65</v>
      </c>
      <c r="AD372">
        <v>65</v>
      </c>
      <c r="AE372">
        <v>50</v>
      </c>
      <c r="AF372">
        <v>380</v>
      </c>
      <c r="AG372">
        <v>0</v>
      </c>
      <c r="AH372">
        <v>1</v>
      </c>
      <c r="AI372">
        <v>1</v>
      </c>
      <c r="AJ372">
        <v>0</v>
      </c>
      <c r="AK372">
        <v>0</v>
      </c>
      <c r="AL372">
        <v>0</v>
      </c>
    </row>
    <row r="373" spans="1:38" x14ac:dyDescent="0.25">
      <c r="A373" t="s">
        <v>979</v>
      </c>
      <c r="B373" t="s">
        <v>982</v>
      </c>
      <c r="C373" s="1">
        <v>302</v>
      </c>
      <c r="D373" s="1" t="s">
        <v>981</v>
      </c>
      <c r="E373">
        <v>3</v>
      </c>
      <c r="F373">
        <v>0.5</v>
      </c>
      <c r="G373">
        <v>161</v>
      </c>
      <c r="H373" t="s">
        <v>135</v>
      </c>
      <c r="I373" t="s">
        <v>419</v>
      </c>
      <c r="J373" t="s">
        <v>674</v>
      </c>
      <c r="M373" t="s">
        <v>131</v>
      </c>
      <c r="N373">
        <v>50</v>
      </c>
      <c r="O373">
        <v>50</v>
      </c>
      <c r="P373">
        <v>0</v>
      </c>
      <c r="Q373">
        <v>25</v>
      </c>
      <c r="R373" t="s">
        <v>307</v>
      </c>
      <c r="T373">
        <v>45</v>
      </c>
      <c r="U373">
        <v>168</v>
      </c>
      <c r="V373">
        <v>1059860</v>
      </c>
      <c r="W373" t="s">
        <v>46</v>
      </c>
      <c r="X373" t="s">
        <v>54</v>
      </c>
      <c r="Z373">
        <v>50</v>
      </c>
      <c r="AA373">
        <v>85</v>
      </c>
      <c r="AB373">
        <v>125</v>
      </c>
      <c r="AC373">
        <v>85</v>
      </c>
      <c r="AD373">
        <v>115</v>
      </c>
      <c r="AE373">
        <v>20</v>
      </c>
      <c r="AF373">
        <v>480</v>
      </c>
      <c r="AG373">
        <v>0</v>
      </c>
      <c r="AH373">
        <v>1</v>
      </c>
      <c r="AI373">
        <v>1</v>
      </c>
      <c r="AJ373">
        <v>0</v>
      </c>
      <c r="AK373">
        <v>0</v>
      </c>
      <c r="AL373">
        <v>0</v>
      </c>
    </row>
    <row r="374" spans="1:38" x14ac:dyDescent="0.25">
      <c r="A374" t="s">
        <v>984</v>
      </c>
      <c r="B374" t="s">
        <v>984</v>
      </c>
      <c r="C374" s="1">
        <v>303</v>
      </c>
      <c r="D374" s="1" t="s">
        <v>983</v>
      </c>
      <c r="E374">
        <v>3</v>
      </c>
      <c r="F374">
        <v>0.6</v>
      </c>
      <c r="G374">
        <v>11.5</v>
      </c>
      <c r="H374" t="s">
        <v>171</v>
      </c>
      <c r="I374" t="s">
        <v>157</v>
      </c>
      <c r="J374" t="s">
        <v>440</v>
      </c>
      <c r="K374" t="s">
        <v>148</v>
      </c>
      <c r="L374" t="s">
        <v>187</v>
      </c>
      <c r="M374" t="s">
        <v>70</v>
      </c>
      <c r="N374">
        <v>50</v>
      </c>
      <c r="O374">
        <v>50</v>
      </c>
      <c r="P374">
        <v>0</v>
      </c>
      <c r="Q374">
        <v>20</v>
      </c>
      <c r="R374" t="s">
        <v>132</v>
      </c>
      <c r="S374" t="s">
        <v>157</v>
      </c>
      <c r="T374">
        <v>45</v>
      </c>
      <c r="U374">
        <v>133</v>
      </c>
      <c r="V374">
        <v>800000</v>
      </c>
      <c r="W374" t="s">
        <v>46</v>
      </c>
      <c r="Z374">
        <v>50</v>
      </c>
      <c r="AA374">
        <v>85</v>
      </c>
      <c r="AB374">
        <v>85</v>
      </c>
      <c r="AC374">
        <v>55</v>
      </c>
      <c r="AD374">
        <v>55</v>
      </c>
      <c r="AE374">
        <v>50</v>
      </c>
      <c r="AF374">
        <v>380</v>
      </c>
      <c r="AG374">
        <v>0</v>
      </c>
      <c r="AH374">
        <v>1</v>
      </c>
      <c r="AI374">
        <v>1</v>
      </c>
      <c r="AJ374">
        <v>0</v>
      </c>
      <c r="AK374">
        <v>0</v>
      </c>
      <c r="AL374">
        <v>0</v>
      </c>
    </row>
    <row r="375" spans="1:38" x14ac:dyDescent="0.25">
      <c r="A375" t="s">
        <v>984</v>
      </c>
      <c r="B375" t="s">
        <v>986</v>
      </c>
      <c r="C375" s="1">
        <v>303</v>
      </c>
      <c r="D375" s="1" t="s">
        <v>985</v>
      </c>
      <c r="E375">
        <v>3</v>
      </c>
      <c r="F375">
        <v>1</v>
      </c>
      <c r="G375">
        <v>23.5</v>
      </c>
      <c r="H375" t="s">
        <v>171</v>
      </c>
      <c r="I375" t="s">
        <v>157</v>
      </c>
      <c r="J375" t="s">
        <v>690</v>
      </c>
      <c r="M375" t="s">
        <v>70</v>
      </c>
      <c r="N375">
        <v>50</v>
      </c>
      <c r="O375">
        <v>50</v>
      </c>
      <c r="P375">
        <v>0</v>
      </c>
      <c r="Q375">
        <v>20</v>
      </c>
      <c r="R375" t="s">
        <v>132</v>
      </c>
      <c r="S375" t="s">
        <v>157</v>
      </c>
      <c r="T375">
        <v>45</v>
      </c>
      <c r="U375">
        <v>168</v>
      </c>
      <c r="V375">
        <v>800000</v>
      </c>
      <c r="W375" t="s">
        <v>46</v>
      </c>
      <c r="X375" t="s">
        <v>54</v>
      </c>
      <c r="Z375">
        <v>50</v>
      </c>
      <c r="AA375">
        <v>105</v>
      </c>
      <c r="AB375">
        <v>125</v>
      </c>
      <c r="AC375">
        <v>55</v>
      </c>
      <c r="AD375">
        <v>95</v>
      </c>
      <c r="AE375">
        <v>50</v>
      </c>
      <c r="AF375">
        <v>480</v>
      </c>
      <c r="AG375">
        <v>0</v>
      </c>
      <c r="AH375">
        <v>1</v>
      </c>
      <c r="AI375">
        <v>1</v>
      </c>
      <c r="AJ375">
        <v>0</v>
      </c>
      <c r="AK375">
        <v>0</v>
      </c>
      <c r="AL375">
        <v>0</v>
      </c>
    </row>
    <row r="376" spans="1:38" x14ac:dyDescent="0.25">
      <c r="A376" t="s">
        <v>988</v>
      </c>
      <c r="B376" t="s">
        <v>988</v>
      </c>
      <c r="C376" s="1">
        <v>304</v>
      </c>
      <c r="D376" s="1" t="s">
        <v>987</v>
      </c>
      <c r="E376">
        <v>3</v>
      </c>
      <c r="F376">
        <v>0.4</v>
      </c>
      <c r="G376">
        <v>60</v>
      </c>
      <c r="H376" t="s">
        <v>171</v>
      </c>
      <c r="I376" t="s">
        <v>290</v>
      </c>
      <c r="J376" t="s">
        <v>338</v>
      </c>
      <c r="K376" t="s">
        <v>291</v>
      </c>
      <c r="L376" t="s">
        <v>989</v>
      </c>
      <c r="M376" t="s">
        <v>318</v>
      </c>
      <c r="N376">
        <v>50</v>
      </c>
      <c r="O376">
        <v>50</v>
      </c>
      <c r="P376">
        <v>0</v>
      </c>
      <c r="Q376">
        <v>35</v>
      </c>
      <c r="R376" t="s">
        <v>45</v>
      </c>
      <c r="T376">
        <v>180</v>
      </c>
      <c r="U376">
        <v>66</v>
      </c>
      <c r="V376">
        <v>1250000</v>
      </c>
      <c r="W376" t="s">
        <v>46</v>
      </c>
      <c r="Z376">
        <v>50</v>
      </c>
      <c r="AA376">
        <v>70</v>
      </c>
      <c r="AB376">
        <v>100</v>
      </c>
      <c r="AC376">
        <v>40</v>
      </c>
      <c r="AD376">
        <v>40</v>
      </c>
      <c r="AE376">
        <v>30</v>
      </c>
      <c r="AF376">
        <v>330</v>
      </c>
      <c r="AG376">
        <v>0</v>
      </c>
      <c r="AH376">
        <v>0</v>
      </c>
      <c r="AI376">
        <v>1</v>
      </c>
      <c r="AJ376">
        <v>0</v>
      </c>
      <c r="AK376">
        <v>0</v>
      </c>
      <c r="AL376">
        <v>0</v>
      </c>
    </row>
    <row r="377" spans="1:38" x14ac:dyDescent="0.25">
      <c r="A377" t="s">
        <v>991</v>
      </c>
      <c r="B377" t="s">
        <v>991</v>
      </c>
      <c r="C377" s="1">
        <v>305</v>
      </c>
      <c r="D377" s="1" t="s">
        <v>990</v>
      </c>
      <c r="E377">
        <v>3</v>
      </c>
      <c r="F377">
        <v>0.9</v>
      </c>
      <c r="G377">
        <v>120</v>
      </c>
      <c r="H377" t="s">
        <v>171</v>
      </c>
      <c r="I377" t="s">
        <v>290</v>
      </c>
      <c r="J377" t="s">
        <v>338</v>
      </c>
      <c r="K377" t="s">
        <v>291</v>
      </c>
      <c r="L377" t="s">
        <v>989</v>
      </c>
      <c r="M377" t="s">
        <v>318</v>
      </c>
      <c r="N377">
        <v>50</v>
      </c>
      <c r="O377">
        <v>50</v>
      </c>
      <c r="P377">
        <v>0</v>
      </c>
      <c r="Q377">
        <v>35</v>
      </c>
      <c r="R377" t="s">
        <v>45</v>
      </c>
      <c r="T377">
        <v>90</v>
      </c>
      <c r="U377">
        <v>151</v>
      </c>
      <c r="V377">
        <v>1250000</v>
      </c>
      <c r="W377" t="s">
        <v>46</v>
      </c>
      <c r="Z377">
        <v>60</v>
      </c>
      <c r="AA377">
        <v>90</v>
      </c>
      <c r="AB377">
        <v>140</v>
      </c>
      <c r="AC377">
        <v>50</v>
      </c>
      <c r="AD377">
        <v>50</v>
      </c>
      <c r="AE377">
        <v>40</v>
      </c>
      <c r="AF377">
        <v>430</v>
      </c>
      <c r="AG377">
        <v>0</v>
      </c>
      <c r="AH377">
        <v>0</v>
      </c>
      <c r="AI377">
        <v>2</v>
      </c>
      <c r="AJ377">
        <v>0</v>
      </c>
      <c r="AK377">
        <v>0</v>
      </c>
      <c r="AL377">
        <v>0</v>
      </c>
    </row>
    <row r="378" spans="1:38" x14ac:dyDescent="0.25">
      <c r="A378" t="s">
        <v>993</v>
      </c>
      <c r="B378" t="s">
        <v>993</v>
      </c>
      <c r="C378" s="1">
        <v>306</v>
      </c>
      <c r="D378" s="1" t="s">
        <v>992</v>
      </c>
      <c r="E378">
        <v>3</v>
      </c>
      <c r="F378">
        <v>2.1</v>
      </c>
      <c r="G378">
        <v>360</v>
      </c>
      <c r="H378" t="s">
        <v>171</v>
      </c>
      <c r="I378" t="s">
        <v>290</v>
      </c>
      <c r="J378" t="s">
        <v>338</v>
      </c>
      <c r="K378" t="s">
        <v>291</v>
      </c>
      <c r="L378" t="s">
        <v>989</v>
      </c>
      <c r="M378" t="s">
        <v>318</v>
      </c>
      <c r="N378">
        <v>50</v>
      </c>
      <c r="O378">
        <v>50</v>
      </c>
      <c r="P378">
        <v>0</v>
      </c>
      <c r="Q378">
        <v>35</v>
      </c>
      <c r="R378" t="s">
        <v>45</v>
      </c>
      <c r="T378">
        <v>45</v>
      </c>
      <c r="U378">
        <v>265</v>
      </c>
      <c r="V378">
        <v>1250000</v>
      </c>
      <c r="W378" t="s">
        <v>46</v>
      </c>
      <c r="Z378">
        <v>70</v>
      </c>
      <c r="AA378">
        <v>110</v>
      </c>
      <c r="AB378">
        <v>180</v>
      </c>
      <c r="AC378">
        <v>60</v>
      </c>
      <c r="AD378">
        <v>60</v>
      </c>
      <c r="AE378">
        <v>50</v>
      </c>
      <c r="AF378">
        <v>530</v>
      </c>
      <c r="AG378">
        <v>0</v>
      </c>
      <c r="AH378">
        <v>0</v>
      </c>
      <c r="AI378">
        <v>3</v>
      </c>
      <c r="AJ378">
        <v>0</v>
      </c>
      <c r="AK378">
        <v>0</v>
      </c>
      <c r="AL378">
        <v>0</v>
      </c>
    </row>
    <row r="379" spans="1:38" x14ac:dyDescent="0.25">
      <c r="A379" t="s">
        <v>993</v>
      </c>
      <c r="B379" t="s">
        <v>995</v>
      </c>
      <c r="C379" s="1">
        <v>306</v>
      </c>
      <c r="D379" s="1" t="s">
        <v>994</v>
      </c>
      <c r="E379">
        <v>3</v>
      </c>
      <c r="F379">
        <v>2.2000000000000002</v>
      </c>
      <c r="G379">
        <v>395</v>
      </c>
      <c r="H379" t="s">
        <v>171</v>
      </c>
      <c r="J379" t="s">
        <v>518</v>
      </c>
      <c r="M379" t="s">
        <v>318</v>
      </c>
      <c r="N379">
        <v>50</v>
      </c>
      <c r="O379">
        <v>50</v>
      </c>
      <c r="P379">
        <v>0</v>
      </c>
      <c r="Q379">
        <v>35</v>
      </c>
      <c r="R379" t="s">
        <v>45</v>
      </c>
      <c r="T379">
        <v>45</v>
      </c>
      <c r="U379">
        <v>284</v>
      </c>
      <c r="V379">
        <v>1250000</v>
      </c>
      <c r="W379" t="s">
        <v>46</v>
      </c>
      <c r="X379" t="s">
        <v>54</v>
      </c>
      <c r="Z379">
        <v>70</v>
      </c>
      <c r="AA379">
        <v>140</v>
      </c>
      <c r="AB379">
        <v>230</v>
      </c>
      <c r="AC379">
        <v>60</v>
      </c>
      <c r="AD379">
        <v>80</v>
      </c>
      <c r="AE379">
        <v>50</v>
      </c>
      <c r="AF379">
        <v>630</v>
      </c>
      <c r="AG379">
        <v>0</v>
      </c>
      <c r="AH379">
        <v>0</v>
      </c>
      <c r="AI379">
        <v>3</v>
      </c>
      <c r="AJ379">
        <v>0</v>
      </c>
      <c r="AK379">
        <v>0</v>
      </c>
      <c r="AL379">
        <v>0</v>
      </c>
    </row>
    <row r="380" spans="1:38" x14ac:dyDescent="0.25">
      <c r="A380" t="s">
        <v>997</v>
      </c>
      <c r="B380" t="s">
        <v>997</v>
      </c>
      <c r="C380" s="1">
        <v>307</v>
      </c>
      <c r="D380" s="1" t="s">
        <v>996</v>
      </c>
      <c r="E380">
        <v>3</v>
      </c>
      <c r="F380">
        <v>0.6</v>
      </c>
      <c r="G380">
        <v>11.2</v>
      </c>
      <c r="H380" t="s">
        <v>279</v>
      </c>
      <c r="I380" t="s">
        <v>162</v>
      </c>
      <c r="J380" t="s">
        <v>998</v>
      </c>
      <c r="L380" t="s">
        <v>738</v>
      </c>
      <c r="M380" t="s">
        <v>79</v>
      </c>
      <c r="N380">
        <v>50</v>
      </c>
      <c r="O380">
        <v>50</v>
      </c>
      <c r="P380">
        <v>0</v>
      </c>
      <c r="Q380">
        <v>20</v>
      </c>
      <c r="R380" t="s">
        <v>307</v>
      </c>
      <c r="T380">
        <v>180</v>
      </c>
      <c r="U380">
        <v>56</v>
      </c>
      <c r="V380">
        <v>1000000</v>
      </c>
      <c r="W380" t="s">
        <v>46</v>
      </c>
      <c r="Z380">
        <v>30</v>
      </c>
      <c r="AA380">
        <v>40</v>
      </c>
      <c r="AB380">
        <v>55</v>
      </c>
      <c r="AC380">
        <v>40</v>
      </c>
      <c r="AD380">
        <v>55</v>
      </c>
      <c r="AE380">
        <v>60</v>
      </c>
      <c r="AF380">
        <v>280</v>
      </c>
      <c r="AG380">
        <v>0</v>
      </c>
      <c r="AH380">
        <v>0</v>
      </c>
      <c r="AI380">
        <v>0</v>
      </c>
      <c r="AJ380">
        <v>0</v>
      </c>
      <c r="AK380">
        <v>0</v>
      </c>
      <c r="AL380">
        <v>1</v>
      </c>
    </row>
    <row r="381" spans="1:38" x14ac:dyDescent="0.25">
      <c r="A381" t="s">
        <v>1000</v>
      </c>
      <c r="B381" t="s">
        <v>1000</v>
      </c>
      <c r="C381" s="1">
        <v>308</v>
      </c>
      <c r="D381" s="1" t="s">
        <v>999</v>
      </c>
      <c r="E381">
        <v>3</v>
      </c>
      <c r="F381">
        <v>1.3</v>
      </c>
      <c r="G381">
        <v>31.5</v>
      </c>
      <c r="H381" t="s">
        <v>279</v>
      </c>
      <c r="I381" t="s">
        <v>162</v>
      </c>
      <c r="J381" t="s">
        <v>998</v>
      </c>
      <c r="L381" t="s">
        <v>738</v>
      </c>
      <c r="M381" t="s">
        <v>60</v>
      </c>
      <c r="N381">
        <v>50</v>
      </c>
      <c r="O381">
        <v>50</v>
      </c>
      <c r="P381">
        <v>0</v>
      </c>
      <c r="Q381">
        <v>20</v>
      </c>
      <c r="R381" t="s">
        <v>307</v>
      </c>
      <c r="T381">
        <v>90</v>
      </c>
      <c r="U381">
        <v>144</v>
      </c>
      <c r="V381">
        <v>1000000</v>
      </c>
      <c r="W381" t="s">
        <v>46</v>
      </c>
      <c r="Z381">
        <v>60</v>
      </c>
      <c r="AA381">
        <v>60</v>
      </c>
      <c r="AB381">
        <v>75</v>
      </c>
      <c r="AC381">
        <v>60</v>
      </c>
      <c r="AD381">
        <v>75</v>
      </c>
      <c r="AE381">
        <v>80</v>
      </c>
      <c r="AF381">
        <v>410</v>
      </c>
      <c r="AG381">
        <v>0</v>
      </c>
      <c r="AH381">
        <v>0</v>
      </c>
      <c r="AI381">
        <v>0</v>
      </c>
      <c r="AJ381">
        <v>0</v>
      </c>
      <c r="AK381">
        <v>0</v>
      </c>
      <c r="AL381">
        <v>2</v>
      </c>
    </row>
    <row r="382" spans="1:38" x14ac:dyDescent="0.25">
      <c r="A382" t="s">
        <v>1000</v>
      </c>
      <c r="B382" t="s">
        <v>1002</v>
      </c>
      <c r="C382" s="1">
        <v>308</v>
      </c>
      <c r="D382" s="1" t="s">
        <v>1001</v>
      </c>
      <c r="E382">
        <v>3</v>
      </c>
      <c r="F382">
        <v>1.3</v>
      </c>
      <c r="G382">
        <v>31.5</v>
      </c>
      <c r="H382" t="s">
        <v>279</v>
      </c>
      <c r="I382" t="s">
        <v>162</v>
      </c>
      <c r="J382" t="s">
        <v>998</v>
      </c>
      <c r="M382" t="s">
        <v>60</v>
      </c>
      <c r="N382">
        <v>50</v>
      </c>
      <c r="O382">
        <v>50</v>
      </c>
      <c r="P382">
        <v>0</v>
      </c>
      <c r="Q382">
        <v>20</v>
      </c>
      <c r="R382" t="s">
        <v>307</v>
      </c>
      <c r="T382">
        <v>90</v>
      </c>
      <c r="U382">
        <v>179</v>
      </c>
      <c r="V382">
        <v>1000000</v>
      </c>
      <c r="W382" t="s">
        <v>46</v>
      </c>
      <c r="X382" t="s">
        <v>54</v>
      </c>
      <c r="Z382">
        <v>60</v>
      </c>
      <c r="AA382">
        <v>100</v>
      </c>
      <c r="AB382">
        <v>85</v>
      </c>
      <c r="AC382">
        <v>80</v>
      </c>
      <c r="AD382">
        <v>85</v>
      </c>
      <c r="AE382">
        <v>100</v>
      </c>
      <c r="AF382">
        <v>510</v>
      </c>
      <c r="AG382">
        <v>0</v>
      </c>
      <c r="AH382">
        <v>0</v>
      </c>
      <c r="AI382">
        <v>0</v>
      </c>
      <c r="AJ382">
        <v>0</v>
      </c>
      <c r="AK382">
        <v>0</v>
      </c>
      <c r="AL382">
        <v>2</v>
      </c>
    </row>
    <row r="383" spans="1:38" x14ac:dyDescent="0.25">
      <c r="A383" t="s">
        <v>1004</v>
      </c>
      <c r="B383" t="s">
        <v>1004</v>
      </c>
      <c r="C383" s="1">
        <v>309</v>
      </c>
      <c r="D383" s="1" t="s">
        <v>1003</v>
      </c>
      <c r="E383">
        <v>3</v>
      </c>
      <c r="F383">
        <v>0.6</v>
      </c>
      <c r="G383">
        <v>15.2</v>
      </c>
      <c r="H383" t="s">
        <v>154</v>
      </c>
      <c r="J383" t="s">
        <v>155</v>
      </c>
      <c r="K383" t="s">
        <v>156</v>
      </c>
      <c r="L383" t="s">
        <v>1005</v>
      </c>
      <c r="M383" t="s">
        <v>44</v>
      </c>
      <c r="N383">
        <v>50</v>
      </c>
      <c r="O383">
        <v>50</v>
      </c>
      <c r="P383">
        <v>0</v>
      </c>
      <c r="Q383">
        <v>20</v>
      </c>
      <c r="R383" t="s">
        <v>132</v>
      </c>
      <c r="T383">
        <v>120</v>
      </c>
      <c r="U383">
        <v>59</v>
      </c>
      <c r="V383">
        <v>1250000</v>
      </c>
      <c r="W383" t="s">
        <v>46</v>
      </c>
      <c r="Z383">
        <v>40</v>
      </c>
      <c r="AA383">
        <v>45</v>
      </c>
      <c r="AB383">
        <v>40</v>
      </c>
      <c r="AC383">
        <v>65</v>
      </c>
      <c r="AD383">
        <v>40</v>
      </c>
      <c r="AE383">
        <v>65</v>
      </c>
      <c r="AF383">
        <v>295</v>
      </c>
      <c r="AG383">
        <v>0</v>
      </c>
      <c r="AH383">
        <v>0</v>
      </c>
      <c r="AI383">
        <v>0</v>
      </c>
      <c r="AJ383">
        <v>0</v>
      </c>
      <c r="AK383">
        <v>0</v>
      </c>
      <c r="AL383">
        <v>1</v>
      </c>
    </row>
    <row r="384" spans="1:38" x14ac:dyDescent="0.25">
      <c r="A384" t="s">
        <v>1007</v>
      </c>
      <c r="B384" t="s">
        <v>1007</v>
      </c>
      <c r="C384" s="1">
        <v>310</v>
      </c>
      <c r="D384" s="1" t="s">
        <v>1006</v>
      </c>
      <c r="E384">
        <v>3</v>
      </c>
      <c r="F384">
        <v>1.5</v>
      </c>
      <c r="G384">
        <v>40.200000000000003</v>
      </c>
      <c r="H384" t="s">
        <v>154</v>
      </c>
      <c r="J384" t="s">
        <v>155</v>
      </c>
      <c r="K384" t="s">
        <v>156</v>
      </c>
      <c r="L384" t="s">
        <v>1005</v>
      </c>
      <c r="M384" t="s">
        <v>106</v>
      </c>
      <c r="N384">
        <v>50</v>
      </c>
      <c r="O384">
        <v>50</v>
      </c>
      <c r="P384">
        <v>0</v>
      </c>
      <c r="Q384">
        <v>20</v>
      </c>
      <c r="R384" t="s">
        <v>132</v>
      </c>
      <c r="T384">
        <v>45</v>
      </c>
      <c r="U384">
        <v>166</v>
      </c>
      <c r="V384">
        <v>1250000</v>
      </c>
      <c r="W384" t="s">
        <v>46</v>
      </c>
      <c r="Z384">
        <v>70</v>
      </c>
      <c r="AA384">
        <v>75</v>
      </c>
      <c r="AB384">
        <v>60</v>
      </c>
      <c r="AC384">
        <v>105</v>
      </c>
      <c r="AD384">
        <v>60</v>
      </c>
      <c r="AE384">
        <v>105</v>
      </c>
      <c r="AF384">
        <v>475</v>
      </c>
      <c r="AG384">
        <v>0</v>
      </c>
      <c r="AH384">
        <v>0</v>
      </c>
      <c r="AI384">
        <v>0</v>
      </c>
      <c r="AJ384">
        <v>0</v>
      </c>
      <c r="AK384">
        <v>0</v>
      </c>
      <c r="AL384">
        <v>2</v>
      </c>
    </row>
    <row r="385" spans="1:38" x14ac:dyDescent="0.25">
      <c r="A385" t="s">
        <v>1007</v>
      </c>
      <c r="B385" t="s">
        <v>1009</v>
      </c>
      <c r="C385" s="1">
        <v>310</v>
      </c>
      <c r="D385" s="1" t="s">
        <v>1008</v>
      </c>
      <c r="E385">
        <v>3</v>
      </c>
      <c r="F385">
        <v>1.8</v>
      </c>
      <c r="G385">
        <v>44</v>
      </c>
      <c r="H385" t="s">
        <v>154</v>
      </c>
      <c r="J385" t="s">
        <v>148</v>
      </c>
      <c r="M385" t="s">
        <v>106</v>
      </c>
      <c r="N385">
        <v>50</v>
      </c>
      <c r="O385">
        <v>50</v>
      </c>
      <c r="P385">
        <v>0</v>
      </c>
      <c r="Q385">
        <v>20</v>
      </c>
      <c r="R385" t="s">
        <v>132</v>
      </c>
      <c r="T385">
        <v>45</v>
      </c>
      <c r="U385">
        <v>201</v>
      </c>
      <c r="V385">
        <v>1250000</v>
      </c>
      <c r="W385" t="s">
        <v>46</v>
      </c>
      <c r="X385" t="s">
        <v>54</v>
      </c>
      <c r="Z385">
        <v>70</v>
      </c>
      <c r="AA385">
        <v>75</v>
      </c>
      <c r="AB385">
        <v>80</v>
      </c>
      <c r="AC385">
        <v>135</v>
      </c>
      <c r="AD385">
        <v>80</v>
      </c>
      <c r="AE385">
        <v>135</v>
      </c>
      <c r="AF385">
        <v>575</v>
      </c>
      <c r="AG385">
        <v>0</v>
      </c>
      <c r="AH385">
        <v>0</v>
      </c>
      <c r="AI385">
        <v>0</v>
      </c>
      <c r="AJ385">
        <v>0</v>
      </c>
      <c r="AK385">
        <v>0</v>
      </c>
      <c r="AL385">
        <v>2</v>
      </c>
    </row>
    <row r="386" spans="1:38" x14ac:dyDescent="0.25">
      <c r="A386" t="s">
        <v>1011</v>
      </c>
      <c r="B386" t="s">
        <v>1011</v>
      </c>
      <c r="C386" s="1">
        <v>311</v>
      </c>
      <c r="D386" s="1" t="s">
        <v>1010</v>
      </c>
      <c r="E386">
        <v>3</v>
      </c>
      <c r="F386">
        <v>0.4</v>
      </c>
      <c r="G386">
        <v>4.2</v>
      </c>
      <c r="H386" t="s">
        <v>154</v>
      </c>
      <c r="J386" t="s">
        <v>679</v>
      </c>
      <c r="L386" t="s">
        <v>156</v>
      </c>
      <c r="M386" t="s">
        <v>106</v>
      </c>
      <c r="N386">
        <v>50</v>
      </c>
      <c r="O386">
        <v>50</v>
      </c>
      <c r="P386">
        <v>0</v>
      </c>
      <c r="Q386">
        <v>20</v>
      </c>
      <c r="R386" t="s">
        <v>157</v>
      </c>
      <c r="T386">
        <v>200</v>
      </c>
      <c r="U386">
        <v>142</v>
      </c>
      <c r="V386">
        <v>1000000</v>
      </c>
      <c r="W386" t="s">
        <v>46</v>
      </c>
      <c r="Z386">
        <v>60</v>
      </c>
      <c r="AA386">
        <v>50</v>
      </c>
      <c r="AB386">
        <v>40</v>
      </c>
      <c r="AC386">
        <v>85</v>
      </c>
      <c r="AD386">
        <v>75</v>
      </c>
      <c r="AE386">
        <v>95</v>
      </c>
      <c r="AF386">
        <v>405</v>
      </c>
      <c r="AG386">
        <v>0</v>
      </c>
      <c r="AH386">
        <v>0</v>
      </c>
      <c r="AI386">
        <v>0</v>
      </c>
      <c r="AJ386">
        <v>0</v>
      </c>
      <c r="AK386">
        <v>0</v>
      </c>
      <c r="AL386">
        <v>1</v>
      </c>
    </row>
    <row r="387" spans="1:38" x14ac:dyDescent="0.25">
      <c r="A387" t="s">
        <v>1013</v>
      </c>
      <c r="B387" t="s">
        <v>1013</v>
      </c>
      <c r="C387" s="1">
        <v>312</v>
      </c>
      <c r="D387" s="1" t="s">
        <v>1012</v>
      </c>
      <c r="E387">
        <v>3</v>
      </c>
      <c r="F387">
        <v>0.4</v>
      </c>
      <c r="G387">
        <v>4.2</v>
      </c>
      <c r="H387" t="s">
        <v>154</v>
      </c>
      <c r="J387" t="s">
        <v>1005</v>
      </c>
      <c r="L387" t="s">
        <v>564</v>
      </c>
      <c r="M387" t="s">
        <v>106</v>
      </c>
      <c r="N387">
        <v>50</v>
      </c>
      <c r="O387">
        <v>50</v>
      </c>
      <c r="P387">
        <v>0</v>
      </c>
      <c r="Q387">
        <v>20</v>
      </c>
      <c r="R387" t="s">
        <v>157</v>
      </c>
      <c r="T387">
        <v>200</v>
      </c>
      <c r="U387">
        <v>142</v>
      </c>
      <c r="V387">
        <v>1000000</v>
      </c>
      <c r="W387" t="s">
        <v>46</v>
      </c>
      <c r="Z387">
        <v>60</v>
      </c>
      <c r="AA387">
        <v>40</v>
      </c>
      <c r="AB387">
        <v>50</v>
      </c>
      <c r="AC387">
        <v>75</v>
      </c>
      <c r="AD387">
        <v>85</v>
      </c>
      <c r="AE387">
        <v>95</v>
      </c>
      <c r="AF387">
        <v>405</v>
      </c>
      <c r="AG387">
        <v>0</v>
      </c>
      <c r="AH387">
        <v>0</v>
      </c>
      <c r="AI387">
        <v>0</v>
      </c>
      <c r="AJ387">
        <v>0</v>
      </c>
      <c r="AK387">
        <v>0</v>
      </c>
      <c r="AL387">
        <v>1</v>
      </c>
    </row>
    <row r="388" spans="1:38" x14ac:dyDescent="0.25">
      <c r="A388" t="s">
        <v>1015</v>
      </c>
      <c r="B388" t="s">
        <v>1015</v>
      </c>
      <c r="C388" s="1">
        <v>313</v>
      </c>
      <c r="D388" s="1" t="s">
        <v>1014</v>
      </c>
      <c r="E388">
        <v>3</v>
      </c>
      <c r="F388">
        <v>0.7</v>
      </c>
      <c r="G388">
        <v>17.7</v>
      </c>
      <c r="H388" t="s">
        <v>90</v>
      </c>
      <c r="J388" t="s">
        <v>513</v>
      </c>
      <c r="K388" t="s">
        <v>109</v>
      </c>
      <c r="L388" t="s">
        <v>726</v>
      </c>
      <c r="M388" t="s">
        <v>318</v>
      </c>
      <c r="N388">
        <v>100</v>
      </c>
      <c r="O388">
        <v>0</v>
      </c>
      <c r="P388">
        <v>0</v>
      </c>
      <c r="Q388">
        <v>15</v>
      </c>
      <c r="R388" t="s">
        <v>90</v>
      </c>
      <c r="S388" t="s">
        <v>307</v>
      </c>
      <c r="T388">
        <v>150</v>
      </c>
      <c r="U388">
        <v>151</v>
      </c>
      <c r="V388">
        <v>600000</v>
      </c>
      <c r="W388" t="s">
        <v>46</v>
      </c>
      <c r="Z388">
        <v>65</v>
      </c>
      <c r="AA388">
        <v>73</v>
      </c>
      <c r="AB388">
        <v>75</v>
      </c>
      <c r="AC388">
        <v>47</v>
      </c>
      <c r="AD388">
        <v>85</v>
      </c>
      <c r="AE388">
        <v>85</v>
      </c>
      <c r="AF388">
        <v>430</v>
      </c>
      <c r="AG388">
        <v>0</v>
      </c>
      <c r="AH388">
        <v>0</v>
      </c>
      <c r="AI388">
        <v>0</v>
      </c>
      <c r="AJ388">
        <v>0</v>
      </c>
      <c r="AK388">
        <v>0</v>
      </c>
      <c r="AL388">
        <v>1</v>
      </c>
    </row>
    <row r="389" spans="1:38" x14ac:dyDescent="0.25">
      <c r="A389" t="s">
        <v>1017</v>
      </c>
      <c r="B389" t="s">
        <v>1017</v>
      </c>
      <c r="C389" s="1">
        <v>314</v>
      </c>
      <c r="D389" s="1" t="s">
        <v>1016</v>
      </c>
      <c r="E389">
        <v>3</v>
      </c>
      <c r="F389">
        <v>0.6</v>
      </c>
      <c r="G389">
        <v>17.7</v>
      </c>
      <c r="H389" t="s">
        <v>90</v>
      </c>
      <c r="J389" t="s">
        <v>365</v>
      </c>
      <c r="K389" t="s">
        <v>99</v>
      </c>
      <c r="L389" t="s">
        <v>726</v>
      </c>
      <c r="M389" t="s">
        <v>131</v>
      </c>
      <c r="N389">
        <v>0</v>
      </c>
      <c r="O389">
        <v>100</v>
      </c>
      <c r="P389">
        <v>0</v>
      </c>
      <c r="Q389">
        <v>15</v>
      </c>
      <c r="R389" t="s">
        <v>90</v>
      </c>
      <c r="S389" t="s">
        <v>307</v>
      </c>
      <c r="T389">
        <v>150</v>
      </c>
      <c r="U389">
        <v>151</v>
      </c>
      <c r="V389">
        <v>1640000</v>
      </c>
      <c r="W389" t="s">
        <v>46</v>
      </c>
      <c r="Z389">
        <v>65</v>
      </c>
      <c r="AA389">
        <v>47</v>
      </c>
      <c r="AB389">
        <v>75</v>
      </c>
      <c r="AC389">
        <v>73</v>
      </c>
      <c r="AD389">
        <v>85</v>
      </c>
      <c r="AE389">
        <v>85</v>
      </c>
      <c r="AF389">
        <v>430</v>
      </c>
      <c r="AG389">
        <v>0</v>
      </c>
      <c r="AH389">
        <v>0</v>
      </c>
      <c r="AI389">
        <v>0</v>
      </c>
      <c r="AJ389">
        <v>0</v>
      </c>
      <c r="AK389">
        <v>0</v>
      </c>
      <c r="AL389">
        <v>1</v>
      </c>
    </row>
    <row r="390" spans="1:38" x14ac:dyDescent="0.25">
      <c r="A390" t="s">
        <v>1019</v>
      </c>
      <c r="B390" t="s">
        <v>1019</v>
      </c>
      <c r="C390" s="1">
        <v>315</v>
      </c>
      <c r="D390" s="1" t="s">
        <v>1018</v>
      </c>
      <c r="E390">
        <v>3</v>
      </c>
      <c r="F390">
        <v>0.3</v>
      </c>
      <c r="G390">
        <v>2</v>
      </c>
      <c r="H390" t="s">
        <v>40</v>
      </c>
      <c r="I390" t="s">
        <v>41</v>
      </c>
      <c r="J390" t="s">
        <v>490</v>
      </c>
      <c r="K390" t="s">
        <v>180</v>
      </c>
      <c r="L390" t="s">
        <v>495</v>
      </c>
      <c r="M390" t="s">
        <v>44</v>
      </c>
      <c r="N390">
        <v>50</v>
      </c>
      <c r="O390">
        <v>50</v>
      </c>
      <c r="P390">
        <v>0</v>
      </c>
      <c r="Q390">
        <v>20</v>
      </c>
      <c r="R390" t="s">
        <v>157</v>
      </c>
      <c r="S390" t="s">
        <v>40</v>
      </c>
      <c r="T390">
        <v>150</v>
      </c>
      <c r="U390">
        <v>140</v>
      </c>
      <c r="V390">
        <v>1059860</v>
      </c>
      <c r="W390" t="s">
        <v>46</v>
      </c>
      <c r="Z390">
        <v>50</v>
      </c>
      <c r="AA390">
        <v>60</v>
      </c>
      <c r="AB390">
        <v>45</v>
      </c>
      <c r="AC390">
        <v>100</v>
      </c>
      <c r="AD390">
        <v>80</v>
      </c>
      <c r="AE390">
        <v>65</v>
      </c>
      <c r="AF390">
        <v>400</v>
      </c>
      <c r="AG390">
        <v>0</v>
      </c>
      <c r="AH390">
        <v>0</v>
      </c>
      <c r="AI390">
        <v>0</v>
      </c>
      <c r="AJ390">
        <v>2</v>
      </c>
      <c r="AK390">
        <v>0</v>
      </c>
      <c r="AL390">
        <v>0</v>
      </c>
    </row>
    <row r="391" spans="1:38" x14ac:dyDescent="0.25">
      <c r="A391" t="s">
        <v>1021</v>
      </c>
      <c r="B391" t="s">
        <v>1021</v>
      </c>
      <c r="C391" s="1">
        <v>316</v>
      </c>
      <c r="D391" s="1" t="s">
        <v>1020</v>
      </c>
      <c r="E391">
        <v>3</v>
      </c>
      <c r="F391">
        <v>0.4</v>
      </c>
      <c r="G391">
        <v>10.3</v>
      </c>
      <c r="H391" t="s">
        <v>41</v>
      </c>
      <c r="J391" t="s">
        <v>332</v>
      </c>
      <c r="K391" t="s">
        <v>401</v>
      </c>
      <c r="L391" t="s">
        <v>136</v>
      </c>
      <c r="M391" t="s">
        <v>44</v>
      </c>
      <c r="N391">
        <v>50</v>
      </c>
      <c r="O391">
        <v>50</v>
      </c>
      <c r="P391">
        <v>0</v>
      </c>
      <c r="Q391">
        <v>20</v>
      </c>
      <c r="R391" t="s">
        <v>403</v>
      </c>
      <c r="T391">
        <v>225</v>
      </c>
      <c r="U391">
        <v>60</v>
      </c>
      <c r="V391">
        <v>1640000</v>
      </c>
      <c r="W391" t="s">
        <v>46</v>
      </c>
      <c r="Z391">
        <v>70</v>
      </c>
      <c r="AA391">
        <v>43</v>
      </c>
      <c r="AB391">
        <v>53</v>
      </c>
      <c r="AC391">
        <v>43</v>
      </c>
      <c r="AD391">
        <v>53</v>
      </c>
      <c r="AE391">
        <v>40</v>
      </c>
      <c r="AF391">
        <v>302</v>
      </c>
      <c r="AG391">
        <v>1</v>
      </c>
      <c r="AH391">
        <v>0</v>
      </c>
      <c r="AI391">
        <v>0</v>
      </c>
      <c r="AJ391">
        <v>0</v>
      </c>
      <c r="AK391">
        <v>0</v>
      </c>
      <c r="AL391">
        <v>0</v>
      </c>
    </row>
    <row r="392" spans="1:38" x14ac:dyDescent="0.25">
      <c r="A392" t="s">
        <v>1023</v>
      </c>
      <c r="B392" t="s">
        <v>1023</v>
      </c>
      <c r="C392" s="1">
        <v>317</v>
      </c>
      <c r="D392" s="1" t="s">
        <v>1022</v>
      </c>
      <c r="E392">
        <v>3</v>
      </c>
      <c r="F392">
        <v>1.7</v>
      </c>
      <c r="G392">
        <v>80</v>
      </c>
      <c r="H392" t="s">
        <v>41</v>
      </c>
      <c r="J392" t="s">
        <v>332</v>
      </c>
      <c r="K392" t="s">
        <v>401</v>
      </c>
      <c r="L392" t="s">
        <v>136</v>
      </c>
      <c r="M392" t="s">
        <v>131</v>
      </c>
      <c r="N392">
        <v>50</v>
      </c>
      <c r="O392">
        <v>50</v>
      </c>
      <c r="P392">
        <v>0</v>
      </c>
      <c r="Q392">
        <v>20</v>
      </c>
      <c r="R392" t="s">
        <v>403</v>
      </c>
      <c r="T392">
        <v>75</v>
      </c>
      <c r="U392">
        <v>163</v>
      </c>
      <c r="V392">
        <v>1640000</v>
      </c>
      <c r="W392" t="s">
        <v>46</v>
      </c>
      <c r="Z392">
        <v>100</v>
      </c>
      <c r="AA392">
        <v>73</v>
      </c>
      <c r="AB392">
        <v>83</v>
      </c>
      <c r="AC392">
        <v>73</v>
      </c>
      <c r="AD392">
        <v>83</v>
      </c>
      <c r="AE392">
        <v>55</v>
      </c>
      <c r="AF392">
        <v>467</v>
      </c>
      <c r="AG392">
        <v>2</v>
      </c>
      <c r="AH392">
        <v>0</v>
      </c>
      <c r="AI392">
        <v>0</v>
      </c>
      <c r="AJ392">
        <v>0</v>
      </c>
      <c r="AK392">
        <v>0</v>
      </c>
      <c r="AL392">
        <v>0</v>
      </c>
    </row>
    <row r="393" spans="1:38" x14ac:dyDescent="0.25">
      <c r="A393" t="s">
        <v>1025</v>
      </c>
      <c r="B393" t="s">
        <v>1025</v>
      </c>
      <c r="C393" s="1">
        <v>318</v>
      </c>
      <c r="D393" s="1" t="s">
        <v>1024</v>
      </c>
      <c r="E393">
        <v>3</v>
      </c>
      <c r="F393">
        <v>0.8</v>
      </c>
      <c r="G393">
        <v>20.8</v>
      </c>
      <c r="H393" t="s">
        <v>76</v>
      </c>
      <c r="I393" t="s">
        <v>135</v>
      </c>
      <c r="J393" t="s">
        <v>1026</v>
      </c>
      <c r="L393" t="s">
        <v>713</v>
      </c>
      <c r="M393" t="s">
        <v>60</v>
      </c>
      <c r="N393">
        <v>50</v>
      </c>
      <c r="O393">
        <v>50</v>
      </c>
      <c r="P393">
        <v>0</v>
      </c>
      <c r="Q393">
        <v>20</v>
      </c>
      <c r="R393" t="s">
        <v>508</v>
      </c>
      <c r="T393">
        <v>225</v>
      </c>
      <c r="U393">
        <v>61</v>
      </c>
      <c r="V393">
        <v>1250000</v>
      </c>
      <c r="W393" t="s">
        <v>46</v>
      </c>
      <c r="Z393">
        <v>45</v>
      </c>
      <c r="AA393">
        <v>90</v>
      </c>
      <c r="AB393">
        <v>20</v>
      </c>
      <c r="AC393">
        <v>65</v>
      </c>
      <c r="AD393">
        <v>20</v>
      </c>
      <c r="AE393">
        <v>65</v>
      </c>
      <c r="AF393">
        <v>305</v>
      </c>
      <c r="AG393">
        <v>0</v>
      </c>
      <c r="AH393">
        <v>1</v>
      </c>
      <c r="AI393">
        <v>0</v>
      </c>
      <c r="AJ393">
        <v>0</v>
      </c>
      <c r="AK393">
        <v>0</v>
      </c>
      <c r="AL393">
        <v>0</v>
      </c>
    </row>
    <row r="394" spans="1:38" x14ac:dyDescent="0.25">
      <c r="A394" t="s">
        <v>1028</v>
      </c>
      <c r="B394" t="s">
        <v>1028</v>
      </c>
      <c r="C394" s="1">
        <v>319</v>
      </c>
      <c r="D394" s="1" t="s">
        <v>1027</v>
      </c>
      <c r="E394">
        <v>3</v>
      </c>
      <c r="F394">
        <v>1.8</v>
      </c>
      <c r="G394">
        <v>88.8</v>
      </c>
      <c r="H394" t="s">
        <v>76</v>
      </c>
      <c r="I394" t="s">
        <v>135</v>
      </c>
      <c r="J394" t="s">
        <v>1026</v>
      </c>
      <c r="L394" t="s">
        <v>713</v>
      </c>
      <c r="M394" t="s">
        <v>79</v>
      </c>
      <c r="N394">
        <v>50</v>
      </c>
      <c r="O394">
        <v>50</v>
      </c>
      <c r="P394">
        <v>0</v>
      </c>
      <c r="Q394">
        <v>20</v>
      </c>
      <c r="R394" t="s">
        <v>508</v>
      </c>
      <c r="T394">
        <v>60</v>
      </c>
      <c r="U394">
        <v>161</v>
      </c>
      <c r="V394">
        <v>1250000</v>
      </c>
      <c r="W394" t="s">
        <v>46</v>
      </c>
      <c r="Z394">
        <v>70</v>
      </c>
      <c r="AA394">
        <v>120</v>
      </c>
      <c r="AB394">
        <v>40</v>
      </c>
      <c r="AC394">
        <v>95</v>
      </c>
      <c r="AD394">
        <v>40</v>
      </c>
      <c r="AE394">
        <v>95</v>
      </c>
      <c r="AF394">
        <v>460</v>
      </c>
      <c r="AG394">
        <v>0</v>
      </c>
      <c r="AH394">
        <v>2</v>
      </c>
      <c r="AI394">
        <v>0</v>
      </c>
      <c r="AJ394">
        <v>0</v>
      </c>
      <c r="AK394">
        <v>0</v>
      </c>
      <c r="AL394">
        <v>0</v>
      </c>
    </row>
    <row r="395" spans="1:38" x14ac:dyDescent="0.25">
      <c r="A395" t="s">
        <v>1028</v>
      </c>
      <c r="B395" t="s">
        <v>1030</v>
      </c>
      <c r="C395" s="1">
        <v>319</v>
      </c>
      <c r="D395" s="1" t="s">
        <v>1029</v>
      </c>
      <c r="E395">
        <v>3</v>
      </c>
      <c r="F395">
        <v>2.5</v>
      </c>
      <c r="G395">
        <v>130.30000000000001</v>
      </c>
      <c r="H395" t="s">
        <v>76</v>
      </c>
      <c r="I395" t="s">
        <v>135</v>
      </c>
      <c r="J395" t="s">
        <v>1031</v>
      </c>
      <c r="M395" t="s">
        <v>79</v>
      </c>
      <c r="N395">
        <v>50</v>
      </c>
      <c r="O395">
        <v>50</v>
      </c>
      <c r="P395">
        <v>0</v>
      </c>
      <c r="Q395">
        <v>20</v>
      </c>
      <c r="R395" t="s">
        <v>508</v>
      </c>
      <c r="T395">
        <v>60</v>
      </c>
      <c r="U395">
        <v>196</v>
      </c>
      <c r="V395">
        <v>1250000</v>
      </c>
      <c r="W395" t="s">
        <v>46</v>
      </c>
      <c r="X395" t="s">
        <v>54</v>
      </c>
      <c r="Z395">
        <v>70</v>
      </c>
      <c r="AA395">
        <v>140</v>
      </c>
      <c r="AB395">
        <v>70</v>
      </c>
      <c r="AC395">
        <v>110</v>
      </c>
      <c r="AD395">
        <v>65</v>
      </c>
      <c r="AE395">
        <v>105</v>
      </c>
      <c r="AF395">
        <v>560</v>
      </c>
      <c r="AG395">
        <v>0</v>
      </c>
      <c r="AH395">
        <v>2</v>
      </c>
      <c r="AI395">
        <v>0</v>
      </c>
      <c r="AJ395">
        <v>0</v>
      </c>
      <c r="AK395">
        <v>0</v>
      </c>
      <c r="AL395">
        <v>0</v>
      </c>
    </row>
    <row r="396" spans="1:38" x14ac:dyDescent="0.25">
      <c r="A396" t="s">
        <v>1033</v>
      </c>
      <c r="B396" t="s">
        <v>1033</v>
      </c>
      <c r="C396" s="1">
        <v>320</v>
      </c>
      <c r="D396" s="1" t="s">
        <v>1032</v>
      </c>
      <c r="E396">
        <v>3</v>
      </c>
      <c r="F396">
        <v>2</v>
      </c>
      <c r="G396">
        <v>130</v>
      </c>
      <c r="H396" t="s">
        <v>76</v>
      </c>
      <c r="J396" t="s">
        <v>507</v>
      </c>
      <c r="K396" t="s">
        <v>365</v>
      </c>
      <c r="L396" t="s">
        <v>581</v>
      </c>
      <c r="M396" t="s">
        <v>79</v>
      </c>
      <c r="N396">
        <v>50</v>
      </c>
      <c r="O396">
        <v>50</v>
      </c>
      <c r="P396">
        <v>0</v>
      </c>
      <c r="Q396">
        <v>40</v>
      </c>
      <c r="R396" t="s">
        <v>132</v>
      </c>
      <c r="S396" t="s">
        <v>508</v>
      </c>
      <c r="T396">
        <v>125</v>
      </c>
      <c r="U396">
        <v>80</v>
      </c>
      <c r="V396">
        <v>1640000</v>
      </c>
      <c r="W396" t="s">
        <v>46</v>
      </c>
      <c r="Z396">
        <v>130</v>
      </c>
      <c r="AA396">
        <v>70</v>
      </c>
      <c r="AB396">
        <v>35</v>
      </c>
      <c r="AC396">
        <v>70</v>
      </c>
      <c r="AD396">
        <v>35</v>
      </c>
      <c r="AE396">
        <v>60</v>
      </c>
      <c r="AF396">
        <v>400</v>
      </c>
      <c r="AG396">
        <v>1</v>
      </c>
      <c r="AH396">
        <v>0</v>
      </c>
      <c r="AI396">
        <v>0</v>
      </c>
      <c r="AJ396">
        <v>0</v>
      </c>
      <c r="AK396">
        <v>0</v>
      </c>
      <c r="AL396">
        <v>0</v>
      </c>
    </row>
    <row r="397" spans="1:38" x14ac:dyDescent="0.25">
      <c r="A397" t="s">
        <v>1035</v>
      </c>
      <c r="B397" t="s">
        <v>1035</v>
      </c>
      <c r="C397" s="1">
        <v>321</v>
      </c>
      <c r="D397" s="1" t="s">
        <v>1034</v>
      </c>
      <c r="E397">
        <v>3</v>
      </c>
      <c r="F397">
        <v>14.5</v>
      </c>
      <c r="G397">
        <v>398</v>
      </c>
      <c r="H397" t="s">
        <v>76</v>
      </c>
      <c r="J397" t="s">
        <v>507</v>
      </c>
      <c r="K397" t="s">
        <v>365</v>
      </c>
      <c r="L397" t="s">
        <v>581</v>
      </c>
      <c r="M397" t="s">
        <v>79</v>
      </c>
      <c r="N397">
        <v>50</v>
      </c>
      <c r="O397">
        <v>50</v>
      </c>
      <c r="P397">
        <v>0</v>
      </c>
      <c r="Q397">
        <v>40</v>
      </c>
      <c r="R397" t="s">
        <v>132</v>
      </c>
      <c r="S397" t="s">
        <v>508</v>
      </c>
      <c r="T397">
        <v>60</v>
      </c>
      <c r="U397">
        <v>175</v>
      </c>
      <c r="V397">
        <v>1640000</v>
      </c>
      <c r="W397" t="s">
        <v>46</v>
      </c>
      <c r="Z397">
        <v>170</v>
      </c>
      <c r="AA397">
        <v>90</v>
      </c>
      <c r="AB397">
        <v>45</v>
      </c>
      <c r="AC397">
        <v>90</v>
      </c>
      <c r="AD397">
        <v>45</v>
      </c>
      <c r="AE397">
        <v>60</v>
      </c>
      <c r="AF397">
        <v>500</v>
      </c>
      <c r="AG397">
        <v>2</v>
      </c>
      <c r="AH397">
        <v>0</v>
      </c>
      <c r="AI397">
        <v>0</v>
      </c>
      <c r="AJ397">
        <v>0</v>
      </c>
      <c r="AK397">
        <v>0</v>
      </c>
      <c r="AL397">
        <v>0</v>
      </c>
    </row>
    <row r="398" spans="1:38" x14ac:dyDescent="0.25">
      <c r="A398" t="s">
        <v>1037</v>
      </c>
      <c r="B398" t="s">
        <v>1037</v>
      </c>
      <c r="C398" s="1">
        <v>322</v>
      </c>
      <c r="D398" s="1" t="s">
        <v>1036</v>
      </c>
      <c r="E398">
        <v>3</v>
      </c>
      <c r="F398">
        <v>0.7</v>
      </c>
      <c r="G398">
        <v>24</v>
      </c>
      <c r="H398" t="s">
        <v>57</v>
      </c>
      <c r="I398" t="s">
        <v>132</v>
      </c>
      <c r="J398" t="s">
        <v>365</v>
      </c>
      <c r="K398" t="s">
        <v>1038</v>
      </c>
      <c r="L398" t="s">
        <v>366</v>
      </c>
      <c r="M398" t="s">
        <v>106</v>
      </c>
      <c r="N398">
        <v>50</v>
      </c>
      <c r="O398">
        <v>50</v>
      </c>
      <c r="P398">
        <v>0</v>
      </c>
      <c r="Q398">
        <v>20</v>
      </c>
      <c r="R398" t="s">
        <v>132</v>
      </c>
      <c r="T398">
        <v>255</v>
      </c>
      <c r="U398">
        <v>61</v>
      </c>
      <c r="V398">
        <v>1000000</v>
      </c>
      <c r="W398" t="s">
        <v>46</v>
      </c>
      <c r="Z398">
        <v>60</v>
      </c>
      <c r="AA398">
        <v>60</v>
      </c>
      <c r="AB398">
        <v>40</v>
      </c>
      <c r="AC398">
        <v>65</v>
      </c>
      <c r="AD398">
        <v>45</v>
      </c>
      <c r="AE398">
        <v>35</v>
      </c>
      <c r="AF398">
        <v>305</v>
      </c>
      <c r="AG398">
        <v>0</v>
      </c>
      <c r="AH398">
        <v>0</v>
      </c>
      <c r="AI398">
        <v>0</v>
      </c>
      <c r="AJ398">
        <v>1</v>
      </c>
      <c r="AK398">
        <v>0</v>
      </c>
      <c r="AL398">
        <v>0</v>
      </c>
    </row>
    <row r="399" spans="1:38" x14ac:dyDescent="0.25">
      <c r="A399" t="s">
        <v>1040</v>
      </c>
      <c r="B399" t="s">
        <v>1040</v>
      </c>
      <c r="C399" s="1">
        <v>323</v>
      </c>
      <c r="D399" s="1" t="s">
        <v>1039</v>
      </c>
      <c r="E399">
        <v>3</v>
      </c>
      <c r="F399">
        <v>1.9</v>
      </c>
      <c r="G399">
        <v>220</v>
      </c>
      <c r="H399" t="s">
        <v>57</v>
      </c>
      <c r="I399" t="s">
        <v>132</v>
      </c>
      <c r="J399" t="s">
        <v>785</v>
      </c>
      <c r="K399" t="s">
        <v>1041</v>
      </c>
      <c r="L399" t="s">
        <v>281</v>
      </c>
      <c r="M399" t="s">
        <v>60</v>
      </c>
      <c r="N399">
        <v>50</v>
      </c>
      <c r="O399">
        <v>50</v>
      </c>
      <c r="P399">
        <v>0</v>
      </c>
      <c r="Q399">
        <v>20</v>
      </c>
      <c r="R399" t="s">
        <v>132</v>
      </c>
      <c r="T399">
        <v>150</v>
      </c>
      <c r="U399">
        <v>161</v>
      </c>
      <c r="V399">
        <v>1000000</v>
      </c>
      <c r="W399" t="s">
        <v>46</v>
      </c>
      <c r="Z399">
        <v>70</v>
      </c>
      <c r="AA399">
        <v>100</v>
      </c>
      <c r="AB399">
        <v>70</v>
      </c>
      <c r="AC399">
        <v>105</v>
      </c>
      <c r="AD399">
        <v>75</v>
      </c>
      <c r="AE399">
        <v>40</v>
      </c>
      <c r="AF399">
        <v>460</v>
      </c>
      <c r="AG399">
        <v>0</v>
      </c>
      <c r="AH399">
        <v>1</v>
      </c>
      <c r="AI399">
        <v>0</v>
      </c>
      <c r="AJ399">
        <v>1</v>
      </c>
      <c r="AK399">
        <v>0</v>
      </c>
      <c r="AL399">
        <v>0</v>
      </c>
    </row>
    <row r="400" spans="1:38" x14ac:dyDescent="0.25">
      <c r="A400" t="s">
        <v>1040</v>
      </c>
      <c r="B400" t="s">
        <v>1043</v>
      </c>
      <c r="C400" s="1">
        <v>323</v>
      </c>
      <c r="D400" s="1" t="s">
        <v>1042</v>
      </c>
      <c r="E400">
        <v>3</v>
      </c>
      <c r="F400">
        <v>2.5</v>
      </c>
      <c r="G400">
        <v>320.5</v>
      </c>
      <c r="H400" t="s">
        <v>57</v>
      </c>
      <c r="I400" t="s">
        <v>132</v>
      </c>
      <c r="J400" t="s">
        <v>187</v>
      </c>
      <c r="M400" t="s">
        <v>60</v>
      </c>
      <c r="N400">
        <v>50</v>
      </c>
      <c r="O400">
        <v>50</v>
      </c>
      <c r="P400">
        <v>0</v>
      </c>
      <c r="Q400">
        <v>20</v>
      </c>
      <c r="R400" t="s">
        <v>132</v>
      </c>
      <c r="T400">
        <v>150</v>
      </c>
      <c r="U400">
        <v>196</v>
      </c>
      <c r="V400">
        <v>1000000</v>
      </c>
      <c r="W400" t="s">
        <v>46</v>
      </c>
      <c r="X400" t="s">
        <v>54</v>
      </c>
      <c r="Z400">
        <v>70</v>
      </c>
      <c r="AA400">
        <v>120</v>
      </c>
      <c r="AB400">
        <v>100</v>
      </c>
      <c r="AC400">
        <v>145</v>
      </c>
      <c r="AD400">
        <v>105</v>
      </c>
      <c r="AE400">
        <v>20</v>
      </c>
      <c r="AF400">
        <v>560</v>
      </c>
      <c r="AG400">
        <v>0</v>
      </c>
      <c r="AH400">
        <v>1</v>
      </c>
      <c r="AI400">
        <v>0</v>
      </c>
      <c r="AJ400">
        <v>1</v>
      </c>
      <c r="AK400">
        <v>0</v>
      </c>
      <c r="AL400">
        <v>0</v>
      </c>
    </row>
    <row r="401" spans="1:38" x14ac:dyDescent="0.25">
      <c r="A401" t="s">
        <v>1045</v>
      </c>
      <c r="B401" t="s">
        <v>1045</v>
      </c>
      <c r="C401" s="1">
        <v>324</v>
      </c>
      <c r="D401" s="1" t="s">
        <v>1044</v>
      </c>
      <c r="E401">
        <v>3</v>
      </c>
      <c r="F401">
        <v>0.5</v>
      </c>
      <c r="G401">
        <v>80.400000000000006</v>
      </c>
      <c r="H401" t="s">
        <v>57</v>
      </c>
      <c r="J401" t="s">
        <v>1046</v>
      </c>
      <c r="K401" t="s">
        <v>73</v>
      </c>
      <c r="L401" t="s">
        <v>377</v>
      </c>
      <c r="M401" t="s">
        <v>103</v>
      </c>
      <c r="N401">
        <v>50</v>
      </c>
      <c r="O401">
        <v>50</v>
      </c>
      <c r="P401">
        <v>0</v>
      </c>
      <c r="Q401">
        <v>20</v>
      </c>
      <c r="R401" t="s">
        <v>132</v>
      </c>
      <c r="T401">
        <v>90</v>
      </c>
      <c r="U401">
        <v>165</v>
      </c>
      <c r="V401">
        <v>1000000</v>
      </c>
      <c r="W401" t="s">
        <v>46</v>
      </c>
      <c r="Z401">
        <v>70</v>
      </c>
      <c r="AA401">
        <v>85</v>
      </c>
      <c r="AB401">
        <v>140</v>
      </c>
      <c r="AC401">
        <v>85</v>
      </c>
      <c r="AD401">
        <v>70</v>
      </c>
      <c r="AE401">
        <v>20</v>
      </c>
      <c r="AF401">
        <v>470</v>
      </c>
      <c r="AG401">
        <v>0</v>
      </c>
      <c r="AH401">
        <v>0</v>
      </c>
      <c r="AI401">
        <v>2</v>
      </c>
      <c r="AJ401">
        <v>0</v>
      </c>
      <c r="AK401">
        <v>0</v>
      </c>
      <c r="AL401">
        <v>0</v>
      </c>
    </row>
    <row r="402" spans="1:38" x14ac:dyDescent="0.25">
      <c r="A402" t="s">
        <v>1048</v>
      </c>
      <c r="B402" t="s">
        <v>1048</v>
      </c>
      <c r="C402" s="1">
        <v>325</v>
      </c>
      <c r="D402" s="1" t="s">
        <v>1047</v>
      </c>
      <c r="E402">
        <v>3</v>
      </c>
      <c r="F402">
        <v>0.7</v>
      </c>
      <c r="G402">
        <v>30.6</v>
      </c>
      <c r="H402" t="s">
        <v>162</v>
      </c>
      <c r="J402" t="s">
        <v>53</v>
      </c>
      <c r="K402" t="s">
        <v>366</v>
      </c>
      <c r="L402" t="s">
        <v>136</v>
      </c>
      <c r="M402" t="s">
        <v>70</v>
      </c>
      <c r="N402">
        <v>50</v>
      </c>
      <c r="O402">
        <v>50</v>
      </c>
      <c r="P402">
        <v>0</v>
      </c>
      <c r="Q402">
        <v>20</v>
      </c>
      <c r="R402" t="s">
        <v>132</v>
      </c>
      <c r="T402">
        <v>255</v>
      </c>
      <c r="U402">
        <v>66</v>
      </c>
      <c r="V402">
        <v>800000</v>
      </c>
      <c r="W402" t="s">
        <v>46</v>
      </c>
      <c r="Z402">
        <v>60</v>
      </c>
      <c r="AA402">
        <v>25</v>
      </c>
      <c r="AB402">
        <v>35</v>
      </c>
      <c r="AC402">
        <v>70</v>
      </c>
      <c r="AD402">
        <v>80</v>
      </c>
      <c r="AE402">
        <v>60</v>
      </c>
      <c r="AF402">
        <v>330</v>
      </c>
      <c r="AG402">
        <v>0</v>
      </c>
      <c r="AH402">
        <v>0</v>
      </c>
      <c r="AI402">
        <v>0</v>
      </c>
      <c r="AJ402">
        <v>0</v>
      </c>
      <c r="AK402">
        <v>1</v>
      </c>
      <c r="AL402">
        <v>0</v>
      </c>
    </row>
    <row r="403" spans="1:38" x14ac:dyDescent="0.25">
      <c r="A403" t="s">
        <v>1050</v>
      </c>
      <c r="B403" t="s">
        <v>1050</v>
      </c>
      <c r="C403" s="1">
        <v>326</v>
      </c>
      <c r="D403" s="1" t="s">
        <v>1049</v>
      </c>
      <c r="E403">
        <v>3</v>
      </c>
      <c r="F403">
        <v>0.9</v>
      </c>
      <c r="G403">
        <v>71.5</v>
      </c>
      <c r="H403" t="s">
        <v>162</v>
      </c>
      <c r="J403" t="s">
        <v>53</v>
      </c>
      <c r="K403" t="s">
        <v>366</v>
      </c>
      <c r="L403" t="s">
        <v>136</v>
      </c>
      <c r="M403" t="s">
        <v>131</v>
      </c>
      <c r="N403">
        <v>50</v>
      </c>
      <c r="O403">
        <v>50</v>
      </c>
      <c r="P403">
        <v>0</v>
      </c>
      <c r="Q403">
        <v>20</v>
      </c>
      <c r="R403" t="s">
        <v>132</v>
      </c>
      <c r="T403">
        <v>60</v>
      </c>
      <c r="U403">
        <v>165</v>
      </c>
      <c r="V403">
        <v>800000</v>
      </c>
      <c r="W403" t="s">
        <v>46</v>
      </c>
      <c r="Z403">
        <v>80</v>
      </c>
      <c r="AA403">
        <v>45</v>
      </c>
      <c r="AB403">
        <v>65</v>
      </c>
      <c r="AC403">
        <v>90</v>
      </c>
      <c r="AD403">
        <v>110</v>
      </c>
      <c r="AE403">
        <v>80</v>
      </c>
      <c r="AF403">
        <v>470</v>
      </c>
      <c r="AG403">
        <v>0</v>
      </c>
      <c r="AH403">
        <v>0</v>
      </c>
      <c r="AI403">
        <v>0</v>
      </c>
      <c r="AJ403">
        <v>0</v>
      </c>
      <c r="AK403">
        <v>2</v>
      </c>
      <c r="AL403">
        <v>0</v>
      </c>
    </row>
    <row r="404" spans="1:38" x14ac:dyDescent="0.25">
      <c r="A404" t="s">
        <v>1052</v>
      </c>
      <c r="B404" t="s">
        <v>1052</v>
      </c>
      <c r="C404" s="1">
        <v>327</v>
      </c>
      <c r="D404" s="1" t="s">
        <v>1051</v>
      </c>
      <c r="E404">
        <v>3</v>
      </c>
      <c r="F404">
        <v>1.1000000000000001</v>
      </c>
      <c r="G404">
        <v>5</v>
      </c>
      <c r="H404" t="s">
        <v>116</v>
      </c>
      <c r="J404" t="s">
        <v>366</v>
      </c>
      <c r="K404" t="s">
        <v>118</v>
      </c>
      <c r="L404" t="s">
        <v>768</v>
      </c>
      <c r="M404" t="s">
        <v>103</v>
      </c>
      <c r="N404">
        <v>50</v>
      </c>
      <c r="O404">
        <v>50</v>
      </c>
      <c r="P404">
        <v>0</v>
      </c>
      <c r="Q404">
        <v>15</v>
      </c>
      <c r="R404" t="s">
        <v>132</v>
      </c>
      <c r="S404" t="s">
        <v>307</v>
      </c>
      <c r="T404">
        <v>255</v>
      </c>
      <c r="U404">
        <v>126</v>
      </c>
      <c r="V404">
        <v>800000</v>
      </c>
      <c r="W404" t="s">
        <v>46</v>
      </c>
      <c r="Z404">
        <v>60</v>
      </c>
      <c r="AA404">
        <v>60</v>
      </c>
      <c r="AB404">
        <v>60</v>
      </c>
      <c r="AC404">
        <v>60</v>
      </c>
      <c r="AD404">
        <v>60</v>
      </c>
      <c r="AE404">
        <v>60</v>
      </c>
      <c r="AF404">
        <v>360</v>
      </c>
      <c r="AG404">
        <v>0</v>
      </c>
      <c r="AH404">
        <v>0</v>
      </c>
      <c r="AI404">
        <v>0</v>
      </c>
      <c r="AJ404">
        <v>1</v>
      </c>
      <c r="AK404">
        <v>0</v>
      </c>
      <c r="AL404">
        <v>0</v>
      </c>
    </row>
    <row r="405" spans="1:38" x14ac:dyDescent="0.25">
      <c r="A405" t="s">
        <v>1054</v>
      </c>
      <c r="B405" t="s">
        <v>1054</v>
      </c>
      <c r="C405" s="1">
        <v>328</v>
      </c>
      <c r="D405" s="1" t="s">
        <v>1053</v>
      </c>
      <c r="E405">
        <v>3</v>
      </c>
      <c r="F405">
        <v>0.7</v>
      </c>
      <c r="G405">
        <v>15</v>
      </c>
      <c r="H405" t="s">
        <v>132</v>
      </c>
      <c r="J405" t="s">
        <v>440</v>
      </c>
      <c r="K405" t="s">
        <v>246</v>
      </c>
      <c r="L405" t="s">
        <v>187</v>
      </c>
      <c r="M405" t="s">
        <v>103</v>
      </c>
      <c r="N405">
        <v>50</v>
      </c>
      <c r="O405">
        <v>50</v>
      </c>
      <c r="P405">
        <v>0</v>
      </c>
      <c r="Q405">
        <v>20</v>
      </c>
      <c r="R405" t="s">
        <v>90</v>
      </c>
      <c r="S405" t="s">
        <v>61</v>
      </c>
      <c r="T405">
        <v>255</v>
      </c>
      <c r="U405">
        <v>58</v>
      </c>
      <c r="V405">
        <v>1059860</v>
      </c>
      <c r="W405" t="s">
        <v>46</v>
      </c>
      <c r="Z405">
        <v>45</v>
      </c>
      <c r="AA405">
        <v>100</v>
      </c>
      <c r="AB405">
        <v>45</v>
      </c>
      <c r="AC405">
        <v>45</v>
      </c>
      <c r="AD405">
        <v>45</v>
      </c>
      <c r="AE405">
        <v>10</v>
      </c>
      <c r="AF405">
        <v>290</v>
      </c>
      <c r="AG405">
        <v>0</v>
      </c>
      <c r="AH405">
        <v>1</v>
      </c>
      <c r="AI405">
        <v>0</v>
      </c>
      <c r="AJ405">
        <v>0</v>
      </c>
      <c r="AK405">
        <v>0</v>
      </c>
      <c r="AL405">
        <v>0</v>
      </c>
    </row>
    <row r="406" spans="1:38" x14ac:dyDescent="0.25">
      <c r="A406" t="s">
        <v>1056</v>
      </c>
      <c r="B406" t="s">
        <v>1056</v>
      </c>
      <c r="C406" s="1">
        <v>329</v>
      </c>
      <c r="D406" s="1" t="s">
        <v>1055</v>
      </c>
      <c r="E406">
        <v>3</v>
      </c>
      <c r="F406">
        <v>1.1000000000000001</v>
      </c>
      <c r="G406">
        <v>15.3</v>
      </c>
      <c r="H406" t="s">
        <v>132</v>
      </c>
      <c r="I406" t="s">
        <v>61</v>
      </c>
      <c r="J406" t="s">
        <v>420</v>
      </c>
      <c r="M406" t="s">
        <v>44</v>
      </c>
      <c r="N406">
        <v>50</v>
      </c>
      <c r="O406">
        <v>50</v>
      </c>
      <c r="P406">
        <v>0</v>
      </c>
      <c r="Q406">
        <v>20</v>
      </c>
      <c r="R406" t="s">
        <v>90</v>
      </c>
      <c r="S406" t="s">
        <v>61</v>
      </c>
      <c r="T406">
        <v>120</v>
      </c>
      <c r="U406">
        <v>119</v>
      </c>
      <c r="V406">
        <v>1059860</v>
      </c>
      <c r="W406" t="s">
        <v>46</v>
      </c>
      <c r="Z406">
        <v>50</v>
      </c>
      <c r="AA406">
        <v>70</v>
      </c>
      <c r="AB406">
        <v>50</v>
      </c>
      <c r="AC406">
        <v>50</v>
      </c>
      <c r="AD406">
        <v>50</v>
      </c>
      <c r="AE406">
        <v>70</v>
      </c>
      <c r="AF406">
        <v>340</v>
      </c>
      <c r="AG406">
        <v>0</v>
      </c>
      <c r="AH406">
        <v>1</v>
      </c>
      <c r="AI406">
        <v>0</v>
      </c>
      <c r="AJ406">
        <v>0</v>
      </c>
      <c r="AK406">
        <v>0</v>
      </c>
      <c r="AL406">
        <v>1</v>
      </c>
    </row>
    <row r="407" spans="1:38" x14ac:dyDescent="0.25">
      <c r="A407" t="s">
        <v>1058</v>
      </c>
      <c r="B407" t="s">
        <v>1058</v>
      </c>
      <c r="C407" s="1">
        <v>330</v>
      </c>
      <c r="D407" s="1" t="s">
        <v>1057</v>
      </c>
      <c r="E407">
        <v>3</v>
      </c>
      <c r="F407">
        <v>2</v>
      </c>
      <c r="G407">
        <v>82</v>
      </c>
      <c r="H407" t="s">
        <v>132</v>
      </c>
      <c r="I407" t="s">
        <v>61</v>
      </c>
      <c r="J407" t="s">
        <v>420</v>
      </c>
      <c r="M407" t="s">
        <v>44</v>
      </c>
      <c r="N407">
        <v>50</v>
      </c>
      <c r="O407">
        <v>50</v>
      </c>
      <c r="P407">
        <v>0</v>
      </c>
      <c r="Q407">
        <v>20</v>
      </c>
      <c r="R407" t="s">
        <v>90</v>
      </c>
      <c r="S407" t="s">
        <v>61</v>
      </c>
      <c r="T407">
        <v>45</v>
      </c>
      <c r="U407">
        <v>260</v>
      </c>
      <c r="V407">
        <v>1059860</v>
      </c>
      <c r="W407" t="s">
        <v>46</v>
      </c>
      <c r="Z407">
        <v>80</v>
      </c>
      <c r="AA407">
        <v>100</v>
      </c>
      <c r="AB407">
        <v>80</v>
      </c>
      <c r="AC407">
        <v>80</v>
      </c>
      <c r="AD407">
        <v>80</v>
      </c>
      <c r="AE407">
        <v>100</v>
      </c>
      <c r="AF407">
        <v>520</v>
      </c>
      <c r="AG407">
        <v>0</v>
      </c>
      <c r="AH407">
        <v>1</v>
      </c>
      <c r="AI407">
        <v>0</v>
      </c>
      <c r="AJ407">
        <v>0</v>
      </c>
      <c r="AK407">
        <v>0</v>
      </c>
      <c r="AL407">
        <v>2</v>
      </c>
    </row>
    <row r="408" spans="1:38" x14ac:dyDescent="0.25">
      <c r="A408" t="s">
        <v>1060</v>
      </c>
      <c r="B408" t="s">
        <v>1060</v>
      </c>
      <c r="C408" s="1">
        <v>331</v>
      </c>
      <c r="D408" s="1" t="s">
        <v>1059</v>
      </c>
      <c r="E408">
        <v>3</v>
      </c>
      <c r="F408">
        <v>0.4</v>
      </c>
      <c r="G408">
        <v>51.3</v>
      </c>
      <c r="H408" t="s">
        <v>40</v>
      </c>
      <c r="J408" t="s">
        <v>166</v>
      </c>
      <c r="L408" t="s">
        <v>299</v>
      </c>
      <c r="M408" t="s">
        <v>44</v>
      </c>
      <c r="N408">
        <v>50</v>
      </c>
      <c r="O408">
        <v>50</v>
      </c>
      <c r="P408">
        <v>0</v>
      </c>
      <c r="Q408">
        <v>20</v>
      </c>
      <c r="R408" t="s">
        <v>40</v>
      </c>
      <c r="S408" t="s">
        <v>307</v>
      </c>
      <c r="T408">
        <v>190</v>
      </c>
      <c r="U408">
        <v>67</v>
      </c>
      <c r="V408">
        <v>1059860</v>
      </c>
      <c r="W408" t="s">
        <v>46</v>
      </c>
      <c r="Z408">
        <v>50</v>
      </c>
      <c r="AA408">
        <v>85</v>
      </c>
      <c r="AB408">
        <v>40</v>
      </c>
      <c r="AC408">
        <v>85</v>
      </c>
      <c r="AD408">
        <v>40</v>
      </c>
      <c r="AE408">
        <v>35</v>
      </c>
      <c r="AF408">
        <v>335</v>
      </c>
      <c r="AG408">
        <v>0</v>
      </c>
      <c r="AH408">
        <v>0</v>
      </c>
      <c r="AI408">
        <v>0</v>
      </c>
      <c r="AJ408">
        <v>1</v>
      </c>
      <c r="AK408">
        <v>0</v>
      </c>
      <c r="AL408">
        <v>0</v>
      </c>
    </row>
    <row r="409" spans="1:38" x14ac:dyDescent="0.25">
      <c r="A409" t="s">
        <v>1062</v>
      </c>
      <c r="B409" t="s">
        <v>1062</v>
      </c>
      <c r="C409" s="1">
        <v>332</v>
      </c>
      <c r="D409" s="1" t="s">
        <v>1061</v>
      </c>
      <c r="E409">
        <v>3</v>
      </c>
      <c r="F409">
        <v>1.3</v>
      </c>
      <c r="G409">
        <v>77.400000000000006</v>
      </c>
      <c r="H409" t="s">
        <v>40</v>
      </c>
      <c r="I409" t="s">
        <v>135</v>
      </c>
      <c r="J409" t="s">
        <v>166</v>
      </c>
      <c r="L409" t="s">
        <v>299</v>
      </c>
      <c r="M409" t="s">
        <v>44</v>
      </c>
      <c r="N409">
        <v>50</v>
      </c>
      <c r="O409">
        <v>50</v>
      </c>
      <c r="P409">
        <v>0</v>
      </c>
      <c r="Q409">
        <v>20</v>
      </c>
      <c r="R409" t="s">
        <v>40</v>
      </c>
      <c r="S409" t="s">
        <v>307</v>
      </c>
      <c r="T409">
        <v>60</v>
      </c>
      <c r="U409">
        <v>166</v>
      </c>
      <c r="V409">
        <v>1059860</v>
      </c>
      <c r="W409" t="s">
        <v>46</v>
      </c>
      <c r="Z409">
        <v>70</v>
      </c>
      <c r="AA409">
        <v>115</v>
      </c>
      <c r="AB409">
        <v>60</v>
      </c>
      <c r="AC409">
        <v>115</v>
      </c>
      <c r="AD409">
        <v>60</v>
      </c>
      <c r="AE409">
        <v>55</v>
      </c>
      <c r="AF409">
        <v>475</v>
      </c>
      <c r="AG409">
        <v>0</v>
      </c>
      <c r="AH409">
        <v>1</v>
      </c>
      <c r="AI409">
        <v>0</v>
      </c>
      <c r="AJ409">
        <v>1</v>
      </c>
      <c r="AK409">
        <v>0</v>
      </c>
      <c r="AL409">
        <v>0</v>
      </c>
    </row>
    <row r="410" spans="1:38" x14ac:dyDescent="0.25">
      <c r="A410" t="s">
        <v>1064</v>
      </c>
      <c r="B410" t="s">
        <v>1064</v>
      </c>
      <c r="C410" s="1">
        <v>333</v>
      </c>
      <c r="D410" s="1" t="s">
        <v>1063</v>
      </c>
      <c r="E410">
        <v>3</v>
      </c>
      <c r="F410">
        <v>0.4</v>
      </c>
      <c r="G410">
        <v>1.2</v>
      </c>
      <c r="H410" t="s">
        <v>116</v>
      </c>
      <c r="I410" t="s">
        <v>66</v>
      </c>
      <c r="J410" t="s">
        <v>490</v>
      </c>
      <c r="L410" t="s">
        <v>273</v>
      </c>
      <c r="M410" t="s">
        <v>79</v>
      </c>
      <c r="N410">
        <v>50</v>
      </c>
      <c r="O410">
        <v>50</v>
      </c>
      <c r="P410">
        <v>0</v>
      </c>
      <c r="Q410">
        <v>20</v>
      </c>
      <c r="R410" t="s">
        <v>66</v>
      </c>
      <c r="S410" t="s">
        <v>61</v>
      </c>
      <c r="T410">
        <v>255</v>
      </c>
      <c r="U410">
        <v>62</v>
      </c>
      <c r="V410">
        <v>600000</v>
      </c>
      <c r="W410" t="s">
        <v>46</v>
      </c>
      <c r="Z410">
        <v>45</v>
      </c>
      <c r="AA410">
        <v>40</v>
      </c>
      <c r="AB410">
        <v>60</v>
      </c>
      <c r="AC410">
        <v>40</v>
      </c>
      <c r="AD410">
        <v>75</v>
      </c>
      <c r="AE410">
        <v>50</v>
      </c>
      <c r="AF410">
        <v>310</v>
      </c>
      <c r="AG410">
        <v>0</v>
      </c>
      <c r="AH410">
        <v>0</v>
      </c>
      <c r="AI410">
        <v>0</v>
      </c>
      <c r="AJ410">
        <v>0</v>
      </c>
      <c r="AK410">
        <v>1</v>
      </c>
      <c r="AL410">
        <v>0</v>
      </c>
    </row>
    <row r="411" spans="1:38" x14ac:dyDescent="0.25">
      <c r="A411" t="s">
        <v>1066</v>
      </c>
      <c r="B411" t="s">
        <v>1066</v>
      </c>
      <c r="C411" s="1">
        <v>334</v>
      </c>
      <c r="D411" s="1" t="s">
        <v>1065</v>
      </c>
      <c r="E411">
        <v>3</v>
      </c>
      <c r="F411">
        <v>1.1000000000000001</v>
      </c>
      <c r="G411">
        <v>20.6</v>
      </c>
      <c r="H411" t="s">
        <v>61</v>
      </c>
      <c r="I411" t="s">
        <v>66</v>
      </c>
      <c r="J411" t="s">
        <v>490</v>
      </c>
      <c r="L411" t="s">
        <v>273</v>
      </c>
      <c r="M411" t="s">
        <v>79</v>
      </c>
      <c r="N411">
        <v>50</v>
      </c>
      <c r="O411">
        <v>50</v>
      </c>
      <c r="P411">
        <v>0</v>
      </c>
      <c r="Q411">
        <v>20</v>
      </c>
      <c r="R411" t="s">
        <v>66</v>
      </c>
      <c r="S411" t="s">
        <v>61</v>
      </c>
      <c r="T411">
        <v>45</v>
      </c>
      <c r="U411">
        <v>172</v>
      </c>
      <c r="V411">
        <v>600000</v>
      </c>
      <c r="W411" t="s">
        <v>46</v>
      </c>
      <c r="Z411">
        <v>75</v>
      </c>
      <c r="AA411">
        <v>70</v>
      </c>
      <c r="AB411">
        <v>90</v>
      </c>
      <c r="AC411">
        <v>70</v>
      </c>
      <c r="AD411">
        <v>105</v>
      </c>
      <c r="AE411">
        <v>80</v>
      </c>
      <c r="AF411">
        <v>490</v>
      </c>
      <c r="AG411">
        <v>0</v>
      </c>
      <c r="AH411">
        <v>0</v>
      </c>
      <c r="AI411">
        <v>0</v>
      </c>
      <c r="AJ411">
        <v>0</v>
      </c>
      <c r="AK411">
        <v>2</v>
      </c>
      <c r="AL411">
        <v>0</v>
      </c>
    </row>
    <row r="412" spans="1:38" x14ac:dyDescent="0.25">
      <c r="A412" t="s">
        <v>1066</v>
      </c>
      <c r="B412" t="s">
        <v>1068</v>
      </c>
      <c r="C412" s="1">
        <v>334</v>
      </c>
      <c r="D412" s="1" t="s">
        <v>1067</v>
      </c>
      <c r="E412">
        <v>3</v>
      </c>
      <c r="F412">
        <v>1.5</v>
      </c>
      <c r="G412">
        <v>20.6</v>
      </c>
      <c r="H412" t="s">
        <v>61</v>
      </c>
      <c r="I412" t="s">
        <v>157</v>
      </c>
      <c r="J412" t="s">
        <v>935</v>
      </c>
      <c r="M412" t="s">
        <v>79</v>
      </c>
      <c r="N412">
        <v>50</v>
      </c>
      <c r="O412">
        <v>50</v>
      </c>
      <c r="P412">
        <v>0</v>
      </c>
      <c r="Q412">
        <v>20</v>
      </c>
      <c r="R412" t="s">
        <v>66</v>
      </c>
      <c r="S412" t="s">
        <v>61</v>
      </c>
      <c r="T412">
        <v>45</v>
      </c>
      <c r="U412">
        <v>207</v>
      </c>
      <c r="V412">
        <v>600000</v>
      </c>
      <c r="W412" t="s">
        <v>46</v>
      </c>
      <c r="X412" t="s">
        <v>54</v>
      </c>
      <c r="Z412">
        <v>75</v>
      </c>
      <c r="AA412">
        <v>110</v>
      </c>
      <c r="AB412">
        <v>110</v>
      </c>
      <c r="AC412">
        <v>110</v>
      </c>
      <c r="AD412">
        <v>105</v>
      </c>
      <c r="AE412">
        <v>80</v>
      </c>
      <c r="AF412">
        <v>590</v>
      </c>
      <c r="AG412">
        <v>0</v>
      </c>
      <c r="AH412">
        <v>0</v>
      </c>
      <c r="AI412">
        <v>0</v>
      </c>
      <c r="AJ412">
        <v>0</v>
      </c>
      <c r="AK412">
        <v>2</v>
      </c>
      <c r="AL412">
        <v>0</v>
      </c>
    </row>
    <row r="413" spans="1:38" x14ac:dyDescent="0.25">
      <c r="A413" t="s">
        <v>1070</v>
      </c>
      <c r="B413" t="s">
        <v>1070</v>
      </c>
      <c r="C413" s="1">
        <v>335</v>
      </c>
      <c r="D413" s="1" t="s">
        <v>1069</v>
      </c>
      <c r="E413">
        <v>3</v>
      </c>
      <c r="F413">
        <v>1.3</v>
      </c>
      <c r="G413">
        <v>40.299999999999997</v>
      </c>
      <c r="H413" t="s">
        <v>116</v>
      </c>
      <c r="J413" t="s">
        <v>586</v>
      </c>
      <c r="L413" t="s">
        <v>1071</v>
      </c>
      <c r="M413" t="s">
        <v>100</v>
      </c>
      <c r="N413">
        <v>50</v>
      </c>
      <c r="O413">
        <v>50</v>
      </c>
      <c r="P413">
        <v>0</v>
      </c>
      <c r="Q413">
        <v>20</v>
      </c>
      <c r="R413" t="s">
        <v>132</v>
      </c>
      <c r="T413">
        <v>90</v>
      </c>
      <c r="U413">
        <v>160</v>
      </c>
      <c r="V413">
        <v>600000</v>
      </c>
      <c r="W413" t="s">
        <v>46</v>
      </c>
      <c r="Z413">
        <v>73</v>
      </c>
      <c r="AA413">
        <v>115</v>
      </c>
      <c r="AB413">
        <v>60</v>
      </c>
      <c r="AC413">
        <v>60</v>
      </c>
      <c r="AD413">
        <v>60</v>
      </c>
      <c r="AE413">
        <v>90</v>
      </c>
      <c r="AF413">
        <v>458</v>
      </c>
      <c r="AG413">
        <v>0</v>
      </c>
      <c r="AH413">
        <v>2</v>
      </c>
      <c r="AI413">
        <v>0</v>
      </c>
      <c r="AJ413">
        <v>0</v>
      </c>
      <c r="AK413">
        <v>0</v>
      </c>
      <c r="AL413">
        <v>0</v>
      </c>
    </row>
    <row r="414" spans="1:38" x14ac:dyDescent="0.25">
      <c r="A414" t="s">
        <v>1073</v>
      </c>
      <c r="B414" t="s">
        <v>1073</v>
      </c>
      <c r="C414" s="1">
        <v>336</v>
      </c>
      <c r="D414" s="1" t="s">
        <v>1072</v>
      </c>
      <c r="E414">
        <v>3</v>
      </c>
      <c r="F414">
        <v>2.7</v>
      </c>
      <c r="G414">
        <v>52.5</v>
      </c>
      <c r="H414" t="s">
        <v>41</v>
      </c>
      <c r="J414" t="s">
        <v>95</v>
      </c>
      <c r="L414" t="s">
        <v>222</v>
      </c>
      <c r="M414" t="s">
        <v>70</v>
      </c>
      <c r="N414">
        <v>50</v>
      </c>
      <c r="O414">
        <v>50</v>
      </c>
      <c r="P414">
        <v>0</v>
      </c>
      <c r="Q414">
        <v>20</v>
      </c>
      <c r="R414" t="s">
        <v>132</v>
      </c>
      <c r="S414" t="s">
        <v>61</v>
      </c>
      <c r="T414">
        <v>90</v>
      </c>
      <c r="U414">
        <v>160</v>
      </c>
      <c r="V414">
        <v>1640000</v>
      </c>
      <c r="W414" t="s">
        <v>46</v>
      </c>
      <c r="Z414">
        <v>73</v>
      </c>
      <c r="AA414">
        <v>100</v>
      </c>
      <c r="AB414">
        <v>60</v>
      </c>
      <c r="AC414">
        <v>100</v>
      </c>
      <c r="AD414">
        <v>60</v>
      </c>
      <c r="AE414">
        <v>65</v>
      </c>
      <c r="AF414">
        <v>458</v>
      </c>
      <c r="AG414">
        <v>0</v>
      </c>
      <c r="AH414">
        <v>1</v>
      </c>
      <c r="AI414">
        <v>0</v>
      </c>
      <c r="AJ414">
        <v>1</v>
      </c>
      <c r="AK414">
        <v>0</v>
      </c>
      <c r="AL414">
        <v>0</v>
      </c>
    </row>
    <row r="415" spans="1:38" x14ac:dyDescent="0.25">
      <c r="A415" t="s">
        <v>1075</v>
      </c>
      <c r="B415" t="s">
        <v>1075</v>
      </c>
      <c r="C415" s="1">
        <v>337</v>
      </c>
      <c r="D415" s="1" t="s">
        <v>1074</v>
      </c>
      <c r="E415">
        <v>3</v>
      </c>
      <c r="F415">
        <v>1</v>
      </c>
      <c r="G415">
        <v>168</v>
      </c>
      <c r="H415" t="s">
        <v>290</v>
      </c>
      <c r="I415" t="s">
        <v>162</v>
      </c>
      <c r="J415" t="s">
        <v>420</v>
      </c>
      <c r="M415" t="s">
        <v>106</v>
      </c>
      <c r="N415">
        <v>0</v>
      </c>
      <c r="O415">
        <v>0</v>
      </c>
      <c r="P415">
        <v>100</v>
      </c>
      <c r="Q415">
        <v>25</v>
      </c>
      <c r="R415" t="s">
        <v>339</v>
      </c>
      <c r="T415">
        <v>45</v>
      </c>
      <c r="U415">
        <v>161</v>
      </c>
      <c r="V415">
        <v>800000</v>
      </c>
      <c r="W415" t="s">
        <v>46</v>
      </c>
      <c r="Z415">
        <v>90</v>
      </c>
      <c r="AA415">
        <v>55</v>
      </c>
      <c r="AB415">
        <v>65</v>
      </c>
      <c r="AC415">
        <v>95</v>
      </c>
      <c r="AD415">
        <v>85</v>
      </c>
      <c r="AE415">
        <v>70</v>
      </c>
      <c r="AF415">
        <v>460</v>
      </c>
      <c r="AG415">
        <v>0</v>
      </c>
      <c r="AH415">
        <v>0</v>
      </c>
      <c r="AI415">
        <v>0</v>
      </c>
      <c r="AJ415">
        <v>2</v>
      </c>
      <c r="AK415">
        <v>0</v>
      </c>
      <c r="AL415">
        <v>0</v>
      </c>
    </row>
    <row r="416" spans="1:38" x14ac:dyDescent="0.25">
      <c r="A416" t="s">
        <v>1077</v>
      </c>
      <c r="B416" t="s">
        <v>1077</v>
      </c>
      <c r="C416" s="1">
        <v>338</v>
      </c>
      <c r="D416" s="1" t="s">
        <v>1076</v>
      </c>
      <c r="E416">
        <v>3</v>
      </c>
      <c r="F416">
        <v>1.2</v>
      </c>
      <c r="G416">
        <v>154</v>
      </c>
      <c r="H416" t="s">
        <v>290</v>
      </c>
      <c r="I416" t="s">
        <v>162</v>
      </c>
      <c r="J416" t="s">
        <v>420</v>
      </c>
      <c r="M416" t="s">
        <v>60</v>
      </c>
      <c r="N416">
        <v>0</v>
      </c>
      <c r="O416">
        <v>0</v>
      </c>
      <c r="P416">
        <v>100</v>
      </c>
      <c r="Q416">
        <v>25</v>
      </c>
      <c r="R416" t="s">
        <v>339</v>
      </c>
      <c r="T416">
        <v>45</v>
      </c>
      <c r="U416">
        <v>161</v>
      </c>
      <c r="V416">
        <v>800000</v>
      </c>
      <c r="W416" t="s">
        <v>46</v>
      </c>
      <c r="Z416">
        <v>90</v>
      </c>
      <c r="AA416">
        <v>95</v>
      </c>
      <c r="AB416">
        <v>85</v>
      </c>
      <c r="AC416">
        <v>55</v>
      </c>
      <c r="AD416">
        <v>65</v>
      </c>
      <c r="AE416">
        <v>70</v>
      </c>
      <c r="AF416">
        <v>460</v>
      </c>
      <c r="AG416">
        <v>0</v>
      </c>
      <c r="AH416">
        <v>2</v>
      </c>
      <c r="AI416">
        <v>0</v>
      </c>
      <c r="AJ416">
        <v>0</v>
      </c>
      <c r="AK416">
        <v>0</v>
      </c>
      <c r="AL416">
        <v>0</v>
      </c>
    </row>
    <row r="417" spans="1:38" x14ac:dyDescent="0.25">
      <c r="A417" t="s">
        <v>1079</v>
      </c>
      <c r="B417" t="s">
        <v>1079</v>
      </c>
      <c r="C417" s="1">
        <v>339</v>
      </c>
      <c r="D417" s="1" t="s">
        <v>1078</v>
      </c>
      <c r="E417">
        <v>3</v>
      </c>
      <c r="F417">
        <v>0.4</v>
      </c>
      <c r="G417">
        <v>1.9</v>
      </c>
      <c r="H417" t="s">
        <v>76</v>
      </c>
      <c r="I417" t="s">
        <v>132</v>
      </c>
      <c r="J417" t="s">
        <v>365</v>
      </c>
      <c r="K417" t="s">
        <v>358</v>
      </c>
      <c r="L417" t="s">
        <v>395</v>
      </c>
      <c r="M417" t="s">
        <v>318</v>
      </c>
      <c r="N417">
        <v>50</v>
      </c>
      <c r="O417">
        <v>50</v>
      </c>
      <c r="P417">
        <v>0</v>
      </c>
      <c r="Q417">
        <v>20</v>
      </c>
      <c r="R417" t="s">
        <v>508</v>
      </c>
      <c r="T417">
        <v>190</v>
      </c>
      <c r="U417">
        <v>58</v>
      </c>
      <c r="V417">
        <v>1000000</v>
      </c>
      <c r="W417" t="s">
        <v>46</v>
      </c>
      <c r="Z417">
        <v>50</v>
      </c>
      <c r="AA417">
        <v>48</v>
      </c>
      <c r="AB417">
        <v>43</v>
      </c>
      <c r="AC417">
        <v>46</v>
      </c>
      <c r="AD417">
        <v>41</v>
      </c>
      <c r="AE417">
        <v>60</v>
      </c>
      <c r="AF417">
        <v>288</v>
      </c>
      <c r="AG417">
        <v>1</v>
      </c>
      <c r="AH417">
        <v>0</v>
      </c>
      <c r="AI417">
        <v>0</v>
      </c>
      <c r="AJ417">
        <v>0</v>
      </c>
      <c r="AK417">
        <v>0</v>
      </c>
      <c r="AL417">
        <v>0</v>
      </c>
    </row>
    <row r="418" spans="1:38" x14ac:dyDescent="0.25">
      <c r="A418" t="s">
        <v>1081</v>
      </c>
      <c r="B418" t="s">
        <v>1081</v>
      </c>
      <c r="C418" s="1">
        <v>340</v>
      </c>
      <c r="D418" s="1" t="s">
        <v>1080</v>
      </c>
      <c r="E418">
        <v>3</v>
      </c>
      <c r="F418">
        <v>0.9</v>
      </c>
      <c r="G418">
        <v>23.6</v>
      </c>
      <c r="H418" t="s">
        <v>76</v>
      </c>
      <c r="I418" t="s">
        <v>132</v>
      </c>
      <c r="J418" t="s">
        <v>365</v>
      </c>
      <c r="K418" t="s">
        <v>358</v>
      </c>
      <c r="L418" t="s">
        <v>395</v>
      </c>
      <c r="M418" t="s">
        <v>79</v>
      </c>
      <c r="N418">
        <v>50</v>
      </c>
      <c r="O418">
        <v>50</v>
      </c>
      <c r="P418">
        <v>0</v>
      </c>
      <c r="Q418">
        <v>20</v>
      </c>
      <c r="R418" t="s">
        <v>508</v>
      </c>
      <c r="T418">
        <v>75</v>
      </c>
      <c r="U418">
        <v>164</v>
      </c>
      <c r="V418">
        <v>1000000</v>
      </c>
      <c r="W418" t="s">
        <v>46</v>
      </c>
      <c r="Z418">
        <v>110</v>
      </c>
      <c r="AA418">
        <v>78</v>
      </c>
      <c r="AB418">
        <v>73</v>
      </c>
      <c r="AC418">
        <v>76</v>
      </c>
      <c r="AD418">
        <v>71</v>
      </c>
      <c r="AE418">
        <v>60</v>
      </c>
      <c r="AF418">
        <v>468</v>
      </c>
      <c r="AG418">
        <v>2</v>
      </c>
      <c r="AH418">
        <v>0</v>
      </c>
      <c r="AI418">
        <v>0</v>
      </c>
      <c r="AJ418">
        <v>0</v>
      </c>
      <c r="AK418">
        <v>0</v>
      </c>
      <c r="AL418">
        <v>0</v>
      </c>
    </row>
    <row r="419" spans="1:38" x14ac:dyDescent="0.25">
      <c r="A419" t="s">
        <v>1083</v>
      </c>
      <c r="B419" t="s">
        <v>1083</v>
      </c>
      <c r="C419" s="1">
        <v>341</v>
      </c>
      <c r="D419" s="1" t="s">
        <v>1082</v>
      </c>
      <c r="E419">
        <v>3</v>
      </c>
      <c r="F419">
        <v>0.6</v>
      </c>
      <c r="G419">
        <v>11.5</v>
      </c>
      <c r="H419" t="s">
        <v>76</v>
      </c>
      <c r="J419" t="s">
        <v>440</v>
      </c>
      <c r="K419" t="s">
        <v>377</v>
      </c>
      <c r="L419" t="s">
        <v>113</v>
      </c>
      <c r="M419" t="s">
        <v>60</v>
      </c>
      <c r="N419">
        <v>50</v>
      </c>
      <c r="O419">
        <v>50</v>
      </c>
      <c r="P419">
        <v>0</v>
      </c>
      <c r="Q419">
        <v>15</v>
      </c>
      <c r="R419" t="s">
        <v>80</v>
      </c>
      <c r="S419" t="s">
        <v>333</v>
      </c>
      <c r="T419">
        <v>205</v>
      </c>
      <c r="U419">
        <v>62</v>
      </c>
      <c r="V419">
        <v>1640000</v>
      </c>
      <c r="W419" t="s">
        <v>46</v>
      </c>
      <c r="Z419">
        <v>43</v>
      </c>
      <c r="AA419">
        <v>80</v>
      </c>
      <c r="AB419">
        <v>65</v>
      </c>
      <c r="AC419">
        <v>50</v>
      </c>
      <c r="AD419">
        <v>35</v>
      </c>
      <c r="AE419">
        <v>35</v>
      </c>
      <c r="AF419">
        <v>308</v>
      </c>
      <c r="AG419">
        <v>0</v>
      </c>
      <c r="AH419">
        <v>1</v>
      </c>
      <c r="AI419">
        <v>0</v>
      </c>
      <c r="AJ419">
        <v>0</v>
      </c>
      <c r="AK419">
        <v>0</v>
      </c>
      <c r="AL419">
        <v>0</v>
      </c>
    </row>
    <row r="420" spans="1:38" x14ac:dyDescent="0.25">
      <c r="A420" t="s">
        <v>1085</v>
      </c>
      <c r="B420" t="s">
        <v>1085</v>
      </c>
      <c r="C420" s="1">
        <v>342</v>
      </c>
      <c r="D420" s="1" t="s">
        <v>1084</v>
      </c>
      <c r="E420">
        <v>3</v>
      </c>
      <c r="F420">
        <v>1.1000000000000001</v>
      </c>
      <c r="G420">
        <v>32.799999999999997</v>
      </c>
      <c r="H420" t="s">
        <v>76</v>
      </c>
      <c r="I420" t="s">
        <v>135</v>
      </c>
      <c r="J420" t="s">
        <v>440</v>
      </c>
      <c r="K420" t="s">
        <v>377</v>
      </c>
      <c r="L420" t="s">
        <v>113</v>
      </c>
      <c r="M420" t="s">
        <v>60</v>
      </c>
      <c r="N420">
        <v>50</v>
      </c>
      <c r="O420">
        <v>50</v>
      </c>
      <c r="P420">
        <v>0</v>
      </c>
      <c r="Q420">
        <v>15</v>
      </c>
      <c r="R420" t="s">
        <v>80</v>
      </c>
      <c r="S420" t="s">
        <v>333</v>
      </c>
      <c r="T420">
        <v>155</v>
      </c>
      <c r="U420">
        <v>164</v>
      </c>
      <c r="V420">
        <v>1640000</v>
      </c>
      <c r="W420" t="s">
        <v>46</v>
      </c>
      <c r="Z420">
        <v>63</v>
      </c>
      <c r="AA420">
        <v>120</v>
      </c>
      <c r="AB420">
        <v>85</v>
      </c>
      <c r="AC420">
        <v>90</v>
      </c>
      <c r="AD420">
        <v>55</v>
      </c>
      <c r="AE420">
        <v>55</v>
      </c>
      <c r="AF420">
        <v>468</v>
      </c>
      <c r="AG420">
        <v>0</v>
      </c>
      <c r="AH420">
        <v>2</v>
      </c>
      <c r="AI420">
        <v>0</v>
      </c>
      <c r="AJ420">
        <v>0</v>
      </c>
      <c r="AK420">
        <v>0</v>
      </c>
      <c r="AL420">
        <v>0</v>
      </c>
    </row>
    <row r="421" spans="1:38" x14ac:dyDescent="0.25">
      <c r="A421" t="s">
        <v>1087</v>
      </c>
      <c r="B421" t="s">
        <v>1087</v>
      </c>
      <c r="C421" s="1">
        <v>343</v>
      </c>
      <c r="D421" s="1" t="s">
        <v>1086</v>
      </c>
      <c r="E421">
        <v>3</v>
      </c>
      <c r="F421">
        <v>0.5</v>
      </c>
      <c r="G421">
        <v>21.5</v>
      </c>
      <c r="H421" t="s">
        <v>132</v>
      </c>
      <c r="I421" t="s">
        <v>162</v>
      </c>
      <c r="J421" t="s">
        <v>420</v>
      </c>
      <c r="M421" t="s">
        <v>103</v>
      </c>
      <c r="N421">
        <v>0</v>
      </c>
      <c r="O421">
        <v>0</v>
      </c>
      <c r="P421">
        <v>100</v>
      </c>
      <c r="Q421">
        <v>20</v>
      </c>
      <c r="R421" t="s">
        <v>339</v>
      </c>
      <c r="T421">
        <v>255</v>
      </c>
      <c r="U421">
        <v>60</v>
      </c>
      <c r="V421">
        <v>1000000</v>
      </c>
      <c r="W421" t="s">
        <v>46</v>
      </c>
      <c r="Z421">
        <v>40</v>
      </c>
      <c r="AA421">
        <v>40</v>
      </c>
      <c r="AB421">
        <v>55</v>
      </c>
      <c r="AC421">
        <v>40</v>
      </c>
      <c r="AD421">
        <v>70</v>
      </c>
      <c r="AE421">
        <v>55</v>
      </c>
      <c r="AF421">
        <v>300</v>
      </c>
      <c r="AG421">
        <v>0</v>
      </c>
      <c r="AH421">
        <v>0</v>
      </c>
      <c r="AI421">
        <v>0</v>
      </c>
      <c r="AJ421">
        <v>0</v>
      </c>
      <c r="AK421">
        <v>1</v>
      </c>
      <c r="AL421">
        <v>0</v>
      </c>
    </row>
    <row r="422" spans="1:38" x14ac:dyDescent="0.25">
      <c r="A422" t="s">
        <v>1089</v>
      </c>
      <c r="B422" t="s">
        <v>1089</v>
      </c>
      <c r="C422" s="1">
        <v>344</v>
      </c>
      <c r="D422" s="1" t="s">
        <v>1088</v>
      </c>
      <c r="E422">
        <v>3</v>
      </c>
      <c r="F422">
        <v>1.5</v>
      </c>
      <c r="G422">
        <v>108</v>
      </c>
      <c r="H422" t="s">
        <v>132</v>
      </c>
      <c r="I422" t="s">
        <v>162</v>
      </c>
      <c r="J422" t="s">
        <v>420</v>
      </c>
      <c r="M422" t="s">
        <v>70</v>
      </c>
      <c r="N422">
        <v>0</v>
      </c>
      <c r="O422">
        <v>0</v>
      </c>
      <c r="P422">
        <v>100</v>
      </c>
      <c r="Q422">
        <v>20</v>
      </c>
      <c r="R422" t="s">
        <v>339</v>
      </c>
      <c r="T422">
        <v>90</v>
      </c>
      <c r="U422">
        <v>175</v>
      </c>
      <c r="V422">
        <v>1000000</v>
      </c>
      <c r="W422" t="s">
        <v>46</v>
      </c>
      <c r="Z422">
        <v>60</v>
      </c>
      <c r="AA422">
        <v>70</v>
      </c>
      <c r="AB422">
        <v>105</v>
      </c>
      <c r="AC422">
        <v>70</v>
      </c>
      <c r="AD422">
        <v>120</v>
      </c>
      <c r="AE422">
        <v>75</v>
      </c>
      <c r="AF422">
        <v>500</v>
      </c>
      <c r="AG422">
        <v>0</v>
      </c>
      <c r="AH422">
        <v>0</v>
      </c>
      <c r="AI422">
        <v>0</v>
      </c>
      <c r="AJ422">
        <v>0</v>
      </c>
      <c r="AK422">
        <v>2</v>
      </c>
      <c r="AL422">
        <v>0</v>
      </c>
    </row>
    <row r="423" spans="1:38" x14ac:dyDescent="0.25">
      <c r="A423" t="s">
        <v>1091</v>
      </c>
      <c r="B423" t="s">
        <v>1091</v>
      </c>
      <c r="C423" s="1">
        <v>345</v>
      </c>
      <c r="D423" s="1" t="s">
        <v>1090</v>
      </c>
      <c r="E423">
        <v>3</v>
      </c>
      <c r="F423">
        <v>1</v>
      </c>
      <c r="G423">
        <v>23.8</v>
      </c>
      <c r="H423" t="s">
        <v>290</v>
      </c>
      <c r="I423" t="s">
        <v>40</v>
      </c>
      <c r="J423" t="s">
        <v>801</v>
      </c>
      <c r="L423" t="s">
        <v>1092</v>
      </c>
      <c r="M423" t="s">
        <v>131</v>
      </c>
      <c r="N423">
        <v>87.5</v>
      </c>
      <c r="O423">
        <v>12.5</v>
      </c>
      <c r="P423">
        <v>0</v>
      </c>
      <c r="Q423">
        <v>30</v>
      </c>
      <c r="R423" t="s">
        <v>333</v>
      </c>
      <c r="T423">
        <v>45</v>
      </c>
      <c r="U423">
        <v>71</v>
      </c>
      <c r="V423">
        <v>600000</v>
      </c>
      <c r="W423" t="s">
        <v>46</v>
      </c>
      <c r="Z423">
        <v>66</v>
      </c>
      <c r="AA423">
        <v>41</v>
      </c>
      <c r="AB423">
        <v>77</v>
      </c>
      <c r="AC423">
        <v>61</v>
      </c>
      <c r="AD423">
        <v>87</v>
      </c>
      <c r="AE423">
        <v>23</v>
      </c>
      <c r="AF423">
        <v>355</v>
      </c>
      <c r="AG423">
        <v>0</v>
      </c>
      <c r="AH423">
        <v>0</v>
      </c>
      <c r="AI423">
        <v>0</v>
      </c>
      <c r="AJ423">
        <v>0</v>
      </c>
      <c r="AK423">
        <v>1</v>
      </c>
      <c r="AL423">
        <v>0</v>
      </c>
    </row>
    <row r="424" spans="1:38" x14ac:dyDescent="0.25">
      <c r="A424" t="s">
        <v>1094</v>
      </c>
      <c r="B424" t="s">
        <v>1094</v>
      </c>
      <c r="C424" s="1">
        <v>346</v>
      </c>
      <c r="D424" s="1" t="s">
        <v>1093</v>
      </c>
      <c r="E424">
        <v>3</v>
      </c>
      <c r="F424">
        <v>1.5</v>
      </c>
      <c r="G424">
        <v>60.4</v>
      </c>
      <c r="H424" t="s">
        <v>290</v>
      </c>
      <c r="I424" t="s">
        <v>40</v>
      </c>
      <c r="J424" t="s">
        <v>801</v>
      </c>
      <c r="L424" t="s">
        <v>1092</v>
      </c>
      <c r="M424" t="s">
        <v>44</v>
      </c>
      <c r="N424">
        <v>87.5</v>
      </c>
      <c r="O424">
        <v>12.5</v>
      </c>
      <c r="P424">
        <v>0</v>
      </c>
      <c r="Q424">
        <v>30</v>
      </c>
      <c r="R424" t="s">
        <v>333</v>
      </c>
      <c r="T424">
        <v>45</v>
      </c>
      <c r="U424">
        <v>173</v>
      </c>
      <c r="V424">
        <v>600000</v>
      </c>
      <c r="W424" t="s">
        <v>46</v>
      </c>
      <c r="Z424">
        <v>86</v>
      </c>
      <c r="AA424">
        <v>81</v>
      </c>
      <c r="AB424">
        <v>97</v>
      </c>
      <c r="AC424">
        <v>81</v>
      </c>
      <c r="AD424">
        <v>107</v>
      </c>
      <c r="AE424">
        <v>43</v>
      </c>
      <c r="AF424">
        <v>495</v>
      </c>
      <c r="AG424">
        <v>0</v>
      </c>
      <c r="AH424">
        <v>0</v>
      </c>
      <c r="AI424">
        <v>0</v>
      </c>
      <c r="AJ424">
        <v>0</v>
      </c>
      <c r="AK424">
        <v>2</v>
      </c>
      <c r="AL424">
        <v>0</v>
      </c>
    </row>
    <row r="425" spans="1:38" x14ac:dyDescent="0.25">
      <c r="A425" t="s">
        <v>1096</v>
      </c>
      <c r="B425" t="s">
        <v>1096</v>
      </c>
      <c r="C425" s="1">
        <v>347</v>
      </c>
      <c r="D425" s="1" t="s">
        <v>1095</v>
      </c>
      <c r="E425">
        <v>3</v>
      </c>
      <c r="F425">
        <v>0.7</v>
      </c>
      <c r="G425">
        <v>12.5</v>
      </c>
      <c r="H425" t="s">
        <v>290</v>
      </c>
      <c r="I425" t="s">
        <v>90</v>
      </c>
      <c r="J425" t="s">
        <v>462</v>
      </c>
      <c r="L425" t="s">
        <v>274</v>
      </c>
      <c r="M425" t="s">
        <v>318</v>
      </c>
      <c r="N425">
        <v>87.5</v>
      </c>
      <c r="O425">
        <v>12.5</v>
      </c>
      <c r="P425">
        <v>0</v>
      </c>
      <c r="Q425">
        <v>30</v>
      </c>
      <c r="R425" t="s">
        <v>333</v>
      </c>
      <c r="T425">
        <v>45</v>
      </c>
      <c r="U425">
        <v>71</v>
      </c>
      <c r="V425">
        <v>600000</v>
      </c>
      <c r="W425" t="s">
        <v>46</v>
      </c>
      <c r="Z425">
        <v>45</v>
      </c>
      <c r="AA425">
        <v>95</v>
      </c>
      <c r="AB425">
        <v>50</v>
      </c>
      <c r="AC425">
        <v>40</v>
      </c>
      <c r="AD425">
        <v>50</v>
      </c>
      <c r="AE425">
        <v>75</v>
      </c>
      <c r="AF425">
        <v>355</v>
      </c>
      <c r="AG425">
        <v>0</v>
      </c>
      <c r="AH425">
        <v>1</v>
      </c>
      <c r="AI425">
        <v>0</v>
      </c>
      <c r="AJ425">
        <v>0</v>
      </c>
      <c r="AK425">
        <v>0</v>
      </c>
      <c r="AL425">
        <v>0</v>
      </c>
    </row>
    <row r="426" spans="1:38" x14ac:dyDescent="0.25">
      <c r="A426" t="s">
        <v>1098</v>
      </c>
      <c r="B426" t="s">
        <v>1098</v>
      </c>
      <c r="C426" s="1">
        <v>348</v>
      </c>
      <c r="D426" s="1" t="s">
        <v>1097</v>
      </c>
      <c r="E426">
        <v>3</v>
      </c>
      <c r="F426">
        <v>1.5</v>
      </c>
      <c r="G426">
        <v>68.2</v>
      </c>
      <c r="H426" t="s">
        <v>290</v>
      </c>
      <c r="I426" t="s">
        <v>90</v>
      </c>
      <c r="J426" t="s">
        <v>462</v>
      </c>
      <c r="L426" t="s">
        <v>274</v>
      </c>
      <c r="M426" t="s">
        <v>318</v>
      </c>
      <c r="N426">
        <v>87.5</v>
      </c>
      <c r="O426">
        <v>12.5</v>
      </c>
      <c r="P426">
        <v>0</v>
      </c>
      <c r="Q426">
        <v>30</v>
      </c>
      <c r="R426" t="s">
        <v>333</v>
      </c>
      <c r="T426">
        <v>45</v>
      </c>
      <c r="U426">
        <v>173</v>
      </c>
      <c r="V426">
        <v>600000</v>
      </c>
      <c r="W426" t="s">
        <v>46</v>
      </c>
      <c r="Z426">
        <v>75</v>
      </c>
      <c r="AA426">
        <v>125</v>
      </c>
      <c r="AB426">
        <v>100</v>
      </c>
      <c r="AC426">
        <v>70</v>
      </c>
      <c r="AD426">
        <v>80</v>
      </c>
      <c r="AE426">
        <v>45</v>
      </c>
      <c r="AF426">
        <v>495</v>
      </c>
      <c r="AG426">
        <v>0</v>
      </c>
      <c r="AH426">
        <v>2</v>
      </c>
      <c r="AI426">
        <v>0</v>
      </c>
      <c r="AJ426">
        <v>0</v>
      </c>
      <c r="AK426">
        <v>0</v>
      </c>
      <c r="AL426">
        <v>0</v>
      </c>
    </row>
    <row r="427" spans="1:38" x14ac:dyDescent="0.25">
      <c r="A427" t="s">
        <v>1100</v>
      </c>
      <c r="B427" t="s">
        <v>1100</v>
      </c>
      <c r="C427" s="1">
        <v>349</v>
      </c>
      <c r="D427" s="1" t="s">
        <v>1099</v>
      </c>
      <c r="E427">
        <v>3</v>
      </c>
      <c r="F427">
        <v>0.6</v>
      </c>
      <c r="G427">
        <v>7.4</v>
      </c>
      <c r="H427" t="s">
        <v>76</v>
      </c>
      <c r="J427" t="s">
        <v>274</v>
      </c>
      <c r="K427" t="s">
        <v>365</v>
      </c>
      <c r="L427" t="s">
        <v>113</v>
      </c>
      <c r="M427" t="s">
        <v>103</v>
      </c>
      <c r="N427">
        <v>50</v>
      </c>
      <c r="O427">
        <v>50</v>
      </c>
      <c r="P427">
        <v>0</v>
      </c>
      <c r="Q427">
        <v>20</v>
      </c>
      <c r="R427" t="s">
        <v>80</v>
      </c>
      <c r="S427" t="s">
        <v>61</v>
      </c>
      <c r="T427">
        <v>255</v>
      </c>
      <c r="U427">
        <v>40</v>
      </c>
      <c r="V427">
        <v>600000</v>
      </c>
      <c r="W427" t="s">
        <v>46</v>
      </c>
      <c r="Z427">
        <v>20</v>
      </c>
      <c r="AA427">
        <v>15</v>
      </c>
      <c r="AB427">
        <v>20</v>
      </c>
      <c r="AC427">
        <v>10</v>
      </c>
      <c r="AD427">
        <v>55</v>
      </c>
      <c r="AE427">
        <v>80</v>
      </c>
      <c r="AF427">
        <v>200</v>
      </c>
      <c r="AG427">
        <v>0</v>
      </c>
      <c r="AH427">
        <v>0</v>
      </c>
      <c r="AI427">
        <v>0</v>
      </c>
      <c r="AJ427">
        <v>0</v>
      </c>
      <c r="AK427">
        <v>0</v>
      </c>
      <c r="AL427">
        <v>1</v>
      </c>
    </row>
    <row r="428" spans="1:38" x14ac:dyDescent="0.25">
      <c r="A428" t="s">
        <v>1102</v>
      </c>
      <c r="B428" t="s">
        <v>1102</v>
      </c>
      <c r="C428" s="1">
        <v>350</v>
      </c>
      <c r="D428" s="1" t="s">
        <v>1101</v>
      </c>
      <c r="E428">
        <v>3</v>
      </c>
      <c r="F428">
        <v>6.2</v>
      </c>
      <c r="G428">
        <v>162</v>
      </c>
      <c r="H428" t="s">
        <v>76</v>
      </c>
      <c r="J428" t="s">
        <v>603</v>
      </c>
      <c r="K428" t="s">
        <v>215</v>
      </c>
      <c r="L428" t="s">
        <v>196</v>
      </c>
      <c r="M428" t="s">
        <v>199</v>
      </c>
      <c r="N428">
        <v>50</v>
      </c>
      <c r="O428">
        <v>50</v>
      </c>
      <c r="P428">
        <v>0</v>
      </c>
      <c r="Q428">
        <v>20</v>
      </c>
      <c r="R428" t="s">
        <v>80</v>
      </c>
      <c r="S428" t="s">
        <v>61</v>
      </c>
      <c r="T428">
        <v>60</v>
      </c>
      <c r="U428">
        <v>189</v>
      </c>
      <c r="V428">
        <v>600000</v>
      </c>
      <c r="W428" t="s">
        <v>46</v>
      </c>
      <c r="Z428">
        <v>95</v>
      </c>
      <c r="AA428">
        <v>60</v>
      </c>
      <c r="AB428">
        <v>79</v>
      </c>
      <c r="AC428">
        <v>100</v>
      </c>
      <c r="AD428">
        <v>125</v>
      </c>
      <c r="AE428">
        <v>81</v>
      </c>
      <c r="AF428">
        <v>540</v>
      </c>
      <c r="AG428">
        <v>0</v>
      </c>
      <c r="AH428">
        <v>0</v>
      </c>
      <c r="AI428">
        <v>0</v>
      </c>
      <c r="AJ428">
        <v>0</v>
      </c>
      <c r="AK428">
        <v>2</v>
      </c>
      <c r="AL428">
        <v>0</v>
      </c>
    </row>
    <row r="429" spans="1:38" x14ac:dyDescent="0.25">
      <c r="A429" t="s">
        <v>1104</v>
      </c>
      <c r="B429" t="s">
        <v>1104</v>
      </c>
      <c r="C429" s="1">
        <v>351</v>
      </c>
      <c r="D429" s="1" t="s">
        <v>1103</v>
      </c>
      <c r="E429">
        <v>3</v>
      </c>
      <c r="F429">
        <v>0.3</v>
      </c>
      <c r="G429">
        <v>0.8</v>
      </c>
      <c r="H429" t="s">
        <v>116</v>
      </c>
      <c r="J429" t="s">
        <v>1105</v>
      </c>
      <c r="M429" t="s">
        <v>318</v>
      </c>
      <c r="N429">
        <v>50</v>
      </c>
      <c r="O429">
        <v>50</v>
      </c>
      <c r="P429">
        <v>0</v>
      </c>
      <c r="Q429">
        <v>25</v>
      </c>
      <c r="R429" t="s">
        <v>157</v>
      </c>
      <c r="S429" t="s">
        <v>403</v>
      </c>
      <c r="T429">
        <v>45</v>
      </c>
      <c r="U429">
        <v>147</v>
      </c>
      <c r="V429">
        <v>1000000</v>
      </c>
      <c r="W429" t="s">
        <v>46</v>
      </c>
      <c r="Z429">
        <v>70</v>
      </c>
      <c r="AA429">
        <v>70</v>
      </c>
      <c r="AB429">
        <v>70</v>
      </c>
      <c r="AC429">
        <v>70</v>
      </c>
      <c r="AD429">
        <v>70</v>
      </c>
      <c r="AE429">
        <v>70</v>
      </c>
      <c r="AF429">
        <v>420</v>
      </c>
      <c r="AG429">
        <v>1</v>
      </c>
      <c r="AH429">
        <v>0</v>
      </c>
      <c r="AI429">
        <v>0</v>
      </c>
      <c r="AJ429">
        <v>0</v>
      </c>
      <c r="AK429">
        <v>0</v>
      </c>
      <c r="AL429">
        <v>0</v>
      </c>
    </row>
    <row r="430" spans="1:38" x14ac:dyDescent="0.25">
      <c r="A430" t="s">
        <v>1104</v>
      </c>
      <c r="B430" t="s">
        <v>1107</v>
      </c>
      <c r="C430" s="1">
        <v>351</v>
      </c>
      <c r="D430" s="1" t="s">
        <v>1106</v>
      </c>
      <c r="E430">
        <v>3</v>
      </c>
      <c r="F430">
        <v>0.3</v>
      </c>
      <c r="G430">
        <v>0.8</v>
      </c>
      <c r="H430" t="s">
        <v>116</v>
      </c>
      <c r="J430" t="s">
        <v>1105</v>
      </c>
      <c r="M430" t="s">
        <v>60</v>
      </c>
      <c r="N430">
        <v>50</v>
      </c>
      <c r="O430">
        <v>50</v>
      </c>
      <c r="P430">
        <v>0</v>
      </c>
      <c r="Q430">
        <v>25</v>
      </c>
      <c r="R430" t="s">
        <v>157</v>
      </c>
      <c r="S430" t="s">
        <v>403</v>
      </c>
      <c r="T430">
        <v>45</v>
      </c>
      <c r="U430">
        <v>147</v>
      </c>
      <c r="V430">
        <v>1000000</v>
      </c>
      <c r="W430" t="s">
        <v>46</v>
      </c>
      <c r="Z430">
        <v>70</v>
      </c>
      <c r="AA430">
        <v>70</v>
      </c>
      <c r="AB430">
        <v>70</v>
      </c>
      <c r="AC430">
        <v>70</v>
      </c>
      <c r="AD430">
        <v>70</v>
      </c>
      <c r="AE430">
        <v>70</v>
      </c>
      <c r="AF430">
        <v>420</v>
      </c>
      <c r="AG430">
        <v>1</v>
      </c>
      <c r="AH430">
        <v>0</v>
      </c>
      <c r="AI430">
        <v>0</v>
      </c>
      <c r="AJ430">
        <v>0</v>
      </c>
      <c r="AK430">
        <v>0</v>
      </c>
      <c r="AL430">
        <v>0</v>
      </c>
    </row>
    <row r="431" spans="1:38" x14ac:dyDescent="0.25">
      <c r="A431" t="s">
        <v>1104</v>
      </c>
      <c r="B431" t="s">
        <v>1109</v>
      </c>
      <c r="C431" s="1">
        <v>351</v>
      </c>
      <c r="D431" s="1" t="s">
        <v>1108</v>
      </c>
      <c r="E431">
        <v>3</v>
      </c>
      <c r="F431">
        <v>0.3</v>
      </c>
      <c r="G431">
        <v>0.8</v>
      </c>
      <c r="H431" t="s">
        <v>116</v>
      </c>
      <c r="J431" t="s">
        <v>1105</v>
      </c>
      <c r="M431" t="s">
        <v>79</v>
      </c>
      <c r="N431">
        <v>50</v>
      </c>
      <c r="O431">
        <v>50</v>
      </c>
      <c r="P431">
        <v>0</v>
      </c>
      <c r="Q431">
        <v>25</v>
      </c>
      <c r="R431" t="s">
        <v>157</v>
      </c>
      <c r="S431" t="s">
        <v>403</v>
      </c>
      <c r="T431">
        <v>45</v>
      </c>
      <c r="U431">
        <v>147</v>
      </c>
      <c r="V431">
        <v>1000000</v>
      </c>
      <c r="W431" t="s">
        <v>46</v>
      </c>
      <c r="Z431">
        <v>70</v>
      </c>
      <c r="AA431">
        <v>70</v>
      </c>
      <c r="AB431">
        <v>70</v>
      </c>
      <c r="AC431">
        <v>70</v>
      </c>
      <c r="AD431">
        <v>70</v>
      </c>
      <c r="AE431">
        <v>70</v>
      </c>
      <c r="AF431">
        <v>420</v>
      </c>
      <c r="AG431">
        <v>1</v>
      </c>
      <c r="AH431">
        <v>0</v>
      </c>
      <c r="AI431">
        <v>0</v>
      </c>
      <c r="AJ431">
        <v>0</v>
      </c>
      <c r="AK431">
        <v>0</v>
      </c>
      <c r="AL431">
        <v>0</v>
      </c>
    </row>
    <row r="432" spans="1:38" x14ac:dyDescent="0.25">
      <c r="A432" t="s">
        <v>1104</v>
      </c>
      <c r="B432" t="s">
        <v>1111</v>
      </c>
      <c r="C432" s="1">
        <v>351</v>
      </c>
      <c r="D432" s="1" t="s">
        <v>1110</v>
      </c>
      <c r="E432">
        <v>3</v>
      </c>
      <c r="F432">
        <v>0.3</v>
      </c>
      <c r="G432">
        <v>0.8</v>
      </c>
      <c r="H432" t="s">
        <v>116</v>
      </c>
      <c r="J432" t="s">
        <v>1105</v>
      </c>
      <c r="M432" t="s">
        <v>100</v>
      </c>
      <c r="N432">
        <v>50</v>
      </c>
      <c r="O432">
        <v>50</v>
      </c>
      <c r="P432">
        <v>0</v>
      </c>
      <c r="Q432">
        <v>25</v>
      </c>
      <c r="R432" t="s">
        <v>157</v>
      </c>
      <c r="S432" t="s">
        <v>403</v>
      </c>
      <c r="T432">
        <v>45</v>
      </c>
      <c r="U432">
        <v>147</v>
      </c>
      <c r="V432">
        <v>1000000</v>
      </c>
      <c r="W432" t="s">
        <v>46</v>
      </c>
      <c r="Z432">
        <v>70</v>
      </c>
      <c r="AA432">
        <v>70</v>
      </c>
      <c r="AB432">
        <v>70</v>
      </c>
      <c r="AC432">
        <v>70</v>
      </c>
      <c r="AD432">
        <v>70</v>
      </c>
      <c r="AE432">
        <v>70</v>
      </c>
      <c r="AF432">
        <v>420</v>
      </c>
      <c r="AG432">
        <v>1</v>
      </c>
      <c r="AH432">
        <v>0</v>
      </c>
      <c r="AI432">
        <v>0</v>
      </c>
      <c r="AJ432">
        <v>0</v>
      </c>
      <c r="AK432">
        <v>0</v>
      </c>
      <c r="AL432">
        <v>0</v>
      </c>
    </row>
    <row r="433" spans="1:38" x14ac:dyDescent="0.25">
      <c r="A433" t="s">
        <v>1113</v>
      </c>
      <c r="B433" t="s">
        <v>1113</v>
      </c>
      <c r="C433" s="1">
        <v>352</v>
      </c>
      <c r="D433" s="1" t="s">
        <v>1112</v>
      </c>
      <c r="E433">
        <v>3</v>
      </c>
      <c r="F433">
        <v>1</v>
      </c>
      <c r="G433">
        <v>22</v>
      </c>
      <c r="H433" t="s">
        <v>116</v>
      </c>
      <c r="J433" t="s">
        <v>1114</v>
      </c>
      <c r="L433" t="s">
        <v>1115</v>
      </c>
      <c r="M433" t="s">
        <v>44</v>
      </c>
      <c r="N433">
        <v>50</v>
      </c>
      <c r="O433">
        <v>50</v>
      </c>
      <c r="P433">
        <v>0</v>
      </c>
      <c r="Q433">
        <v>20</v>
      </c>
      <c r="R433" t="s">
        <v>132</v>
      </c>
      <c r="T433">
        <v>200</v>
      </c>
      <c r="U433">
        <v>154</v>
      </c>
      <c r="V433">
        <v>1059860</v>
      </c>
      <c r="W433" t="s">
        <v>46</v>
      </c>
      <c r="Z433">
        <v>60</v>
      </c>
      <c r="AA433">
        <v>90</v>
      </c>
      <c r="AB433">
        <v>70</v>
      </c>
      <c r="AC433">
        <v>60</v>
      </c>
      <c r="AD433">
        <v>120</v>
      </c>
      <c r="AE433">
        <v>40</v>
      </c>
      <c r="AF433">
        <v>440</v>
      </c>
      <c r="AG433">
        <v>0</v>
      </c>
      <c r="AH433">
        <v>0</v>
      </c>
      <c r="AI433">
        <v>0</v>
      </c>
      <c r="AJ433">
        <v>0</v>
      </c>
      <c r="AK433">
        <v>1</v>
      </c>
      <c r="AL433">
        <v>0</v>
      </c>
    </row>
    <row r="434" spans="1:38" x14ac:dyDescent="0.25">
      <c r="A434" t="s">
        <v>1117</v>
      </c>
      <c r="B434" t="s">
        <v>1117</v>
      </c>
      <c r="C434" s="1">
        <v>353</v>
      </c>
      <c r="D434" s="1" t="s">
        <v>1116</v>
      </c>
      <c r="E434">
        <v>3</v>
      </c>
      <c r="F434">
        <v>0.6</v>
      </c>
      <c r="G434">
        <v>2.2999999999999998</v>
      </c>
      <c r="H434" t="s">
        <v>419</v>
      </c>
      <c r="J434" t="s">
        <v>434</v>
      </c>
      <c r="K434" t="s">
        <v>218</v>
      </c>
      <c r="L434" t="s">
        <v>425</v>
      </c>
      <c r="M434" t="s">
        <v>70</v>
      </c>
      <c r="N434">
        <v>50</v>
      </c>
      <c r="O434">
        <v>50</v>
      </c>
      <c r="P434">
        <v>0</v>
      </c>
      <c r="Q434">
        <v>25</v>
      </c>
      <c r="R434" t="s">
        <v>403</v>
      </c>
      <c r="T434">
        <v>225</v>
      </c>
      <c r="U434">
        <v>59</v>
      </c>
      <c r="V434">
        <v>800000</v>
      </c>
      <c r="W434" t="s">
        <v>46</v>
      </c>
      <c r="Z434">
        <v>44</v>
      </c>
      <c r="AA434">
        <v>75</v>
      </c>
      <c r="AB434">
        <v>35</v>
      </c>
      <c r="AC434">
        <v>63</v>
      </c>
      <c r="AD434">
        <v>33</v>
      </c>
      <c r="AE434">
        <v>45</v>
      </c>
      <c r="AF434">
        <v>295</v>
      </c>
      <c r="AG434">
        <v>0</v>
      </c>
      <c r="AH434">
        <v>1</v>
      </c>
      <c r="AI434">
        <v>0</v>
      </c>
      <c r="AJ434">
        <v>0</v>
      </c>
      <c r="AK434">
        <v>0</v>
      </c>
      <c r="AL434">
        <v>0</v>
      </c>
    </row>
    <row r="435" spans="1:38" x14ac:dyDescent="0.25">
      <c r="A435" t="s">
        <v>1119</v>
      </c>
      <c r="B435" t="s">
        <v>1119</v>
      </c>
      <c r="C435" s="1">
        <v>354</v>
      </c>
      <c r="D435" s="1" t="s">
        <v>1118</v>
      </c>
      <c r="E435">
        <v>3</v>
      </c>
      <c r="F435">
        <v>1.1000000000000001</v>
      </c>
      <c r="G435">
        <v>12.5</v>
      </c>
      <c r="H435" t="s">
        <v>419</v>
      </c>
      <c r="J435" t="s">
        <v>434</v>
      </c>
      <c r="K435" t="s">
        <v>218</v>
      </c>
      <c r="L435" t="s">
        <v>425</v>
      </c>
      <c r="M435" t="s">
        <v>70</v>
      </c>
      <c r="N435">
        <v>50</v>
      </c>
      <c r="O435">
        <v>50</v>
      </c>
      <c r="P435">
        <v>0</v>
      </c>
      <c r="Q435">
        <v>25</v>
      </c>
      <c r="R435" t="s">
        <v>403</v>
      </c>
      <c r="T435">
        <v>45</v>
      </c>
      <c r="U435">
        <v>159</v>
      </c>
      <c r="V435">
        <v>800000</v>
      </c>
      <c r="W435" t="s">
        <v>46</v>
      </c>
      <c r="Z435">
        <v>64</v>
      </c>
      <c r="AA435">
        <v>115</v>
      </c>
      <c r="AB435">
        <v>65</v>
      </c>
      <c r="AC435">
        <v>83</v>
      </c>
      <c r="AD435">
        <v>63</v>
      </c>
      <c r="AE435">
        <v>65</v>
      </c>
      <c r="AF435">
        <v>455</v>
      </c>
      <c r="AG435">
        <v>0</v>
      </c>
      <c r="AH435">
        <v>2</v>
      </c>
      <c r="AI435">
        <v>0</v>
      </c>
      <c r="AJ435">
        <v>0</v>
      </c>
      <c r="AK435">
        <v>0</v>
      </c>
      <c r="AL435">
        <v>0</v>
      </c>
    </row>
    <row r="436" spans="1:38" x14ac:dyDescent="0.25">
      <c r="A436" t="s">
        <v>1119</v>
      </c>
      <c r="B436" t="s">
        <v>1121</v>
      </c>
      <c r="C436" s="1">
        <v>354</v>
      </c>
      <c r="D436" s="1" t="s">
        <v>1120</v>
      </c>
      <c r="E436">
        <v>3</v>
      </c>
      <c r="F436">
        <v>1.2</v>
      </c>
      <c r="G436">
        <v>13</v>
      </c>
      <c r="H436" t="s">
        <v>419</v>
      </c>
      <c r="J436" t="s">
        <v>726</v>
      </c>
      <c r="M436" t="s">
        <v>70</v>
      </c>
      <c r="N436">
        <v>50</v>
      </c>
      <c r="O436">
        <v>50</v>
      </c>
      <c r="P436">
        <v>0</v>
      </c>
      <c r="Q436">
        <v>25</v>
      </c>
      <c r="R436" t="s">
        <v>403</v>
      </c>
      <c r="T436">
        <v>45</v>
      </c>
      <c r="U436">
        <v>194</v>
      </c>
      <c r="V436">
        <v>800000</v>
      </c>
      <c r="W436" t="s">
        <v>46</v>
      </c>
      <c r="X436" t="s">
        <v>54</v>
      </c>
      <c r="Z436">
        <v>64</v>
      </c>
      <c r="AA436">
        <v>165</v>
      </c>
      <c r="AB436">
        <v>75</v>
      </c>
      <c r="AC436">
        <v>93</v>
      </c>
      <c r="AD436">
        <v>83</v>
      </c>
      <c r="AE436">
        <v>75</v>
      </c>
      <c r="AF436">
        <v>555</v>
      </c>
      <c r="AG436">
        <v>0</v>
      </c>
      <c r="AH436">
        <v>2</v>
      </c>
      <c r="AI436">
        <v>0</v>
      </c>
      <c r="AJ436">
        <v>0</v>
      </c>
      <c r="AK436">
        <v>0</v>
      </c>
      <c r="AL436">
        <v>0</v>
      </c>
    </row>
    <row r="437" spans="1:38" x14ac:dyDescent="0.25">
      <c r="A437" t="s">
        <v>1123</v>
      </c>
      <c r="B437" t="s">
        <v>1123</v>
      </c>
      <c r="C437" s="1">
        <v>355</v>
      </c>
      <c r="D437" s="1" t="s">
        <v>1122</v>
      </c>
      <c r="E437">
        <v>3</v>
      </c>
      <c r="F437">
        <v>0.8</v>
      </c>
      <c r="G437">
        <v>15</v>
      </c>
      <c r="H437" t="s">
        <v>419</v>
      </c>
      <c r="J437" t="s">
        <v>420</v>
      </c>
      <c r="L437" t="s">
        <v>218</v>
      </c>
      <c r="M437" t="s">
        <v>70</v>
      </c>
      <c r="N437">
        <v>50</v>
      </c>
      <c r="O437">
        <v>50</v>
      </c>
      <c r="P437">
        <v>0</v>
      </c>
      <c r="Q437">
        <v>25</v>
      </c>
      <c r="R437" t="s">
        <v>403</v>
      </c>
      <c r="T437">
        <v>190</v>
      </c>
      <c r="U437">
        <v>59</v>
      </c>
      <c r="V437">
        <v>800000</v>
      </c>
      <c r="W437" t="s">
        <v>46</v>
      </c>
      <c r="Z437">
        <v>20</v>
      </c>
      <c r="AA437">
        <v>40</v>
      </c>
      <c r="AB437">
        <v>90</v>
      </c>
      <c r="AC437">
        <v>30</v>
      </c>
      <c r="AD437">
        <v>90</v>
      </c>
      <c r="AE437">
        <v>25</v>
      </c>
      <c r="AF437">
        <v>295</v>
      </c>
      <c r="AG437">
        <v>0</v>
      </c>
      <c r="AH437">
        <v>0</v>
      </c>
      <c r="AI437">
        <v>0</v>
      </c>
      <c r="AJ437">
        <v>0</v>
      </c>
      <c r="AK437">
        <v>1</v>
      </c>
      <c r="AL437">
        <v>0</v>
      </c>
    </row>
    <row r="438" spans="1:38" x14ac:dyDescent="0.25">
      <c r="A438" t="s">
        <v>1125</v>
      </c>
      <c r="B438" t="s">
        <v>1125</v>
      </c>
      <c r="C438" s="1">
        <v>356</v>
      </c>
      <c r="D438" s="1" t="s">
        <v>1124</v>
      </c>
      <c r="E438">
        <v>3</v>
      </c>
      <c r="F438">
        <v>1.6</v>
      </c>
      <c r="G438">
        <v>30.6</v>
      </c>
      <c r="H438" t="s">
        <v>419</v>
      </c>
      <c r="J438" t="s">
        <v>581</v>
      </c>
      <c r="L438" t="s">
        <v>218</v>
      </c>
      <c r="M438" t="s">
        <v>70</v>
      </c>
      <c r="N438">
        <v>50</v>
      </c>
      <c r="O438">
        <v>50</v>
      </c>
      <c r="P438">
        <v>0</v>
      </c>
      <c r="Q438">
        <v>25</v>
      </c>
      <c r="R438" t="s">
        <v>403</v>
      </c>
      <c r="T438">
        <v>90</v>
      </c>
      <c r="U438">
        <v>159</v>
      </c>
      <c r="V438">
        <v>800000</v>
      </c>
      <c r="W438" t="s">
        <v>46</v>
      </c>
      <c r="Z438">
        <v>40</v>
      </c>
      <c r="AA438">
        <v>70</v>
      </c>
      <c r="AB438">
        <v>130</v>
      </c>
      <c r="AC438">
        <v>60</v>
      </c>
      <c r="AD438">
        <v>130</v>
      </c>
      <c r="AE438">
        <v>25</v>
      </c>
      <c r="AF438">
        <v>455</v>
      </c>
      <c r="AG438">
        <v>0</v>
      </c>
      <c r="AH438">
        <v>0</v>
      </c>
      <c r="AI438">
        <v>1</v>
      </c>
      <c r="AJ438">
        <v>0</v>
      </c>
      <c r="AK438">
        <v>1</v>
      </c>
      <c r="AL438">
        <v>0</v>
      </c>
    </row>
    <row r="439" spans="1:38" x14ac:dyDescent="0.25">
      <c r="A439" t="s">
        <v>1127</v>
      </c>
      <c r="B439" t="s">
        <v>1127</v>
      </c>
      <c r="C439" s="1">
        <v>357</v>
      </c>
      <c r="D439" s="1" t="s">
        <v>1126</v>
      </c>
      <c r="E439">
        <v>3</v>
      </c>
      <c r="F439">
        <v>2</v>
      </c>
      <c r="G439">
        <v>100</v>
      </c>
      <c r="H439" t="s">
        <v>40</v>
      </c>
      <c r="I439" t="s">
        <v>66</v>
      </c>
      <c r="J439" t="s">
        <v>43</v>
      </c>
      <c r="K439" t="s">
        <v>59</v>
      </c>
      <c r="L439" t="s">
        <v>455</v>
      </c>
      <c r="M439" t="s">
        <v>44</v>
      </c>
      <c r="N439">
        <v>50</v>
      </c>
      <c r="O439">
        <v>50</v>
      </c>
      <c r="P439">
        <v>0</v>
      </c>
      <c r="Q439">
        <v>25</v>
      </c>
      <c r="R439" t="s">
        <v>45</v>
      </c>
      <c r="S439" t="s">
        <v>40</v>
      </c>
      <c r="T439">
        <v>200</v>
      </c>
      <c r="U439">
        <v>161</v>
      </c>
      <c r="V439">
        <v>1250000</v>
      </c>
      <c r="W439" t="s">
        <v>46</v>
      </c>
      <c r="Z439">
        <v>99</v>
      </c>
      <c r="AA439">
        <v>68</v>
      </c>
      <c r="AB439">
        <v>83</v>
      </c>
      <c r="AC439">
        <v>72</v>
      </c>
      <c r="AD439">
        <v>87</v>
      </c>
      <c r="AE439">
        <v>51</v>
      </c>
      <c r="AF439">
        <v>460</v>
      </c>
      <c r="AG439">
        <v>2</v>
      </c>
      <c r="AH439">
        <v>0</v>
      </c>
      <c r="AI439">
        <v>0</v>
      </c>
      <c r="AJ439">
        <v>0</v>
      </c>
      <c r="AK439">
        <v>0</v>
      </c>
      <c r="AL439">
        <v>0</v>
      </c>
    </row>
    <row r="440" spans="1:38" x14ac:dyDescent="0.25">
      <c r="A440" t="s">
        <v>1129</v>
      </c>
      <c r="B440" t="s">
        <v>1129</v>
      </c>
      <c r="C440" s="1">
        <v>358</v>
      </c>
      <c r="D440" s="1" t="s">
        <v>1128</v>
      </c>
      <c r="E440">
        <v>3</v>
      </c>
      <c r="F440">
        <v>0.6</v>
      </c>
      <c r="G440">
        <v>1</v>
      </c>
      <c r="H440" t="s">
        <v>162</v>
      </c>
      <c r="J440" t="s">
        <v>420</v>
      </c>
      <c r="M440" t="s">
        <v>79</v>
      </c>
      <c r="N440">
        <v>50</v>
      </c>
      <c r="O440">
        <v>50</v>
      </c>
      <c r="P440">
        <v>0</v>
      </c>
      <c r="Q440">
        <v>25</v>
      </c>
      <c r="R440" t="s">
        <v>403</v>
      </c>
      <c r="T440">
        <v>45</v>
      </c>
      <c r="U440">
        <v>159</v>
      </c>
      <c r="V440">
        <v>800000</v>
      </c>
      <c r="W440" t="s">
        <v>46</v>
      </c>
      <c r="Z440">
        <v>75</v>
      </c>
      <c r="AA440">
        <v>50</v>
      </c>
      <c r="AB440">
        <v>80</v>
      </c>
      <c r="AC440">
        <v>95</v>
      </c>
      <c r="AD440">
        <v>90</v>
      </c>
      <c r="AE440">
        <v>65</v>
      </c>
      <c r="AF440">
        <v>455</v>
      </c>
      <c r="AG440">
        <v>0</v>
      </c>
      <c r="AH440">
        <v>0</v>
      </c>
      <c r="AI440">
        <v>0</v>
      </c>
      <c r="AJ440">
        <v>1</v>
      </c>
      <c r="AK440">
        <v>1</v>
      </c>
      <c r="AL440">
        <v>0</v>
      </c>
    </row>
    <row r="441" spans="1:38" x14ac:dyDescent="0.25">
      <c r="A441" t="s">
        <v>1131</v>
      </c>
      <c r="B441" t="s">
        <v>1131</v>
      </c>
      <c r="C441" s="1">
        <v>359</v>
      </c>
      <c r="D441" s="1" t="s">
        <v>1130</v>
      </c>
      <c r="E441">
        <v>3</v>
      </c>
      <c r="F441">
        <v>1.2</v>
      </c>
      <c r="G441">
        <v>47</v>
      </c>
      <c r="H441" t="s">
        <v>135</v>
      </c>
      <c r="J441" t="s">
        <v>581</v>
      </c>
      <c r="K441" t="s">
        <v>669</v>
      </c>
      <c r="L441" t="s">
        <v>287</v>
      </c>
      <c r="M441" t="s">
        <v>100</v>
      </c>
      <c r="N441">
        <v>50</v>
      </c>
      <c r="O441">
        <v>50</v>
      </c>
      <c r="P441">
        <v>0</v>
      </c>
      <c r="Q441">
        <v>25</v>
      </c>
      <c r="R441" t="s">
        <v>132</v>
      </c>
      <c r="T441">
        <v>30</v>
      </c>
      <c r="U441">
        <v>163</v>
      </c>
      <c r="V441">
        <v>1059860</v>
      </c>
      <c r="W441" t="s">
        <v>46</v>
      </c>
      <c r="Z441">
        <v>65</v>
      </c>
      <c r="AA441">
        <v>130</v>
      </c>
      <c r="AB441">
        <v>60</v>
      </c>
      <c r="AC441">
        <v>75</v>
      </c>
      <c r="AD441">
        <v>60</v>
      </c>
      <c r="AE441">
        <v>75</v>
      </c>
      <c r="AF441">
        <v>465</v>
      </c>
      <c r="AG441">
        <v>0</v>
      </c>
      <c r="AH441">
        <v>2</v>
      </c>
      <c r="AI441">
        <v>0</v>
      </c>
      <c r="AJ441">
        <v>0</v>
      </c>
      <c r="AK441">
        <v>0</v>
      </c>
      <c r="AL441">
        <v>0</v>
      </c>
    </row>
    <row r="442" spans="1:38" x14ac:dyDescent="0.25">
      <c r="A442" t="s">
        <v>1131</v>
      </c>
      <c r="B442" t="s">
        <v>1133</v>
      </c>
      <c r="C442" s="1">
        <v>359</v>
      </c>
      <c r="D442" s="1" t="s">
        <v>1132</v>
      </c>
      <c r="E442">
        <v>3</v>
      </c>
      <c r="F442">
        <v>1.2</v>
      </c>
      <c r="G442">
        <v>49</v>
      </c>
      <c r="H442" t="s">
        <v>135</v>
      </c>
      <c r="J442" t="s">
        <v>674</v>
      </c>
      <c r="M442" t="s">
        <v>100</v>
      </c>
      <c r="N442">
        <v>50</v>
      </c>
      <c r="O442">
        <v>50</v>
      </c>
      <c r="P442">
        <v>0</v>
      </c>
      <c r="Q442">
        <v>25</v>
      </c>
      <c r="R442" t="s">
        <v>132</v>
      </c>
      <c r="T442">
        <v>30</v>
      </c>
      <c r="U442">
        <v>198</v>
      </c>
      <c r="V442">
        <v>1059860</v>
      </c>
      <c r="W442" t="s">
        <v>46</v>
      </c>
      <c r="X442" t="s">
        <v>54</v>
      </c>
      <c r="Z442">
        <v>65</v>
      </c>
      <c r="AA442">
        <v>150</v>
      </c>
      <c r="AB442">
        <v>60</v>
      </c>
      <c r="AC442">
        <v>115</v>
      </c>
      <c r="AD442">
        <v>60</v>
      </c>
      <c r="AE442">
        <v>115</v>
      </c>
      <c r="AF442">
        <v>565</v>
      </c>
      <c r="AG442">
        <v>0</v>
      </c>
      <c r="AH442">
        <v>2</v>
      </c>
      <c r="AI442">
        <v>0</v>
      </c>
      <c r="AJ442">
        <v>0</v>
      </c>
      <c r="AK442">
        <v>0</v>
      </c>
      <c r="AL442">
        <v>0</v>
      </c>
    </row>
    <row r="443" spans="1:38" x14ac:dyDescent="0.25">
      <c r="A443" t="s">
        <v>1135</v>
      </c>
      <c r="B443" t="s">
        <v>1135</v>
      </c>
      <c r="C443" s="1">
        <v>360</v>
      </c>
      <c r="D443" s="1" t="s">
        <v>1134</v>
      </c>
      <c r="E443">
        <v>3</v>
      </c>
      <c r="F443">
        <v>0.6</v>
      </c>
      <c r="G443">
        <v>14</v>
      </c>
      <c r="H443" t="s">
        <v>162</v>
      </c>
      <c r="J443" t="s">
        <v>428</v>
      </c>
      <c r="L443" t="s">
        <v>738</v>
      </c>
      <c r="M443" t="s">
        <v>79</v>
      </c>
      <c r="N443">
        <v>50</v>
      </c>
      <c r="O443">
        <v>50</v>
      </c>
      <c r="P443">
        <v>0</v>
      </c>
      <c r="Q443">
        <v>20</v>
      </c>
      <c r="R443" t="s">
        <v>184</v>
      </c>
      <c r="T443">
        <v>125</v>
      </c>
      <c r="U443">
        <v>52</v>
      </c>
      <c r="V443">
        <v>1000000</v>
      </c>
      <c r="W443" t="s">
        <v>46</v>
      </c>
      <c r="Z443">
        <v>95</v>
      </c>
      <c r="AA443">
        <v>23</v>
      </c>
      <c r="AB443">
        <v>48</v>
      </c>
      <c r="AC443">
        <v>23</v>
      </c>
      <c r="AD443">
        <v>48</v>
      </c>
      <c r="AE443">
        <v>23</v>
      </c>
      <c r="AF443">
        <v>260</v>
      </c>
      <c r="AG443">
        <v>1</v>
      </c>
      <c r="AH443">
        <v>0</v>
      </c>
      <c r="AI443">
        <v>0</v>
      </c>
      <c r="AJ443">
        <v>0</v>
      </c>
      <c r="AK443">
        <v>0</v>
      </c>
      <c r="AL443">
        <v>0</v>
      </c>
    </row>
    <row r="444" spans="1:38" x14ac:dyDescent="0.25">
      <c r="A444" t="s">
        <v>1137</v>
      </c>
      <c r="B444" t="s">
        <v>1137</v>
      </c>
      <c r="C444" s="1">
        <v>361</v>
      </c>
      <c r="D444" s="1" t="s">
        <v>1136</v>
      </c>
      <c r="E444">
        <v>3</v>
      </c>
      <c r="F444">
        <v>0.7</v>
      </c>
      <c r="G444">
        <v>16.8</v>
      </c>
      <c r="H444" t="s">
        <v>170</v>
      </c>
      <c r="J444" t="s">
        <v>221</v>
      </c>
      <c r="K444" t="s">
        <v>396</v>
      </c>
      <c r="L444" t="s">
        <v>798</v>
      </c>
      <c r="M444" t="s">
        <v>318</v>
      </c>
      <c r="N444">
        <v>50</v>
      </c>
      <c r="O444">
        <v>50</v>
      </c>
      <c r="P444">
        <v>0</v>
      </c>
      <c r="Q444">
        <v>20</v>
      </c>
      <c r="R444" t="s">
        <v>157</v>
      </c>
      <c r="S444" t="s">
        <v>339</v>
      </c>
      <c r="T444">
        <v>190</v>
      </c>
      <c r="U444">
        <v>60</v>
      </c>
      <c r="V444">
        <v>1000000</v>
      </c>
      <c r="W444" t="s">
        <v>46</v>
      </c>
      <c r="Z444">
        <v>50</v>
      </c>
      <c r="AA444">
        <v>50</v>
      </c>
      <c r="AB444">
        <v>50</v>
      </c>
      <c r="AC444">
        <v>50</v>
      </c>
      <c r="AD444">
        <v>50</v>
      </c>
      <c r="AE444">
        <v>50</v>
      </c>
      <c r="AF444">
        <v>300</v>
      </c>
      <c r="AG444">
        <v>1</v>
      </c>
      <c r="AH444">
        <v>0</v>
      </c>
      <c r="AI444">
        <v>0</v>
      </c>
      <c r="AJ444">
        <v>0</v>
      </c>
      <c r="AK444">
        <v>0</v>
      </c>
      <c r="AL444">
        <v>0</v>
      </c>
    </row>
    <row r="445" spans="1:38" x14ac:dyDescent="0.25">
      <c r="A445" t="s">
        <v>1139</v>
      </c>
      <c r="B445" t="s">
        <v>1139</v>
      </c>
      <c r="C445" s="1">
        <v>362</v>
      </c>
      <c r="D445" s="1" t="s">
        <v>1138</v>
      </c>
      <c r="E445">
        <v>3</v>
      </c>
      <c r="F445">
        <v>1.5</v>
      </c>
      <c r="G445">
        <v>256.5</v>
      </c>
      <c r="H445" t="s">
        <v>170</v>
      </c>
      <c r="J445" t="s">
        <v>221</v>
      </c>
      <c r="K445" t="s">
        <v>396</v>
      </c>
      <c r="L445" t="s">
        <v>798</v>
      </c>
      <c r="M445" t="s">
        <v>318</v>
      </c>
      <c r="N445">
        <v>50</v>
      </c>
      <c r="O445">
        <v>50</v>
      </c>
      <c r="P445">
        <v>0</v>
      </c>
      <c r="Q445">
        <v>20</v>
      </c>
      <c r="R445" t="s">
        <v>157</v>
      </c>
      <c r="S445" t="s">
        <v>339</v>
      </c>
      <c r="T445">
        <v>75</v>
      </c>
      <c r="U445">
        <v>168</v>
      </c>
      <c r="V445">
        <v>1000000</v>
      </c>
      <c r="W445" t="s">
        <v>46</v>
      </c>
      <c r="Z445">
        <v>80</v>
      </c>
      <c r="AA445">
        <v>80</v>
      </c>
      <c r="AB445">
        <v>80</v>
      </c>
      <c r="AC445">
        <v>80</v>
      </c>
      <c r="AD445">
        <v>80</v>
      </c>
      <c r="AE445">
        <v>80</v>
      </c>
      <c r="AF445">
        <v>480</v>
      </c>
      <c r="AG445">
        <v>2</v>
      </c>
      <c r="AH445">
        <v>0</v>
      </c>
      <c r="AI445">
        <v>0</v>
      </c>
      <c r="AJ445">
        <v>0</v>
      </c>
      <c r="AK445">
        <v>0</v>
      </c>
      <c r="AL445">
        <v>0</v>
      </c>
    </row>
    <row r="446" spans="1:38" x14ac:dyDescent="0.25">
      <c r="A446" t="s">
        <v>1139</v>
      </c>
      <c r="B446" t="s">
        <v>1141</v>
      </c>
      <c r="C446" s="1">
        <v>362</v>
      </c>
      <c r="D446" s="1" t="s">
        <v>1140</v>
      </c>
      <c r="E446">
        <v>3</v>
      </c>
      <c r="F446">
        <v>2.1</v>
      </c>
      <c r="G446">
        <v>350.2</v>
      </c>
      <c r="H446" t="s">
        <v>170</v>
      </c>
      <c r="J446" t="s">
        <v>1142</v>
      </c>
      <c r="M446" t="s">
        <v>318</v>
      </c>
      <c r="N446">
        <v>50</v>
      </c>
      <c r="O446">
        <v>50</v>
      </c>
      <c r="P446">
        <v>0</v>
      </c>
      <c r="Q446">
        <v>20</v>
      </c>
      <c r="R446" t="s">
        <v>157</v>
      </c>
      <c r="S446" t="s">
        <v>339</v>
      </c>
      <c r="T446">
        <v>75</v>
      </c>
      <c r="U446">
        <v>203</v>
      </c>
      <c r="V446">
        <v>1000000</v>
      </c>
      <c r="W446" t="s">
        <v>46</v>
      </c>
      <c r="X446" t="s">
        <v>54</v>
      </c>
      <c r="Z446">
        <v>80</v>
      </c>
      <c r="AA446">
        <v>120</v>
      </c>
      <c r="AB446">
        <v>80</v>
      </c>
      <c r="AC446">
        <v>120</v>
      </c>
      <c r="AD446">
        <v>80</v>
      </c>
      <c r="AE446">
        <v>100</v>
      </c>
      <c r="AF446">
        <v>580</v>
      </c>
      <c r="AG446">
        <v>2</v>
      </c>
      <c r="AH446">
        <v>0</v>
      </c>
      <c r="AI446">
        <v>0</v>
      </c>
      <c r="AJ446">
        <v>0</v>
      </c>
      <c r="AK446">
        <v>0</v>
      </c>
      <c r="AL446">
        <v>0</v>
      </c>
    </row>
    <row r="447" spans="1:38" x14ac:dyDescent="0.25">
      <c r="A447" t="s">
        <v>1144</v>
      </c>
      <c r="B447" t="s">
        <v>1144</v>
      </c>
      <c r="C447" s="1">
        <v>363</v>
      </c>
      <c r="D447" s="1" t="s">
        <v>1143</v>
      </c>
      <c r="E447">
        <v>3</v>
      </c>
      <c r="F447">
        <v>0.8</v>
      </c>
      <c r="G447">
        <v>39.5</v>
      </c>
      <c r="H447" t="s">
        <v>170</v>
      </c>
      <c r="I447" t="s">
        <v>76</v>
      </c>
      <c r="J447" t="s">
        <v>53</v>
      </c>
      <c r="K447" t="s">
        <v>396</v>
      </c>
      <c r="L447" t="s">
        <v>365</v>
      </c>
      <c r="M447" t="s">
        <v>79</v>
      </c>
      <c r="N447">
        <v>50</v>
      </c>
      <c r="O447">
        <v>50</v>
      </c>
      <c r="P447">
        <v>0</v>
      </c>
      <c r="Q447">
        <v>20</v>
      </c>
      <c r="R447" t="s">
        <v>80</v>
      </c>
      <c r="S447" t="s">
        <v>132</v>
      </c>
      <c r="T447">
        <v>255</v>
      </c>
      <c r="U447">
        <v>58</v>
      </c>
      <c r="V447">
        <v>1059860</v>
      </c>
      <c r="W447" t="s">
        <v>46</v>
      </c>
      <c r="Z447">
        <v>70</v>
      </c>
      <c r="AA447">
        <v>40</v>
      </c>
      <c r="AB447">
        <v>50</v>
      </c>
      <c r="AC447">
        <v>55</v>
      </c>
      <c r="AD447">
        <v>50</v>
      </c>
      <c r="AE447">
        <v>25</v>
      </c>
      <c r="AF447">
        <v>290</v>
      </c>
      <c r="AG447">
        <v>1</v>
      </c>
      <c r="AH447">
        <v>0</v>
      </c>
      <c r="AI447">
        <v>0</v>
      </c>
      <c r="AJ447">
        <v>0</v>
      </c>
      <c r="AK447">
        <v>0</v>
      </c>
      <c r="AL447">
        <v>0</v>
      </c>
    </row>
    <row r="448" spans="1:38" x14ac:dyDescent="0.25">
      <c r="A448" t="s">
        <v>1146</v>
      </c>
      <c r="B448" t="s">
        <v>1146</v>
      </c>
      <c r="C448" s="1">
        <v>364</v>
      </c>
      <c r="D448" s="1" t="s">
        <v>1145</v>
      </c>
      <c r="E448">
        <v>3</v>
      </c>
      <c r="F448">
        <v>1.1000000000000001</v>
      </c>
      <c r="G448">
        <v>87.6</v>
      </c>
      <c r="H448" t="s">
        <v>170</v>
      </c>
      <c r="I448" t="s">
        <v>76</v>
      </c>
      <c r="J448" t="s">
        <v>53</v>
      </c>
      <c r="K448" t="s">
        <v>396</v>
      </c>
      <c r="L448" t="s">
        <v>365</v>
      </c>
      <c r="M448" t="s">
        <v>79</v>
      </c>
      <c r="N448">
        <v>50</v>
      </c>
      <c r="O448">
        <v>50</v>
      </c>
      <c r="P448">
        <v>0</v>
      </c>
      <c r="Q448">
        <v>20</v>
      </c>
      <c r="R448" t="s">
        <v>80</v>
      </c>
      <c r="S448" t="s">
        <v>132</v>
      </c>
      <c r="T448">
        <v>120</v>
      </c>
      <c r="U448">
        <v>144</v>
      </c>
      <c r="V448">
        <v>1059860</v>
      </c>
      <c r="W448" t="s">
        <v>46</v>
      </c>
      <c r="Z448">
        <v>90</v>
      </c>
      <c r="AA448">
        <v>60</v>
      </c>
      <c r="AB448">
        <v>70</v>
      </c>
      <c r="AC448">
        <v>75</v>
      </c>
      <c r="AD448">
        <v>70</v>
      </c>
      <c r="AE448">
        <v>45</v>
      </c>
      <c r="AF448">
        <v>410</v>
      </c>
      <c r="AG448">
        <v>2</v>
      </c>
      <c r="AH448">
        <v>0</v>
      </c>
      <c r="AI448">
        <v>0</v>
      </c>
      <c r="AJ448">
        <v>0</v>
      </c>
      <c r="AK448">
        <v>0</v>
      </c>
      <c r="AL448">
        <v>0</v>
      </c>
    </row>
    <row r="449" spans="1:38" x14ac:dyDescent="0.25">
      <c r="A449" t="s">
        <v>1148</v>
      </c>
      <c r="B449" t="s">
        <v>1148</v>
      </c>
      <c r="C449" s="1">
        <v>365</v>
      </c>
      <c r="D449" s="1" t="s">
        <v>1147</v>
      </c>
      <c r="E449">
        <v>3</v>
      </c>
      <c r="F449">
        <v>1.4</v>
      </c>
      <c r="G449">
        <v>150.6</v>
      </c>
      <c r="H449" t="s">
        <v>170</v>
      </c>
      <c r="I449" t="s">
        <v>76</v>
      </c>
      <c r="J449" t="s">
        <v>53</v>
      </c>
      <c r="K449" t="s">
        <v>396</v>
      </c>
      <c r="L449" t="s">
        <v>365</v>
      </c>
      <c r="M449" t="s">
        <v>79</v>
      </c>
      <c r="N449">
        <v>50</v>
      </c>
      <c r="O449">
        <v>50</v>
      </c>
      <c r="P449">
        <v>0</v>
      </c>
      <c r="Q449">
        <v>20</v>
      </c>
      <c r="R449" t="s">
        <v>80</v>
      </c>
      <c r="S449" t="s">
        <v>132</v>
      </c>
      <c r="T449">
        <v>45</v>
      </c>
      <c r="U449">
        <v>265</v>
      </c>
      <c r="V449">
        <v>1059860</v>
      </c>
      <c r="W449" t="s">
        <v>46</v>
      </c>
      <c r="Z449">
        <v>110</v>
      </c>
      <c r="AA449">
        <v>80</v>
      </c>
      <c r="AB449">
        <v>90</v>
      </c>
      <c r="AC449">
        <v>95</v>
      </c>
      <c r="AD449">
        <v>90</v>
      </c>
      <c r="AE449">
        <v>65</v>
      </c>
      <c r="AF449">
        <v>530</v>
      </c>
      <c r="AG449">
        <v>3</v>
      </c>
      <c r="AH449">
        <v>0</v>
      </c>
      <c r="AI449">
        <v>0</v>
      </c>
      <c r="AJ449">
        <v>0</v>
      </c>
      <c r="AK449">
        <v>0</v>
      </c>
      <c r="AL449">
        <v>0</v>
      </c>
    </row>
    <row r="450" spans="1:38" x14ac:dyDescent="0.25">
      <c r="A450" t="s">
        <v>1150</v>
      </c>
      <c r="B450" t="s">
        <v>1150</v>
      </c>
      <c r="C450" s="1">
        <v>366</v>
      </c>
      <c r="D450" s="1" t="s">
        <v>1149</v>
      </c>
      <c r="E450">
        <v>3</v>
      </c>
      <c r="F450">
        <v>0.4</v>
      </c>
      <c r="G450">
        <v>52.5</v>
      </c>
      <c r="H450" t="s">
        <v>76</v>
      </c>
      <c r="J450" t="s">
        <v>377</v>
      </c>
      <c r="L450" t="s">
        <v>261</v>
      </c>
      <c r="M450" t="s">
        <v>79</v>
      </c>
      <c r="N450">
        <v>50</v>
      </c>
      <c r="O450">
        <v>50</v>
      </c>
      <c r="P450">
        <v>0</v>
      </c>
      <c r="Q450">
        <v>20</v>
      </c>
      <c r="R450" t="s">
        <v>80</v>
      </c>
      <c r="T450">
        <v>255</v>
      </c>
      <c r="U450">
        <v>69</v>
      </c>
      <c r="V450">
        <v>600000</v>
      </c>
      <c r="W450" t="s">
        <v>46</v>
      </c>
      <c r="Z450">
        <v>35</v>
      </c>
      <c r="AA450">
        <v>64</v>
      </c>
      <c r="AB450">
        <v>85</v>
      </c>
      <c r="AC450">
        <v>74</v>
      </c>
      <c r="AD450">
        <v>55</v>
      </c>
      <c r="AE450">
        <v>32</v>
      </c>
      <c r="AF450">
        <v>345</v>
      </c>
      <c r="AG450">
        <v>0</v>
      </c>
      <c r="AH450">
        <v>0</v>
      </c>
      <c r="AI450">
        <v>1</v>
      </c>
      <c r="AJ450">
        <v>0</v>
      </c>
      <c r="AK450">
        <v>0</v>
      </c>
      <c r="AL450">
        <v>0</v>
      </c>
    </row>
    <row r="451" spans="1:38" x14ac:dyDescent="0.25">
      <c r="A451" t="s">
        <v>1152</v>
      </c>
      <c r="B451" t="s">
        <v>1152</v>
      </c>
      <c r="C451" s="1">
        <v>367</v>
      </c>
      <c r="D451" s="1" t="s">
        <v>1151</v>
      </c>
      <c r="E451">
        <v>3</v>
      </c>
      <c r="F451">
        <v>1.7</v>
      </c>
      <c r="G451">
        <v>27</v>
      </c>
      <c r="H451" t="s">
        <v>76</v>
      </c>
      <c r="J451" t="s">
        <v>274</v>
      </c>
      <c r="L451" t="s">
        <v>507</v>
      </c>
      <c r="M451" t="s">
        <v>79</v>
      </c>
      <c r="N451">
        <v>50</v>
      </c>
      <c r="O451">
        <v>50</v>
      </c>
      <c r="P451">
        <v>0</v>
      </c>
      <c r="Q451">
        <v>20</v>
      </c>
      <c r="R451" t="s">
        <v>80</v>
      </c>
      <c r="T451">
        <v>60</v>
      </c>
      <c r="U451">
        <v>170</v>
      </c>
      <c r="V451">
        <v>600000</v>
      </c>
      <c r="W451" t="s">
        <v>46</v>
      </c>
      <c r="Z451">
        <v>55</v>
      </c>
      <c r="AA451">
        <v>104</v>
      </c>
      <c r="AB451">
        <v>105</v>
      </c>
      <c r="AC451">
        <v>94</v>
      </c>
      <c r="AD451">
        <v>75</v>
      </c>
      <c r="AE451">
        <v>52</v>
      </c>
      <c r="AF451">
        <v>485</v>
      </c>
      <c r="AG451">
        <v>0</v>
      </c>
      <c r="AH451">
        <v>1</v>
      </c>
      <c r="AI451">
        <v>1</v>
      </c>
      <c r="AJ451">
        <v>0</v>
      </c>
      <c r="AK451">
        <v>0</v>
      </c>
      <c r="AL451">
        <v>0</v>
      </c>
    </row>
    <row r="452" spans="1:38" x14ac:dyDescent="0.25">
      <c r="A452" t="s">
        <v>1154</v>
      </c>
      <c r="B452" t="s">
        <v>1154</v>
      </c>
      <c r="C452" s="1">
        <v>368</v>
      </c>
      <c r="D452" s="1" t="s">
        <v>1153</v>
      </c>
      <c r="E452">
        <v>3</v>
      </c>
      <c r="F452">
        <v>1.8</v>
      </c>
      <c r="G452">
        <v>22.6</v>
      </c>
      <c r="H452" t="s">
        <v>76</v>
      </c>
      <c r="J452" t="s">
        <v>274</v>
      </c>
      <c r="L452" t="s">
        <v>395</v>
      </c>
      <c r="M452" t="s">
        <v>199</v>
      </c>
      <c r="N452">
        <v>50</v>
      </c>
      <c r="O452">
        <v>50</v>
      </c>
      <c r="P452">
        <v>0</v>
      </c>
      <c r="Q452">
        <v>20</v>
      </c>
      <c r="R452" t="s">
        <v>80</v>
      </c>
      <c r="T452">
        <v>60</v>
      </c>
      <c r="U452">
        <v>170</v>
      </c>
      <c r="V452">
        <v>600000</v>
      </c>
      <c r="W452" t="s">
        <v>46</v>
      </c>
      <c r="Z452">
        <v>55</v>
      </c>
      <c r="AA452">
        <v>84</v>
      </c>
      <c r="AB452">
        <v>105</v>
      </c>
      <c r="AC452">
        <v>114</v>
      </c>
      <c r="AD452">
        <v>75</v>
      </c>
      <c r="AE452">
        <v>52</v>
      </c>
      <c r="AF452">
        <v>485</v>
      </c>
      <c r="AG452">
        <v>0</v>
      </c>
      <c r="AH452">
        <v>0</v>
      </c>
      <c r="AI452">
        <v>0</v>
      </c>
      <c r="AJ452">
        <v>2</v>
      </c>
      <c r="AK452">
        <v>0</v>
      </c>
      <c r="AL452">
        <v>0</v>
      </c>
    </row>
    <row r="453" spans="1:38" x14ac:dyDescent="0.25">
      <c r="A453" t="s">
        <v>1156</v>
      </c>
      <c r="B453" t="s">
        <v>1156</v>
      </c>
      <c r="C453" s="1">
        <v>369</v>
      </c>
      <c r="D453" s="1" t="s">
        <v>1155</v>
      </c>
      <c r="E453">
        <v>3</v>
      </c>
      <c r="F453">
        <v>1</v>
      </c>
      <c r="G453">
        <v>23.4</v>
      </c>
      <c r="H453" t="s">
        <v>76</v>
      </c>
      <c r="I453" t="s">
        <v>290</v>
      </c>
      <c r="J453" t="s">
        <v>274</v>
      </c>
      <c r="K453" t="s">
        <v>291</v>
      </c>
      <c r="L453" t="s">
        <v>338</v>
      </c>
      <c r="M453" t="s">
        <v>318</v>
      </c>
      <c r="N453">
        <v>87.5</v>
      </c>
      <c r="O453">
        <v>12.5</v>
      </c>
      <c r="P453">
        <v>0</v>
      </c>
      <c r="Q453">
        <v>40</v>
      </c>
      <c r="R453" t="s">
        <v>80</v>
      </c>
      <c r="S453" t="s">
        <v>508</v>
      </c>
      <c r="T453">
        <v>25</v>
      </c>
      <c r="U453">
        <v>170</v>
      </c>
      <c r="V453">
        <v>1250000</v>
      </c>
      <c r="W453" t="s">
        <v>46</v>
      </c>
      <c r="Z453">
        <v>100</v>
      </c>
      <c r="AA453">
        <v>90</v>
      </c>
      <c r="AB453">
        <v>130</v>
      </c>
      <c r="AC453">
        <v>45</v>
      </c>
      <c r="AD453">
        <v>65</v>
      </c>
      <c r="AE453">
        <v>55</v>
      </c>
      <c r="AF453">
        <v>485</v>
      </c>
      <c r="AG453">
        <v>1</v>
      </c>
      <c r="AH453">
        <v>0</v>
      </c>
      <c r="AI453">
        <v>1</v>
      </c>
      <c r="AJ453">
        <v>0</v>
      </c>
      <c r="AK453">
        <v>0</v>
      </c>
      <c r="AL453">
        <v>0</v>
      </c>
    </row>
    <row r="454" spans="1:38" x14ac:dyDescent="0.25">
      <c r="A454" t="s">
        <v>1158</v>
      </c>
      <c r="B454" t="s">
        <v>1158</v>
      </c>
      <c r="C454" s="1">
        <v>370</v>
      </c>
      <c r="D454" s="1" t="s">
        <v>1157</v>
      </c>
      <c r="E454">
        <v>3</v>
      </c>
      <c r="F454">
        <v>0.6</v>
      </c>
      <c r="G454">
        <v>8.6999999999999993</v>
      </c>
      <c r="H454" t="s">
        <v>76</v>
      </c>
      <c r="J454" t="s">
        <v>274</v>
      </c>
      <c r="L454" t="s">
        <v>395</v>
      </c>
      <c r="M454" t="s">
        <v>199</v>
      </c>
      <c r="N454">
        <v>25</v>
      </c>
      <c r="O454">
        <v>75</v>
      </c>
      <c r="P454">
        <v>0</v>
      </c>
      <c r="Q454">
        <v>20</v>
      </c>
      <c r="R454" t="s">
        <v>508</v>
      </c>
      <c r="T454">
        <v>225</v>
      </c>
      <c r="U454">
        <v>116</v>
      </c>
      <c r="V454">
        <v>800000</v>
      </c>
      <c r="W454" t="s">
        <v>46</v>
      </c>
      <c r="Z454">
        <v>43</v>
      </c>
      <c r="AA454">
        <v>30</v>
      </c>
      <c r="AB454">
        <v>55</v>
      </c>
      <c r="AC454">
        <v>40</v>
      </c>
      <c r="AD454">
        <v>65</v>
      </c>
      <c r="AE454">
        <v>97</v>
      </c>
      <c r="AF454">
        <v>330</v>
      </c>
      <c r="AG454">
        <v>0</v>
      </c>
      <c r="AH454">
        <v>0</v>
      </c>
      <c r="AI454">
        <v>0</v>
      </c>
      <c r="AJ454">
        <v>0</v>
      </c>
      <c r="AK454">
        <v>0</v>
      </c>
      <c r="AL454">
        <v>1</v>
      </c>
    </row>
    <row r="455" spans="1:38" x14ac:dyDescent="0.25">
      <c r="A455" t="s">
        <v>1160</v>
      </c>
      <c r="B455" t="s">
        <v>1160</v>
      </c>
      <c r="C455" s="1">
        <v>371</v>
      </c>
      <c r="D455" s="1" t="s">
        <v>1159</v>
      </c>
      <c r="E455">
        <v>3</v>
      </c>
      <c r="F455">
        <v>0.6</v>
      </c>
      <c r="G455">
        <v>42.1</v>
      </c>
      <c r="H455" t="s">
        <v>61</v>
      </c>
      <c r="J455" t="s">
        <v>291</v>
      </c>
      <c r="L455" t="s">
        <v>187</v>
      </c>
      <c r="M455" t="s">
        <v>79</v>
      </c>
      <c r="N455">
        <v>50</v>
      </c>
      <c r="O455">
        <v>50</v>
      </c>
      <c r="P455">
        <v>0</v>
      </c>
      <c r="Q455">
        <v>40</v>
      </c>
      <c r="R455" t="s">
        <v>61</v>
      </c>
      <c r="T455">
        <v>45</v>
      </c>
      <c r="U455">
        <v>60</v>
      </c>
      <c r="V455">
        <v>1250000</v>
      </c>
      <c r="W455" t="s">
        <v>46</v>
      </c>
      <c r="Z455">
        <v>45</v>
      </c>
      <c r="AA455">
        <v>75</v>
      </c>
      <c r="AB455">
        <v>60</v>
      </c>
      <c r="AC455">
        <v>40</v>
      </c>
      <c r="AD455">
        <v>30</v>
      </c>
      <c r="AE455">
        <v>50</v>
      </c>
      <c r="AF455">
        <v>300</v>
      </c>
      <c r="AG455">
        <v>0</v>
      </c>
      <c r="AH455">
        <v>1</v>
      </c>
      <c r="AI455">
        <v>0</v>
      </c>
      <c r="AJ455">
        <v>0</v>
      </c>
      <c r="AK455">
        <v>0</v>
      </c>
      <c r="AL455">
        <v>0</v>
      </c>
    </row>
    <row r="456" spans="1:38" x14ac:dyDescent="0.25">
      <c r="A456" t="s">
        <v>1162</v>
      </c>
      <c r="B456" t="s">
        <v>1162</v>
      </c>
      <c r="C456" s="1">
        <v>372</v>
      </c>
      <c r="D456" s="1" t="s">
        <v>1161</v>
      </c>
      <c r="E456">
        <v>3</v>
      </c>
      <c r="F456">
        <v>1.1000000000000001</v>
      </c>
      <c r="G456">
        <v>110.5</v>
      </c>
      <c r="H456" t="s">
        <v>61</v>
      </c>
      <c r="J456" t="s">
        <v>291</v>
      </c>
      <c r="L456" t="s">
        <v>414</v>
      </c>
      <c r="M456" t="s">
        <v>100</v>
      </c>
      <c r="N456">
        <v>50</v>
      </c>
      <c r="O456">
        <v>50</v>
      </c>
      <c r="P456">
        <v>0</v>
      </c>
      <c r="Q456">
        <v>40</v>
      </c>
      <c r="R456" t="s">
        <v>61</v>
      </c>
      <c r="T456">
        <v>45</v>
      </c>
      <c r="U456">
        <v>147</v>
      </c>
      <c r="V456">
        <v>1250000</v>
      </c>
      <c r="W456" t="s">
        <v>46</v>
      </c>
      <c r="Z456">
        <v>65</v>
      </c>
      <c r="AA456">
        <v>95</v>
      </c>
      <c r="AB456">
        <v>100</v>
      </c>
      <c r="AC456">
        <v>60</v>
      </c>
      <c r="AD456">
        <v>50</v>
      </c>
      <c r="AE456">
        <v>50</v>
      </c>
      <c r="AF456">
        <v>420</v>
      </c>
      <c r="AG456">
        <v>0</v>
      </c>
      <c r="AH456">
        <v>0</v>
      </c>
      <c r="AI456">
        <v>2</v>
      </c>
      <c r="AJ456">
        <v>0</v>
      </c>
      <c r="AK456">
        <v>0</v>
      </c>
      <c r="AL456">
        <v>0</v>
      </c>
    </row>
    <row r="457" spans="1:38" x14ac:dyDescent="0.25">
      <c r="A457" t="s">
        <v>1164</v>
      </c>
      <c r="B457" t="s">
        <v>1164</v>
      </c>
      <c r="C457" s="1">
        <v>373</v>
      </c>
      <c r="D457" s="1" t="s">
        <v>1163</v>
      </c>
      <c r="E457">
        <v>3</v>
      </c>
      <c r="F457">
        <v>1.5</v>
      </c>
      <c r="G457">
        <v>102.6</v>
      </c>
      <c r="H457" t="s">
        <v>61</v>
      </c>
      <c r="I457" t="s">
        <v>66</v>
      </c>
      <c r="J457" t="s">
        <v>148</v>
      </c>
      <c r="L457" t="s">
        <v>533</v>
      </c>
      <c r="M457" t="s">
        <v>79</v>
      </c>
      <c r="N457">
        <v>50</v>
      </c>
      <c r="O457">
        <v>50</v>
      </c>
      <c r="P457">
        <v>0</v>
      </c>
      <c r="Q457">
        <v>40</v>
      </c>
      <c r="R457" t="s">
        <v>61</v>
      </c>
      <c r="T457">
        <v>45</v>
      </c>
      <c r="U457">
        <v>300</v>
      </c>
      <c r="V457">
        <v>1250000</v>
      </c>
      <c r="W457" t="s">
        <v>46</v>
      </c>
      <c r="Z457">
        <v>95</v>
      </c>
      <c r="AA457">
        <v>135</v>
      </c>
      <c r="AB457">
        <v>80</v>
      </c>
      <c r="AC457">
        <v>110</v>
      </c>
      <c r="AD457">
        <v>80</v>
      </c>
      <c r="AE457">
        <v>100</v>
      </c>
      <c r="AF457">
        <v>600</v>
      </c>
      <c r="AG457">
        <v>0</v>
      </c>
      <c r="AH457">
        <v>3</v>
      </c>
      <c r="AI457">
        <v>0</v>
      </c>
      <c r="AJ457">
        <v>0</v>
      </c>
      <c r="AK457">
        <v>0</v>
      </c>
      <c r="AL457">
        <v>0</v>
      </c>
    </row>
    <row r="458" spans="1:38" x14ac:dyDescent="0.25">
      <c r="A458" t="s">
        <v>1164</v>
      </c>
      <c r="B458" t="s">
        <v>1166</v>
      </c>
      <c r="C458" s="1">
        <v>373</v>
      </c>
      <c r="D458" s="1" t="s">
        <v>1165</v>
      </c>
      <c r="E458">
        <v>3</v>
      </c>
      <c r="F458">
        <v>1.8</v>
      </c>
      <c r="G458">
        <v>112.6</v>
      </c>
      <c r="H458" t="s">
        <v>61</v>
      </c>
      <c r="I458" t="s">
        <v>66</v>
      </c>
      <c r="J458" t="s">
        <v>536</v>
      </c>
      <c r="M458" t="s">
        <v>79</v>
      </c>
      <c r="N458">
        <v>50</v>
      </c>
      <c r="O458">
        <v>50</v>
      </c>
      <c r="P458">
        <v>0</v>
      </c>
      <c r="Q458">
        <v>40</v>
      </c>
      <c r="R458" t="s">
        <v>61</v>
      </c>
      <c r="T458">
        <v>45</v>
      </c>
      <c r="U458">
        <v>315</v>
      </c>
      <c r="V458">
        <v>1250000</v>
      </c>
      <c r="W458" t="s">
        <v>46</v>
      </c>
      <c r="X458" t="s">
        <v>54</v>
      </c>
      <c r="Z458">
        <v>95</v>
      </c>
      <c r="AA458">
        <v>145</v>
      </c>
      <c r="AB458">
        <v>130</v>
      </c>
      <c r="AC458">
        <v>120</v>
      </c>
      <c r="AD458">
        <v>90</v>
      </c>
      <c r="AE458">
        <v>120</v>
      </c>
      <c r="AF458">
        <v>700</v>
      </c>
      <c r="AG458">
        <v>0</v>
      </c>
      <c r="AH458">
        <v>3</v>
      </c>
      <c r="AI458">
        <v>0</v>
      </c>
      <c r="AJ458">
        <v>0</v>
      </c>
      <c r="AK458">
        <v>0</v>
      </c>
      <c r="AL458">
        <v>0</v>
      </c>
    </row>
    <row r="459" spans="1:38" x14ac:dyDescent="0.25">
      <c r="A459" t="s">
        <v>1168</v>
      </c>
      <c r="B459" t="s">
        <v>1168</v>
      </c>
      <c r="C459" s="1">
        <v>374</v>
      </c>
      <c r="D459" s="1" t="s">
        <v>1167</v>
      </c>
      <c r="E459">
        <v>3</v>
      </c>
      <c r="F459">
        <v>0.6</v>
      </c>
      <c r="G459">
        <v>95.2</v>
      </c>
      <c r="H459" t="s">
        <v>171</v>
      </c>
      <c r="I459" t="s">
        <v>162</v>
      </c>
      <c r="J459" t="s">
        <v>331</v>
      </c>
      <c r="L459" t="s">
        <v>763</v>
      </c>
      <c r="M459" t="s">
        <v>79</v>
      </c>
      <c r="N459">
        <v>0</v>
      </c>
      <c r="O459">
        <v>0</v>
      </c>
      <c r="P459">
        <v>100</v>
      </c>
      <c r="Q459">
        <v>40</v>
      </c>
      <c r="R459" t="s">
        <v>339</v>
      </c>
      <c r="T459">
        <v>3</v>
      </c>
      <c r="U459">
        <v>60</v>
      </c>
      <c r="V459">
        <v>1250000</v>
      </c>
      <c r="W459" t="s">
        <v>46</v>
      </c>
      <c r="Z459">
        <v>40</v>
      </c>
      <c r="AA459">
        <v>55</v>
      </c>
      <c r="AB459">
        <v>80</v>
      </c>
      <c r="AC459">
        <v>35</v>
      </c>
      <c r="AD459">
        <v>60</v>
      </c>
      <c r="AE459">
        <v>30</v>
      </c>
      <c r="AF459">
        <v>300</v>
      </c>
      <c r="AG459">
        <v>0</v>
      </c>
      <c r="AH459">
        <v>0</v>
      </c>
      <c r="AI459">
        <v>1</v>
      </c>
      <c r="AJ459">
        <v>0</v>
      </c>
      <c r="AK459">
        <v>0</v>
      </c>
      <c r="AL459">
        <v>0</v>
      </c>
    </row>
    <row r="460" spans="1:38" x14ac:dyDescent="0.25">
      <c r="A460" t="s">
        <v>1170</v>
      </c>
      <c r="B460" t="s">
        <v>1170</v>
      </c>
      <c r="C460" s="1">
        <v>375</v>
      </c>
      <c r="D460" s="1" t="s">
        <v>1169</v>
      </c>
      <c r="E460">
        <v>3</v>
      </c>
      <c r="F460">
        <v>1.2</v>
      </c>
      <c r="G460">
        <v>202.5</v>
      </c>
      <c r="H460" t="s">
        <v>171</v>
      </c>
      <c r="I460" t="s">
        <v>162</v>
      </c>
      <c r="J460" t="s">
        <v>331</v>
      </c>
      <c r="L460" t="s">
        <v>763</v>
      </c>
      <c r="M460" t="s">
        <v>79</v>
      </c>
      <c r="N460">
        <v>0</v>
      </c>
      <c r="O460">
        <v>0</v>
      </c>
      <c r="P460">
        <v>100</v>
      </c>
      <c r="Q460">
        <v>40</v>
      </c>
      <c r="R460" t="s">
        <v>339</v>
      </c>
      <c r="T460">
        <v>3</v>
      </c>
      <c r="U460">
        <v>147</v>
      </c>
      <c r="V460">
        <v>1250000</v>
      </c>
      <c r="W460" t="s">
        <v>46</v>
      </c>
      <c r="Z460">
        <v>60</v>
      </c>
      <c r="AA460">
        <v>75</v>
      </c>
      <c r="AB460">
        <v>100</v>
      </c>
      <c r="AC460">
        <v>55</v>
      </c>
      <c r="AD460">
        <v>80</v>
      </c>
      <c r="AE460">
        <v>50</v>
      </c>
      <c r="AF460">
        <v>420</v>
      </c>
      <c r="AG460">
        <v>0</v>
      </c>
      <c r="AH460">
        <v>0</v>
      </c>
      <c r="AI460">
        <v>2</v>
      </c>
      <c r="AJ460">
        <v>0</v>
      </c>
      <c r="AK460">
        <v>0</v>
      </c>
      <c r="AL460">
        <v>0</v>
      </c>
    </row>
    <row r="461" spans="1:38" x14ac:dyDescent="0.25">
      <c r="A461" t="s">
        <v>1172</v>
      </c>
      <c r="B461" t="s">
        <v>1172</v>
      </c>
      <c r="C461" s="1">
        <v>376</v>
      </c>
      <c r="D461" s="1" t="s">
        <v>1171</v>
      </c>
      <c r="E461">
        <v>3</v>
      </c>
      <c r="F461">
        <v>1.6</v>
      </c>
      <c r="G461">
        <v>550</v>
      </c>
      <c r="H461" t="s">
        <v>171</v>
      </c>
      <c r="I461" t="s">
        <v>162</v>
      </c>
      <c r="J461" t="s">
        <v>331</v>
      </c>
      <c r="L461" t="s">
        <v>763</v>
      </c>
      <c r="M461" t="s">
        <v>79</v>
      </c>
      <c r="N461">
        <v>0</v>
      </c>
      <c r="O461">
        <v>0</v>
      </c>
      <c r="P461">
        <v>100</v>
      </c>
      <c r="Q461">
        <v>40</v>
      </c>
      <c r="R461" t="s">
        <v>339</v>
      </c>
      <c r="T461">
        <v>3</v>
      </c>
      <c r="U461">
        <v>300</v>
      </c>
      <c r="V461">
        <v>1250000</v>
      </c>
      <c r="W461" t="s">
        <v>46</v>
      </c>
      <c r="Z461">
        <v>80</v>
      </c>
      <c r="AA461">
        <v>135</v>
      </c>
      <c r="AB461">
        <v>130</v>
      </c>
      <c r="AC461">
        <v>95</v>
      </c>
      <c r="AD461">
        <v>90</v>
      </c>
      <c r="AE461">
        <v>70</v>
      </c>
      <c r="AF461">
        <v>600</v>
      </c>
      <c r="AG461">
        <v>0</v>
      </c>
      <c r="AH461">
        <v>0</v>
      </c>
      <c r="AI461">
        <v>3</v>
      </c>
      <c r="AJ461">
        <v>0</v>
      </c>
      <c r="AK461">
        <v>0</v>
      </c>
      <c r="AL461">
        <v>0</v>
      </c>
    </row>
    <row r="462" spans="1:38" x14ac:dyDescent="0.25">
      <c r="A462" t="s">
        <v>1172</v>
      </c>
      <c r="B462" t="s">
        <v>1174</v>
      </c>
      <c r="C462" s="1">
        <v>376</v>
      </c>
      <c r="D462" s="1" t="s">
        <v>1173</v>
      </c>
      <c r="E462">
        <v>3</v>
      </c>
      <c r="F462">
        <v>2.5</v>
      </c>
      <c r="G462">
        <v>942.9</v>
      </c>
      <c r="H462" t="s">
        <v>171</v>
      </c>
      <c r="I462" t="s">
        <v>162</v>
      </c>
      <c r="J462" t="s">
        <v>69</v>
      </c>
      <c r="M462" t="s">
        <v>79</v>
      </c>
      <c r="N462">
        <v>0</v>
      </c>
      <c r="O462">
        <v>0</v>
      </c>
      <c r="P462">
        <v>100</v>
      </c>
      <c r="Q462">
        <v>40</v>
      </c>
      <c r="R462" t="s">
        <v>339</v>
      </c>
      <c r="T462">
        <v>3</v>
      </c>
      <c r="U462">
        <v>315</v>
      </c>
      <c r="V462">
        <v>1250000</v>
      </c>
      <c r="W462" t="s">
        <v>46</v>
      </c>
      <c r="X462" t="s">
        <v>54</v>
      </c>
      <c r="Z462">
        <v>80</v>
      </c>
      <c r="AA462">
        <v>145</v>
      </c>
      <c r="AB462">
        <v>150</v>
      </c>
      <c r="AC462">
        <v>105</v>
      </c>
      <c r="AD462">
        <v>110</v>
      </c>
      <c r="AE462">
        <v>110</v>
      </c>
      <c r="AF462">
        <v>700</v>
      </c>
      <c r="AG462">
        <v>0</v>
      </c>
      <c r="AH462">
        <v>0</v>
      </c>
      <c r="AI462">
        <v>3</v>
      </c>
      <c r="AJ462">
        <v>0</v>
      </c>
      <c r="AK462">
        <v>0</v>
      </c>
      <c r="AL462">
        <v>0</v>
      </c>
    </row>
    <row r="463" spans="1:38" x14ac:dyDescent="0.25">
      <c r="A463" t="s">
        <v>1176</v>
      </c>
      <c r="B463" t="s">
        <v>1176</v>
      </c>
      <c r="C463" s="1">
        <v>377</v>
      </c>
      <c r="D463" s="1" t="s">
        <v>1175</v>
      </c>
      <c r="E463">
        <v>3</v>
      </c>
      <c r="F463">
        <v>1.7</v>
      </c>
      <c r="G463">
        <v>230</v>
      </c>
      <c r="H463" t="s">
        <v>290</v>
      </c>
      <c r="J463" t="s">
        <v>331</v>
      </c>
      <c r="L463" t="s">
        <v>338</v>
      </c>
      <c r="M463" t="s">
        <v>103</v>
      </c>
      <c r="N463">
        <v>0</v>
      </c>
      <c r="O463">
        <v>0</v>
      </c>
      <c r="P463">
        <v>100</v>
      </c>
      <c r="Q463">
        <v>80</v>
      </c>
      <c r="R463" t="s">
        <v>184</v>
      </c>
      <c r="T463">
        <v>3</v>
      </c>
      <c r="U463">
        <v>290</v>
      </c>
      <c r="V463">
        <v>1250000</v>
      </c>
      <c r="W463" t="s">
        <v>589</v>
      </c>
      <c r="Z463">
        <v>80</v>
      </c>
      <c r="AA463">
        <v>100</v>
      </c>
      <c r="AB463">
        <v>200</v>
      </c>
      <c r="AC463">
        <v>50</v>
      </c>
      <c r="AD463">
        <v>100</v>
      </c>
      <c r="AE463">
        <v>50</v>
      </c>
      <c r="AF463">
        <v>580</v>
      </c>
      <c r="AG463">
        <v>0</v>
      </c>
      <c r="AH463">
        <v>0</v>
      </c>
      <c r="AI463">
        <v>3</v>
      </c>
      <c r="AJ463">
        <v>0</v>
      </c>
      <c r="AK463">
        <v>0</v>
      </c>
      <c r="AL463">
        <v>0</v>
      </c>
    </row>
    <row r="464" spans="1:38" x14ac:dyDescent="0.25">
      <c r="A464" t="s">
        <v>1178</v>
      </c>
      <c r="B464" t="s">
        <v>1178</v>
      </c>
      <c r="C464" s="1">
        <v>378</v>
      </c>
      <c r="D464" s="1" t="s">
        <v>1177</v>
      </c>
      <c r="E464">
        <v>3</v>
      </c>
      <c r="F464">
        <v>1.8</v>
      </c>
      <c r="G464">
        <v>175</v>
      </c>
      <c r="H464" t="s">
        <v>170</v>
      </c>
      <c r="J464" t="s">
        <v>331</v>
      </c>
      <c r="L464" t="s">
        <v>396</v>
      </c>
      <c r="M464" t="s">
        <v>79</v>
      </c>
      <c r="N464">
        <v>0</v>
      </c>
      <c r="O464">
        <v>0</v>
      </c>
      <c r="P464">
        <v>100</v>
      </c>
      <c r="Q464">
        <v>80</v>
      </c>
      <c r="R464" t="s">
        <v>184</v>
      </c>
      <c r="T464">
        <v>3</v>
      </c>
      <c r="U464">
        <v>290</v>
      </c>
      <c r="V464">
        <v>1250000</v>
      </c>
      <c r="W464" t="s">
        <v>589</v>
      </c>
      <c r="Z464">
        <v>80</v>
      </c>
      <c r="AA464">
        <v>50</v>
      </c>
      <c r="AB464">
        <v>100</v>
      </c>
      <c r="AC464">
        <v>100</v>
      </c>
      <c r="AD464">
        <v>200</v>
      </c>
      <c r="AE464">
        <v>50</v>
      </c>
      <c r="AF464">
        <v>580</v>
      </c>
      <c r="AG464">
        <v>0</v>
      </c>
      <c r="AH464">
        <v>0</v>
      </c>
      <c r="AI464">
        <v>0</v>
      </c>
      <c r="AJ464">
        <v>0</v>
      </c>
      <c r="AK464">
        <v>3</v>
      </c>
      <c r="AL464">
        <v>0</v>
      </c>
    </row>
    <row r="465" spans="1:38" x14ac:dyDescent="0.25">
      <c r="A465" t="s">
        <v>1180</v>
      </c>
      <c r="B465" t="s">
        <v>1180</v>
      </c>
      <c r="C465" s="1">
        <v>379</v>
      </c>
      <c r="D465" s="1" t="s">
        <v>1179</v>
      </c>
      <c r="E465">
        <v>3</v>
      </c>
      <c r="F465">
        <v>1.9</v>
      </c>
      <c r="G465">
        <v>205</v>
      </c>
      <c r="H465" t="s">
        <v>171</v>
      </c>
      <c r="J465" t="s">
        <v>331</v>
      </c>
      <c r="L465" t="s">
        <v>763</v>
      </c>
      <c r="M465" t="s">
        <v>318</v>
      </c>
      <c r="N465">
        <v>0</v>
      </c>
      <c r="O465">
        <v>0</v>
      </c>
      <c r="P465">
        <v>100</v>
      </c>
      <c r="Q465">
        <v>80</v>
      </c>
      <c r="R465" t="s">
        <v>184</v>
      </c>
      <c r="T465">
        <v>3</v>
      </c>
      <c r="U465">
        <v>290</v>
      </c>
      <c r="V465">
        <v>1250000</v>
      </c>
      <c r="W465" t="s">
        <v>589</v>
      </c>
      <c r="Z465">
        <v>80</v>
      </c>
      <c r="AA465">
        <v>75</v>
      </c>
      <c r="AB465">
        <v>150</v>
      </c>
      <c r="AC465">
        <v>75</v>
      </c>
      <c r="AD465">
        <v>150</v>
      </c>
      <c r="AE465">
        <v>50</v>
      </c>
      <c r="AF465">
        <v>580</v>
      </c>
      <c r="AG465">
        <v>0</v>
      </c>
      <c r="AH465">
        <v>0</v>
      </c>
      <c r="AI465">
        <v>2</v>
      </c>
      <c r="AJ465">
        <v>0</v>
      </c>
      <c r="AK465">
        <v>1</v>
      </c>
      <c r="AL465">
        <v>0</v>
      </c>
    </row>
    <row r="466" spans="1:38" x14ac:dyDescent="0.25">
      <c r="A466" t="s">
        <v>1182</v>
      </c>
      <c r="B466" t="s">
        <v>1182</v>
      </c>
      <c r="C466" s="1">
        <v>380</v>
      </c>
      <c r="D466" s="1" t="s">
        <v>1181</v>
      </c>
      <c r="E466">
        <v>3</v>
      </c>
      <c r="F466">
        <v>1.4</v>
      </c>
      <c r="G466">
        <v>40</v>
      </c>
      <c r="H466" t="s">
        <v>61</v>
      </c>
      <c r="I466" t="s">
        <v>162</v>
      </c>
      <c r="J466" t="s">
        <v>420</v>
      </c>
      <c r="M466" t="s">
        <v>60</v>
      </c>
      <c r="N466">
        <v>0</v>
      </c>
      <c r="O466">
        <v>100</v>
      </c>
      <c r="P466">
        <v>0</v>
      </c>
      <c r="Q466">
        <v>120</v>
      </c>
      <c r="R466" t="s">
        <v>184</v>
      </c>
      <c r="T466">
        <v>3</v>
      </c>
      <c r="U466">
        <v>300</v>
      </c>
      <c r="V466">
        <v>1250000</v>
      </c>
      <c r="W466" t="s">
        <v>589</v>
      </c>
      <c r="Z466">
        <v>80</v>
      </c>
      <c r="AA466">
        <v>80</v>
      </c>
      <c r="AB466">
        <v>90</v>
      </c>
      <c r="AC466">
        <v>110</v>
      </c>
      <c r="AD466">
        <v>130</v>
      </c>
      <c r="AE466">
        <v>110</v>
      </c>
      <c r="AF466">
        <v>600</v>
      </c>
      <c r="AG466">
        <v>0</v>
      </c>
      <c r="AH466">
        <v>0</v>
      </c>
      <c r="AI466">
        <v>0</v>
      </c>
      <c r="AJ466">
        <v>0</v>
      </c>
      <c r="AK466">
        <v>3</v>
      </c>
      <c r="AL466">
        <v>0</v>
      </c>
    </row>
    <row r="467" spans="1:38" x14ac:dyDescent="0.25">
      <c r="A467" t="s">
        <v>1182</v>
      </c>
      <c r="B467" t="s">
        <v>1184</v>
      </c>
      <c r="C467" s="1">
        <v>380</v>
      </c>
      <c r="D467" s="1" t="s">
        <v>1183</v>
      </c>
      <c r="E467">
        <v>3</v>
      </c>
      <c r="F467">
        <v>1.8</v>
      </c>
      <c r="G467">
        <v>52</v>
      </c>
      <c r="H467" t="s">
        <v>61</v>
      </c>
      <c r="I467" t="s">
        <v>162</v>
      </c>
      <c r="J467" t="s">
        <v>420</v>
      </c>
      <c r="M467" t="s">
        <v>131</v>
      </c>
      <c r="N467">
        <v>0</v>
      </c>
      <c r="O467">
        <v>100</v>
      </c>
      <c r="P467">
        <v>0</v>
      </c>
      <c r="Q467">
        <v>120</v>
      </c>
      <c r="R467" t="s">
        <v>184</v>
      </c>
      <c r="T467">
        <v>3</v>
      </c>
      <c r="U467">
        <v>315</v>
      </c>
      <c r="V467">
        <v>1250000</v>
      </c>
      <c r="W467" t="s">
        <v>589</v>
      </c>
      <c r="X467" t="s">
        <v>54</v>
      </c>
      <c r="Z467">
        <v>80</v>
      </c>
      <c r="AA467">
        <v>100</v>
      </c>
      <c r="AB467">
        <v>120</v>
      </c>
      <c r="AC467">
        <v>140</v>
      </c>
      <c r="AD467">
        <v>150</v>
      </c>
      <c r="AE467">
        <v>110</v>
      </c>
      <c r="AF467">
        <v>700</v>
      </c>
      <c r="AG467">
        <v>0</v>
      </c>
      <c r="AH467">
        <v>0</v>
      </c>
      <c r="AI467">
        <v>0</v>
      </c>
      <c r="AJ467">
        <v>0</v>
      </c>
      <c r="AK467">
        <v>3</v>
      </c>
      <c r="AL467">
        <v>0</v>
      </c>
    </row>
    <row r="468" spans="1:38" x14ac:dyDescent="0.25">
      <c r="A468" t="s">
        <v>1186</v>
      </c>
      <c r="B468" t="s">
        <v>1186</v>
      </c>
      <c r="C468" s="1">
        <v>381</v>
      </c>
      <c r="D468" s="1" t="s">
        <v>1185</v>
      </c>
      <c r="E468">
        <v>3</v>
      </c>
      <c r="F468">
        <v>2</v>
      </c>
      <c r="G468">
        <v>60</v>
      </c>
      <c r="H468" t="s">
        <v>61</v>
      </c>
      <c r="I468" t="s">
        <v>162</v>
      </c>
      <c r="J468" t="s">
        <v>420</v>
      </c>
      <c r="M468" t="s">
        <v>79</v>
      </c>
      <c r="N468">
        <v>100</v>
      </c>
      <c r="O468">
        <v>0</v>
      </c>
      <c r="P468">
        <v>0</v>
      </c>
      <c r="Q468">
        <v>120</v>
      </c>
      <c r="R468" t="s">
        <v>184</v>
      </c>
      <c r="T468">
        <v>3</v>
      </c>
      <c r="U468">
        <v>300</v>
      </c>
      <c r="V468">
        <v>1250000</v>
      </c>
      <c r="W468" t="s">
        <v>589</v>
      </c>
      <c r="Z468">
        <v>80</v>
      </c>
      <c r="AA468">
        <v>90</v>
      </c>
      <c r="AB468">
        <v>80</v>
      </c>
      <c r="AC468">
        <v>130</v>
      </c>
      <c r="AD468">
        <v>110</v>
      </c>
      <c r="AE468">
        <v>110</v>
      </c>
      <c r="AF468">
        <v>600</v>
      </c>
      <c r="AG468">
        <v>0</v>
      </c>
      <c r="AH468">
        <v>0</v>
      </c>
      <c r="AI468">
        <v>0</v>
      </c>
      <c r="AJ468">
        <v>3</v>
      </c>
      <c r="AK468">
        <v>0</v>
      </c>
      <c r="AL468">
        <v>0</v>
      </c>
    </row>
    <row r="469" spans="1:38" x14ac:dyDescent="0.25">
      <c r="A469" t="s">
        <v>1186</v>
      </c>
      <c r="B469" t="s">
        <v>1188</v>
      </c>
      <c r="C469" s="1">
        <v>381</v>
      </c>
      <c r="D469" s="1" t="s">
        <v>1187</v>
      </c>
      <c r="E469">
        <v>3</v>
      </c>
      <c r="F469">
        <v>2.2999999999999998</v>
      </c>
      <c r="G469">
        <v>70</v>
      </c>
      <c r="H469" t="s">
        <v>61</v>
      </c>
      <c r="I469" t="s">
        <v>162</v>
      </c>
      <c r="J469" t="s">
        <v>420</v>
      </c>
      <c r="M469" t="s">
        <v>131</v>
      </c>
      <c r="N469">
        <v>100</v>
      </c>
      <c r="O469">
        <v>0</v>
      </c>
      <c r="P469">
        <v>0</v>
      </c>
      <c r="Q469">
        <v>120</v>
      </c>
      <c r="R469" t="s">
        <v>184</v>
      </c>
      <c r="T469">
        <v>3</v>
      </c>
      <c r="U469">
        <v>315</v>
      </c>
      <c r="V469">
        <v>1250000</v>
      </c>
      <c r="W469" t="s">
        <v>589</v>
      </c>
      <c r="X469" t="s">
        <v>54</v>
      </c>
      <c r="Z469">
        <v>80</v>
      </c>
      <c r="AA469">
        <v>130</v>
      </c>
      <c r="AB469">
        <v>100</v>
      </c>
      <c r="AC469">
        <v>160</v>
      </c>
      <c r="AD469">
        <v>120</v>
      </c>
      <c r="AE469">
        <v>110</v>
      </c>
      <c r="AF469">
        <v>700</v>
      </c>
      <c r="AG469">
        <v>0</v>
      </c>
      <c r="AH469">
        <v>0</v>
      </c>
      <c r="AI469">
        <v>0</v>
      </c>
      <c r="AJ469">
        <v>3</v>
      </c>
      <c r="AK469">
        <v>0</v>
      </c>
      <c r="AL469">
        <v>0</v>
      </c>
    </row>
    <row r="470" spans="1:38" x14ac:dyDescent="0.25">
      <c r="A470" t="s">
        <v>1190</v>
      </c>
      <c r="B470" t="s">
        <v>1190</v>
      </c>
      <c r="C470" s="1">
        <v>382</v>
      </c>
      <c r="D470" s="1" t="s">
        <v>1189</v>
      </c>
      <c r="E470">
        <v>3</v>
      </c>
      <c r="F470">
        <v>4.5</v>
      </c>
      <c r="G470">
        <v>352</v>
      </c>
      <c r="H470" t="s">
        <v>76</v>
      </c>
      <c r="J470" t="s">
        <v>698</v>
      </c>
      <c r="M470" t="s">
        <v>79</v>
      </c>
      <c r="N470">
        <v>0</v>
      </c>
      <c r="O470">
        <v>0</v>
      </c>
      <c r="P470">
        <v>100</v>
      </c>
      <c r="Q470">
        <v>120</v>
      </c>
      <c r="R470" t="s">
        <v>184</v>
      </c>
      <c r="T470">
        <v>3</v>
      </c>
      <c r="U470">
        <v>335</v>
      </c>
      <c r="V470">
        <v>1250000</v>
      </c>
      <c r="W470" t="s">
        <v>611</v>
      </c>
      <c r="Z470">
        <v>100</v>
      </c>
      <c r="AA470">
        <v>100</v>
      </c>
      <c r="AB470">
        <v>90</v>
      </c>
      <c r="AC470">
        <v>150</v>
      </c>
      <c r="AD470">
        <v>140</v>
      </c>
      <c r="AE470">
        <v>90</v>
      </c>
      <c r="AF470">
        <v>670</v>
      </c>
      <c r="AG470">
        <v>0</v>
      </c>
      <c r="AH470">
        <v>0</v>
      </c>
      <c r="AI470">
        <v>0</v>
      </c>
      <c r="AJ470">
        <v>3</v>
      </c>
      <c r="AK470">
        <v>0</v>
      </c>
      <c r="AL470">
        <v>0</v>
      </c>
    </row>
    <row r="471" spans="1:38" x14ac:dyDescent="0.25">
      <c r="A471" t="s">
        <v>1190</v>
      </c>
      <c r="B471" t="s">
        <v>1192</v>
      </c>
      <c r="C471" s="1">
        <v>382</v>
      </c>
      <c r="D471" s="1" t="s">
        <v>1191</v>
      </c>
      <c r="E471">
        <v>3</v>
      </c>
      <c r="F471">
        <v>9.8000000000000007</v>
      </c>
      <c r="G471">
        <v>430</v>
      </c>
      <c r="H471" t="s">
        <v>76</v>
      </c>
      <c r="J471" t="s">
        <v>1193</v>
      </c>
      <c r="M471" t="s">
        <v>79</v>
      </c>
      <c r="N471">
        <v>0</v>
      </c>
      <c r="O471">
        <v>0</v>
      </c>
      <c r="P471">
        <v>100</v>
      </c>
      <c r="Q471">
        <v>120</v>
      </c>
      <c r="R471" t="s">
        <v>184</v>
      </c>
      <c r="T471">
        <v>3</v>
      </c>
      <c r="U471">
        <v>347</v>
      </c>
      <c r="V471">
        <v>1250000</v>
      </c>
      <c r="W471" t="s">
        <v>611</v>
      </c>
      <c r="Z471">
        <v>100</v>
      </c>
      <c r="AA471">
        <v>150</v>
      </c>
      <c r="AB471">
        <v>90</v>
      </c>
      <c r="AC471">
        <v>180</v>
      </c>
      <c r="AD471">
        <v>160</v>
      </c>
      <c r="AE471">
        <v>90</v>
      </c>
      <c r="AF471">
        <v>770</v>
      </c>
      <c r="AG471">
        <v>0</v>
      </c>
      <c r="AH471">
        <v>0</v>
      </c>
      <c r="AI471">
        <v>0</v>
      </c>
      <c r="AJ471">
        <v>3</v>
      </c>
      <c r="AK471">
        <v>0</v>
      </c>
      <c r="AL471">
        <v>0</v>
      </c>
    </row>
    <row r="472" spans="1:38" x14ac:dyDescent="0.25">
      <c r="A472" t="s">
        <v>1195</v>
      </c>
      <c r="B472" t="s">
        <v>1195</v>
      </c>
      <c r="C472" s="1">
        <v>383</v>
      </c>
      <c r="D472" s="1" t="s">
        <v>1194</v>
      </c>
      <c r="E472">
        <v>3</v>
      </c>
      <c r="F472">
        <v>3.5</v>
      </c>
      <c r="G472">
        <v>950</v>
      </c>
      <c r="H472" t="s">
        <v>132</v>
      </c>
      <c r="J472" t="s">
        <v>73</v>
      </c>
      <c r="M472" t="s">
        <v>60</v>
      </c>
      <c r="N472">
        <v>0</v>
      </c>
      <c r="O472">
        <v>0</v>
      </c>
      <c r="P472">
        <v>100</v>
      </c>
      <c r="Q472">
        <v>120</v>
      </c>
      <c r="R472" t="s">
        <v>184</v>
      </c>
      <c r="T472">
        <v>3</v>
      </c>
      <c r="U472">
        <v>335</v>
      </c>
      <c r="V472">
        <v>1250000</v>
      </c>
      <c r="W472" t="s">
        <v>611</v>
      </c>
      <c r="Z472">
        <v>100</v>
      </c>
      <c r="AA472">
        <v>150</v>
      </c>
      <c r="AB472">
        <v>140</v>
      </c>
      <c r="AC472">
        <v>100</v>
      </c>
      <c r="AD472">
        <v>90</v>
      </c>
      <c r="AE472">
        <v>90</v>
      </c>
      <c r="AF472">
        <v>670</v>
      </c>
      <c r="AG472">
        <v>0</v>
      </c>
      <c r="AH472">
        <v>3</v>
      </c>
      <c r="AI472">
        <v>0</v>
      </c>
      <c r="AJ472">
        <v>0</v>
      </c>
      <c r="AK472">
        <v>0</v>
      </c>
      <c r="AL472">
        <v>0</v>
      </c>
    </row>
    <row r="473" spans="1:38" x14ac:dyDescent="0.25">
      <c r="A473" t="s">
        <v>1195</v>
      </c>
      <c r="B473" t="s">
        <v>1197</v>
      </c>
      <c r="C473" s="1">
        <v>383</v>
      </c>
      <c r="D473" s="1" t="s">
        <v>1196</v>
      </c>
      <c r="E473">
        <v>3</v>
      </c>
      <c r="F473">
        <v>5</v>
      </c>
      <c r="G473">
        <v>999.7</v>
      </c>
      <c r="H473" t="s">
        <v>132</v>
      </c>
      <c r="I473" t="s">
        <v>57</v>
      </c>
      <c r="J473" t="s">
        <v>1198</v>
      </c>
      <c r="M473" t="s">
        <v>60</v>
      </c>
      <c r="N473">
        <v>0</v>
      </c>
      <c r="O473">
        <v>0</v>
      </c>
      <c r="P473">
        <v>100</v>
      </c>
      <c r="Q473">
        <v>120</v>
      </c>
      <c r="R473" t="s">
        <v>184</v>
      </c>
      <c r="T473">
        <v>3</v>
      </c>
      <c r="U473">
        <v>347</v>
      </c>
      <c r="V473">
        <v>1250000</v>
      </c>
      <c r="W473" t="s">
        <v>611</v>
      </c>
      <c r="Z473">
        <v>100</v>
      </c>
      <c r="AA473">
        <v>180</v>
      </c>
      <c r="AB473">
        <v>160</v>
      </c>
      <c r="AC473">
        <v>150</v>
      </c>
      <c r="AD473">
        <v>90</v>
      </c>
      <c r="AE473">
        <v>90</v>
      </c>
      <c r="AF473">
        <v>770</v>
      </c>
      <c r="AG473">
        <v>0</v>
      </c>
      <c r="AH473">
        <v>3</v>
      </c>
      <c r="AI473">
        <v>0</v>
      </c>
      <c r="AJ473">
        <v>0</v>
      </c>
      <c r="AK473">
        <v>0</v>
      </c>
      <c r="AL473">
        <v>0</v>
      </c>
    </row>
    <row r="474" spans="1:38" x14ac:dyDescent="0.25">
      <c r="A474" t="s">
        <v>1200</v>
      </c>
      <c r="B474" t="s">
        <v>1200</v>
      </c>
      <c r="C474" s="1">
        <v>384</v>
      </c>
      <c r="D474" s="1" t="s">
        <v>1199</v>
      </c>
      <c r="E474">
        <v>3</v>
      </c>
      <c r="F474">
        <v>7</v>
      </c>
      <c r="G474">
        <v>206.5</v>
      </c>
      <c r="H474" t="s">
        <v>61</v>
      </c>
      <c r="I474" t="s">
        <v>66</v>
      </c>
      <c r="J474" t="s">
        <v>1201</v>
      </c>
      <c r="M474" t="s">
        <v>44</v>
      </c>
      <c r="N474">
        <v>0</v>
      </c>
      <c r="O474">
        <v>0</v>
      </c>
      <c r="P474">
        <v>100</v>
      </c>
      <c r="Q474">
        <v>120</v>
      </c>
      <c r="R474" t="s">
        <v>184</v>
      </c>
      <c r="T474">
        <v>45</v>
      </c>
      <c r="U474">
        <v>340</v>
      </c>
      <c r="V474">
        <v>1250000</v>
      </c>
      <c r="W474" t="s">
        <v>611</v>
      </c>
      <c r="Z474">
        <v>105</v>
      </c>
      <c r="AA474">
        <v>150</v>
      </c>
      <c r="AB474">
        <v>90</v>
      </c>
      <c r="AC474">
        <v>150</v>
      </c>
      <c r="AD474">
        <v>90</v>
      </c>
      <c r="AE474">
        <v>95</v>
      </c>
      <c r="AF474">
        <v>680</v>
      </c>
      <c r="AG474">
        <v>0</v>
      </c>
      <c r="AH474">
        <v>2</v>
      </c>
      <c r="AI474">
        <v>0</v>
      </c>
      <c r="AJ474">
        <v>1</v>
      </c>
      <c r="AK474">
        <v>0</v>
      </c>
      <c r="AL474">
        <v>0</v>
      </c>
    </row>
    <row r="475" spans="1:38" x14ac:dyDescent="0.25">
      <c r="A475" t="s">
        <v>1200</v>
      </c>
      <c r="B475" t="s">
        <v>1203</v>
      </c>
      <c r="C475" s="1">
        <v>384</v>
      </c>
      <c r="D475" s="1" t="s">
        <v>1202</v>
      </c>
      <c r="E475">
        <v>3</v>
      </c>
      <c r="F475">
        <v>10.8</v>
      </c>
      <c r="G475">
        <v>392</v>
      </c>
      <c r="H475" t="s">
        <v>61</v>
      </c>
      <c r="I475" t="s">
        <v>66</v>
      </c>
      <c r="J475" t="s">
        <v>1204</v>
      </c>
      <c r="M475" t="s">
        <v>44</v>
      </c>
      <c r="N475">
        <v>0</v>
      </c>
      <c r="O475">
        <v>0</v>
      </c>
      <c r="P475">
        <v>100</v>
      </c>
      <c r="Q475">
        <v>120</v>
      </c>
      <c r="R475" t="s">
        <v>184</v>
      </c>
      <c r="T475">
        <v>45</v>
      </c>
      <c r="U475">
        <v>351</v>
      </c>
      <c r="V475">
        <v>1250000</v>
      </c>
      <c r="W475" t="s">
        <v>611</v>
      </c>
      <c r="X475" t="s">
        <v>54</v>
      </c>
      <c r="Z475">
        <v>105</v>
      </c>
      <c r="AA475">
        <v>180</v>
      </c>
      <c r="AB475">
        <v>100</v>
      </c>
      <c r="AC475">
        <v>180</v>
      </c>
      <c r="AD475">
        <v>100</v>
      </c>
      <c r="AE475">
        <v>115</v>
      </c>
      <c r="AF475">
        <v>780</v>
      </c>
      <c r="AG475">
        <v>0</v>
      </c>
      <c r="AH475">
        <v>2</v>
      </c>
      <c r="AI475">
        <v>0</v>
      </c>
      <c r="AJ475">
        <v>1</v>
      </c>
      <c r="AK475">
        <v>0</v>
      </c>
      <c r="AL475">
        <v>0</v>
      </c>
    </row>
    <row r="476" spans="1:38" x14ac:dyDescent="0.25">
      <c r="A476" t="s">
        <v>1206</v>
      </c>
      <c r="B476" t="s">
        <v>1206</v>
      </c>
      <c r="C476" s="1">
        <v>385</v>
      </c>
      <c r="D476" s="1" t="s">
        <v>1205</v>
      </c>
      <c r="E476">
        <v>3</v>
      </c>
      <c r="F476">
        <v>0.3</v>
      </c>
      <c r="G476">
        <v>1.1000000000000001</v>
      </c>
      <c r="H476" t="s">
        <v>171</v>
      </c>
      <c r="I476" t="s">
        <v>162</v>
      </c>
      <c r="J476" t="s">
        <v>491</v>
      </c>
      <c r="M476" t="s">
        <v>106</v>
      </c>
      <c r="N476">
        <v>0</v>
      </c>
      <c r="O476">
        <v>0</v>
      </c>
      <c r="P476">
        <v>100</v>
      </c>
      <c r="Q476">
        <v>120</v>
      </c>
      <c r="R476" t="s">
        <v>184</v>
      </c>
      <c r="T476">
        <v>3</v>
      </c>
      <c r="U476">
        <v>300</v>
      </c>
      <c r="V476">
        <v>1250000</v>
      </c>
      <c r="W476" t="s">
        <v>618</v>
      </c>
      <c r="Z476">
        <v>100</v>
      </c>
      <c r="AA476">
        <v>100</v>
      </c>
      <c r="AB476">
        <v>100</v>
      </c>
      <c r="AC476">
        <v>100</v>
      </c>
      <c r="AD476">
        <v>100</v>
      </c>
      <c r="AE476">
        <v>100</v>
      </c>
      <c r="AF476">
        <v>600</v>
      </c>
      <c r="AG476">
        <v>3</v>
      </c>
      <c r="AH476">
        <v>0</v>
      </c>
      <c r="AI476">
        <v>0</v>
      </c>
      <c r="AJ476">
        <v>0</v>
      </c>
      <c r="AK476">
        <v>0</v>
      </c>
      <c r="AL476">
        <v>0</v>
      </c>
    </row>
    <row r="477" spans="1:38" x14ac:dyDescent="0.25">
      <c r="A477" t="s">
        <v>1208</v>
      </c>
      <c r="B477" t="s">
        <v>1208</v>
      </c>
      <c r="C477" s="1">
        <v>386</v>
      </c>
      <c r="D477" s="1" t="s">
        <v>1207</v>
      </c>
      <c r="E477">
        <v>3</v>
      </c>
      <c r="F477">
        <v>1.7</v>
      </c>
      <c r="G477">
        <v>60.8</v>
      </c>
      <c r="H477" t="s">
        <v>162</v>
      </c>
      <c r="J477" t="s">
        <v>581</v>
      </c>
      <c r="M477" t="s">
        <v>60</v>
      </c>
      <c r="N477">
        <v>0</v>
      </c>
      <c r="O477">
        <v>0</v>
      </c>
      <c r="P477">
        <v>100</v>
      </c>
      <c r="Q477">
        <v>120</v>
      </c>
      <c r="R477" t="s">
        <v>184</v>
      </c>
      <c r="T477">
        <v>3</v>
      </c>
      <c r="U477">
        <v>300</v>
      </c>
      <c r="V477">
        <v>1250000</v>
      </c>
      <c r="W477" t="s">
        <v>618</v>
      </c>
      <c r="Z477">
        <v>50</v>
      </c>
      <c r="AA477">
        <v>150</v>
      </c>
      <c r="AB477">
        <v>50</v>
      </c>
      <c r="AC477">
        <v>150</v>
      </c>
      <c r="AD477">
        <v>50</v>
      </c>
      <c r="AE477">
        <v>150</v>
      </c>
      <c r="AF477">
        <v>600</v>
      </c>
      <c r="AG477">
        <v>0</v>
      </c>
      <c r="AH477">
        <v>1</v>
      </c>
      <c r="AI477">
        <v>0</v>
      </c>
      <c r="AJ477">
        <v>1</v>
      </c>
      <c r="AK477">
        <v>0</v>
      </c>
      <c r="AL477">
        <v>1</v>
      </c>
    </row>
    <row r="478" spans="1:38" x14ac:dyDescent="0.25">
      <c r="A478" t="s">
        <v>1208</v>
      </c>
      <c r="B478" t="s">
        <v>1210</v>
      </c>
      <c r="C478" s="1">
        <v>386</v>
      </c>
      <c r="D478" s="1" t="s">
        <v>1209</v>
      </c>
      <c r="E478">
        <v>3</v>
      </c>
      <c r="F478">
        <v>1.7</v>
      </c>
      <c r="G478">
        <v>60.8</v>
      </c>
      <c r="H478" t="s">
        <v>162</v>
      </c>
      <c r="J478" t="s">
        <v>581</v>
      </c>
      <c r="M478" t="s">
        <v>60</v>
      </c>
      <c r="N478">
        <v>0</v>
      </c>
      <c r="O478">
        <v>0</v>
      </c>
      <c r="P478">
        <v>100</v>
      </c>
      <c r="Q478">
        <v>120</v>
      </c>
      <c r="R478" t="s">
        <v>184</v>
      </c>
      <c r="T478">
        <v>3</v>
      </c>
      <c r="U478">
        <v>300</v>
      </c>
      <c r="V478">
        <v>1250000</v>
      </c>
      <c r="W478" t="s">
        <v>618</v>
      </c>
      <c r="Z478">
        <v>50</v>
      </c>
      <c r="AA478">
        <v>180</v>
      </c>
      <c r="AB478">
        <v>20</v>
      </c>
      <c r="AC478">
        <v>180</v>
      </c>
      <c r="AD478">
        <v>20</v>
      </c>
      <c r="AE478">
        <v>150</v>
      </c>
      <c r="AF478">
        <v>600</v>
      </c>
      <c r="AG478">
        <v>0</v>
      </c>
      <c r="AH478">
        <v>2</v>
      </c>
      <c r="AI478">
        <v>0</v>
      </c>
      <c r="AJ478">
        <v>1</v>
      </c>
      <c r="AK478">
        <v>0</v>
      </c>
      <c r="AL478">
        <v>0</v>
      </c>
    </row>
    <row r="479" spans="1:38" x14ac:dyDescent="0.25">
      <c r="A479" t="s">
        <v>1208</v>
      </c>
      <c r="B479" t="s">
        <v>1212</v>
      </c>
      <c r="C479" s="1">
        <v>386</v>
      </c>
      <c r="D479" s="1" t="s">
        <v>1211</v>
      </c>
      <c r="E479">
        <v>3</v>
      </c>
      <c r="F479">
        <v>1.7</v>
      </c>
      <c r="G479">
        <v>60.8</v>
      </c>
      <c r="H479" t="s">
        <v>162</v>
      </c>
      <c r="J479" t="s">
        <v>581</v>
      </c>
      <c r="M479" t="s">
        <v>60</v>
      </c>
      <c r="N479">
        <v>0</v>
      </c>
      <c r="O479">
        <v>0</v>
      </c>
      <c r="P479">
        <v>100</v>
      </c>
      <c r="Q479">
        <v>120</v>
      </c>
      <c r="R479" t="s">
        <v>184</v>
      </c>
      <c r="T479">
        <v>3</v>
      </c>
      <c r="U479">
        <v>300</v>
      </c>
      <c r="V479">
        <v>1250000</v>
      </c>
      <c r="W479" t="s">
        <v>618</v>
      </c>
      <c r="Z479">
        <v>50</v>
      </c>
      <c r="AA479">
        <v>70</v>
      </c>
      <c r="AB479">
        <v>160</v>
      </c>
      <c r="AC479">
        <v>70</v>
      </c>
      <c r="AD479">
        <v>160</v>
      </c>
      <c r="AE479">
        <v>90</v>
      </c>
      <c r="AF479">
        <v>600</v>
      </c>
      <c r="AG479">
        <v>0</v>
      </c>
      <c r="AH479">
        <v>0</v>
      </c>
      <c r="AI479">
        <v>2</v>
      </c>
      <c r="AJ479">
        <v>0</v>
      </c>
      <c r="AK479">
        <v>1</v>
      </c>
      <c r="AL479">
        <v>0</v>
      </c>
    </row>
    <row r="480" spans="1:38" x14ac:dyDescent="0.25">
      <c r="A480" t="s">
        <v>1208</v>
      </c>
      <c r="B480" t="s">
        <v>1214</v>
      </c>
      <c r="C480" s="1">
        <v>386</v>
      </c>
      <c r="D480" s="1" t="s">
        <v>1213</v>
      </c>
      <c r="E480">
        <v>3</v>
      </c>
      <c r="F480">
        <v>1.7</v>
      </c>
      <c r="G480">
        <v>60.8</v>
      </c>
      <c r="H480" t="s">
        <v>162</v>
      </c>
      <c r="J480" t="s">
        <v>581</v>
      </c>
      <c r="M480" t="s">
        <v>60</v>
      </c>
      <c r="N480">
        <v>0</v>
      </c>
      <c r="O480">
        <v>0</v>
      </c>
      <c r="P480">
        <v>100</v>
      </c>
      <c r="Q480">
        <v>120</v>
      </c>
      <c r="R480" t="s">
        <v>184</v>
      </c>
      <c r="T480">
        <v>3</v>
      </c>
      <c r="U480">
        <v>300</v>
      </c>
      <c r="V480">
        <v>1250000</v>
      </c>
      <c r="W480" t="s">
        <v>618</v>
      </c>
      <c r="Z480">
        <v>50</v>
      </c>
      <c r="AA480">
        <v>95</v>
      </c>
      <c r="AB480">
        <v>90</v>
      </c>
      <c r="AC480">
        <v>95</v>
      </c>
      <c r="AD480">
        <v>90</v>
      </c>
      <c r="AE480">
        <v>180</v>
      </c>
      <c r="AF480">
        <v>600</v>
      </c>
      <c r="AG480">
        <v>0</v>
      </c>
      <c r="AH480">
        <v>0</v>
      </c>
      <c r="AI480">
        <v>0</v>
      </c>
      <c r="AJ480">
        <v>0</v>
      </c>
      <c r="AK480">
        <v>0</v>
      </c>
      <c r="AL480">
        <v>3</v>
      </c>
    </row>
    <row r="481" spans="1:38" x14ac:dyDescent="0.25">
      <c r="A481" t="s">
        <v>1216</v>
      </c>
      <c r="B481" t="s">
        <v>1216</v>
      </c>
      <c r="C481" s="1">
        <v>387</v>
      </c>
      <c r="D481" s="1" t="s">
        <v>1215</v>
      </c>
      <c r="E481">
        <v>4</v>
      </c>
      <c r="F481">
        <v>0.4</v>
      </c>
      <c r="G481">
        <v>10.199999999999999</v>
      </c>
      <c r="H481" t="s">
        <v>40</v>
      </c>
      <c r="J481" t="s">
        <v>42</v>
      </c>
      <c r="L481" t="s">
        <v>377</v>
      </c>
      <c r="M481" t="s">
        <v>44</v>
      </c>
      <c r="N481">
        <v>87.5</v>
      </c>
      <c r="O481">
        <v>12.5</v>
      </c>
      <c r="P481">
        <v>0</v>
      </c>
      <c r="Q481">
        <v>20</v>
      </c>
      <c r="R481" t="s">
        <v>45</v>
      </c>
      <c r="S481" t="s">
        <v>40</v>
      </c>
      <c r="T481">
        <v>45</v>
      </c>
      <c r="U481">
        <v>64</v>
      </c>
      <c r="V481">
        <v>1059860</v>
      </c>
      <c r="W481" t="s">
        <v>46</v>
      </c>
      <c r="Z481">
        <v>55</v>
      </c>
      <c r="AA481">
        <v>68</v>
      </c>
      <c r="AB481">
        <v>64</v>
      </c>
      <c r="AC481">
        <v>45</v>
      </c>
      <c r="AD481">
        <v>55</v>
      </c>
      <c r="AE481">
        <v>31</v>
      </c>
      <c r="AF481">
        <v>318</v>
      </c>
      <c r="AG481">
        <v>0</v>
      </c>
      <c r="AH481">
        <v>1</v>
      </c>
      <c r="AI481">
        <v>0</v>
      </c>
      <c r="AJ481">
        <v>0</v>
      </c>
      <c r="AK481">
        <v>0</v>
      </c>
      <c r="AL481">
        <v>0</v>
      </c>
    </row>
    <row r="482" spans="1:38" x14ac:dyDescent="0.25">
      <c r="A482" t="s">
        <v>1218</v>
      </c>
      <c r="B482" t="s">
        <v>1218</v>
      </c>
      <c r="C482" s="1">
        <v>388</v>
      </c>
      <c r="D482" s="1" t="s">
        <v>1217</v>
      </c>
      <c r="E482">
        <v>4</v>
      </c>
      <c r="F482">
        <v>1.1000000000000001</v>
      </c>
      <c r="G482">
        <v>97</v>
      </c>
      <c r="H482" t="s">
        <v>40</v>
      </c>
      <c r="J482" t="s">
        <v>42</v>
      </c>
      <c r="L482" t="s">
        <v>377</v>
      </c>
      <c r="M482" t="s">
        <v>44</v>
      </c>
      <c r="N482">
        <v>87.5</v>
      </c>
      <c r="O482">
        <v>12.5</v>
      </c>
      <c r="P482">
        <v>0</v>
      </c>
      <c r="Q482">
        <v>20</v>
      </c>
      <c r="R482" t="s">
        <v>45</v>
      </c>
      <c r="S482" t="s">
        <v>40</v>
      </c>
      <c r="T482">
        <v>45</v>
      </c>
      <c r="U482">
        <v>142</v>
      </c>
      <c r="V482">
        <v>1059860</v>
      </c>
      <c r="W482" t="s">
        <v>46</v>
      </c>
      <c r="Z482">
        <v>75</v>
      </c>
      <c r="AA482">
        <v>89</v>
      </c>
      <c r="AB482">
        <v>85</v>
      </c>
      <c r="AC482">
        <v>55</v>
      </c>
      <c r="AD482">
        <v>65</v>
      </c>
      <c r="AE482">
        <v>36</v>
      </c>
      <c r="AF482">
        <v>405</v>
      </c>
      <c r="AG482">
        <v>0</v>
      </c>
      <c r="AH482">
        <v>1</v>
      </c>
      <c r="AI482">
        <v>1</v>
      </c>
      <c r="AJ482">
        <v>0</v>
      </c>
      <c r="AK482">
        <v>0</v>
      </c>
      <c r="AL482">
        <v>0</v>
      </c>
    </row>
    <row r="483" spans="1:38" x14ac:dyDescent="0.25">
      <c r="A483" t="s">
        <v>1220</v>
      </c>
      <c r="B483" t="s">
        <v>1220</v>
      </c>
      <c r="C483" s="1">
        <v>389</v>
      </c>
      <c r="D483" s="1" t="s">
        <v>1219</v>
      </c>
      <c r="E483">
        <v>4</v>
      </c>
      <c r="F483">
        <v>2.2000000000000002</v>
      </c>
      <c r="G483">
        <v>310</v>
      </c>
      <c r="H483" t="s">
        <v>40</v>
      </c>
      <c r="I483" t="s">
        <v>132</v>
      </c>
      <c r="J483" t="s">
        <v>42</v>
      </c>
      <c r="L483" t="s">
        <v>377</v>
      </c>
      <c r="M483" t="s">
        <v>44</v>
      </c>
      <c r="N483">
        <v>87.5</v>
      </c>
      <c r="O483">
        <v>12.5</v>
      </c>
      <c r="P483">
        <v>0</v>
      </c>
      <c r="Q483">
        <v>20</v>
      </c>
      <c r="R483" t="s">
        <v>45</v>
      </c>
      <c r="S483" t="s">
        <v>40</v>
      </c>
      <c r="T483">
        <v>45</v>
      </c>
      <c r="U483">
        <v>236</v>
      </c>
      <c r="V483">
        <v>1059860</v>
      </c>
      <c r="W483" t="s">
        <v>46</v>
      </c>
      <c r="Z483">
        <v>95</v>
      </c>
      <c r="AA483">
        <v>109</v>
      </c>
      <c r="AB483">
        <v>105</v>
      </c>
      <c r="AC483">
        <v>75</v>
      </c>
      <c r="AD483">
        <v>85</v>
      </c>
      <c r="AE483">
        <v>56</v>
      </c>
      <c r="AF483">
        <v>525</v>
      </c>
      <c r="AG483">
        <v>0</v>
      </c>
      <c r="AH483">
        <v>2</v>
      </c>
      <c r="AI483">
        <v>1</v>
      </c>
      <c r="AJ483">
        <v>0</v>
      </c>
      <c r="AK483">
        <v>0</v>
      </c>
      <c r="AL483">
        <v>0</v>
      </c>
    </row>
    <row r="484" spans="1:38" x14ac:dyDescent="0.25">
      <c r="A484" t="s">
        <v>1222</v>
      </c>
      <c r="B484" t="s">
        <v>1222</v>
      </c>
      <c r="C484" s="1">
        <v>390</v>
      </c>
      <c r="D484" s="1" t="s">
        <v>1221</v>
      </c>
      <c r="E484">
        <v>4</v>
      </c>
      <c r="F484">
        <v>0.5</v>
      </c>
      <c r="G484">
        <v>6.2</v>
      </c>
      <c r="H484" t="s">
        <v>57</v>
      </c>
      <c r="J484" t="s">
        <v>58</v>
      </c>
      <c r="L484" t="s">
        <v>473</v>
      </c>
      <c r="M484" t="s">
        <v>103</v>
      </c>
      <c r="N484">
        <v>87.5</v>
      </c>
      <c r="O484">
        <v>12.5</v>
      </c>
      <c r="P484">
        <v>0</v>
      </c>
      <c r="Q484">
        <v>20</v>
      </c>
      <c r="R484" t="s">
        <v>132</v>
      </c>
      <c r="S484" t="s">
        <v>307</v>
      </c>
      <c r="T484">
        <v>45</v>
      </c>
      <c r="U484">
        <v>62</v>
      </c>
      <c r="V484">
        <v>1059860</v>
      </c>
      <c r="W484" t="s">
        <v>46</v>
      </c>
      <c r="Z484">
        <v>44</v>
      </c>
      <c r="AA484">
        <v>58</v>
      </c>
      <c r="AB484">
        <v>44</v>
      </c>
      <c r="AC484">
        <v>58</v>
      </c>
      <c r="AD484">
        <v>44</v>
      </c>
      <c r="AE484">
        <v>61</v>
      </c>
      <c r="AF484">
        <v>309</v>
      </c>
      <c r="AG484">
        <v>0</v>
      </c>
      <c r="AH484">
        <v>0</v>
      </c>
      <c r="AI484">
        <v>0</v>
      </c>
      <c r="AJ484">
        <v>0</v>
      </c>
      <c r="AK484">
        <v>0</v>
      </c>
      <c r="AL484">
        <v>1</v>
      </c>
    </row>
    <row r="485" spans="1:38" x14ac:dyDescent="0.25">
      <c r="A485" t="s">
        <v>1224</v>
      </c>
      <c r="B485" t="s">
        <v>1224</v>
      </c>
      <c r="C485" s="1">
        <v>391</v>
      </c>
      <c r="D485" s="1" t="s">
        <v>1223</v>
      </c>
      <c r="E485">
        <v>4</v>
      </c>
      <c r="F485">
        <v>0.9</v>
      </c>
      <c r="G485">
        <v>22</v>
      </c>
      <c r="H485" t="s">
        <v>57</v>
      </c>
      <c r="I485" t="s">
        <v>279</v>
      </c>
      <c r="J485" t="s">
        <v>58</v>
      </c>
      <c r="L485" t="s">
        <v>473</v>
      </c>
      <c r="M485" t="s">
        <v>103</v>
      </c>
      <c r="N485">
        <v>87.5</v>
      </c>
      <c r="O485">
        <v>12.5</v>
      </c>
      <c r="P485">
        <v>0</v>
      </c>
      <c r="Q485">
        <v>20</v>
      </c>
      <c r="R485" t="s">
        <v>132</v>
      </c>
      <c r="S485" t="s">
        <v>307</v>
      </c>
      <c r="T485">
        <v>45</v>
      </c>
      <c r="U485">
        <v>142</v>
      </c>
      <c r="V485">
        <v>1059860</v>
      </c>
      <c r="W485" t="s">
        <v>46</v>
      </c>
      <c r="Z485">
        <v>64</v>
      </c>
      <c r="AA485">
        <v>78</v>
      </c>
      <c r="AB485">
        <v>52</v>
      </c>
      <c r="AC485">
        <v>78</v>
      </c>
      <c r="AD485">
        <v>52</v>
      </c>
      <c r="AE485">
        <v>81</v>
      </c>
      <c r="AF485">
        <v>405</v>
      </c>
      <c r="AG485">
        <v>0</v>
      </c>
      <c r="AH485">
        <v>0</v>
      </c>
      <c r="AI485">
        <v>0</v>
      </c>
      <c r="AJ485">
        <v>1</v>
      </c>
      <c r="AK485">
        <v>0</v>
      </c>
      <c r="AL485">
        <v>1</v>
      </c>
    </row>
    <row r="486" spans="1:38" x14ac:dyDescent="0.25">
      <c r="A486" t="s">
        <v>1226</v>
      </c>
      <c r="B486" t="s">
        <v>1226</v>
      </c>
      <c r="C486" s="1">
        <v>392</v>
      </c>
      <c r="D486" s="1" t="s">
        <v>1225</v>
      </c>
      <c r="E486">
        <v>4</v>
      </c>
      <c r="F486">
        <v>1.2</v>
      </c>
      <c r="G486">
        <v>55</v>
      </c>
      <c r="H486" t="s">
        <v>57</v>
      </c>
      <c r="I486" t="s">
        <v>279</v>
      </c>
      <c r="J486" t="s">
        <v>58</v>
      </c>
      <c r="L486" t="s">
        <v>473</v>
      </c>
      <c r="M486" t="s">
        <v>103</v>
      </c>
      <c r="N486">
        <v>87.5</v>
      </c>
      <c r="O486">
        <v>12.5</v>
      </c>
      <c r="P486">
        <v>0</v>
      </c>
      <c r="Q486">
        <v>20</v>
      </c>
      <c r="R486" t="s">
        <v>132</v>
      </c>
      <c r="S486" t="s">
        <v>307</v>
      </c>
      <c r="T486">
        <v>45</v>
      </c>
      <c r="U486">
        <v>240</v>
      </c>
      <c r="V486">
        <v>1059860</v>
      </c>
      <c r="W486" t="s">
        <v>46</v>
      </c>
      <c r="Z486">
        <v>76</v>
      </c>
      <c r="AA486">
        <v>104</v>
      </c>
      <c r="AB486">
        <v>71</v>
      </c>
      <c r="AC486">
        <v>104</v>
      </c>
      <c r="AD486">
        <v>71</v>
      </c>
      <c r="AE486">
        <v>108</v>
      </c>
      <c r="AF486">
        <v>534</v>
      </c>
      <c r="AG486">
        <v>0</v>
      </c>
      <c r="AH486">
        <v>1</v>
      </c>
      <c r="AI486">
        <v>0</v>
      </c>
      <c r="AJ486">
        <v>1</v>
      </c>
      <c r="AK486">
        <v>0</v>
      </c>
      <c r="AL486">
        <v>1</v>
      </c>
    </row>
    <row r="487" spans="1:38" x14ac:dyDescent="0.25">
      <c r="A487" t="s">
        <v>1228</v>
      </c>
      <c r="B487" t="s">
        <v>1228</v>
      </c>
      <c r="C487" s="1">
        <v>393</v>
      </c>
      <c r="D487" s="1" t="s">
        <v>1227</v>
      </c>
      <c r="E487">
        <v>4</v>
      </c>
      <c r="F487">
        <v>0.4</v>
      </c>
      <c r="G487">
        <v>5.2</v>
      </c>
      <c r="H487" t="s">
        <v>76</v>
      </c>
      <c r="J487" t="s">
        <v>77</v>
      </c>
      <c r="L487" t="s">
        <v>282</v>
      </c>
      <c r="M487" t="s">
        <v>79</v>
      </c>
      <c r="N487">
        <v>87.5</v>
      </c>
      <c r="O487">
        <v>12.5</v>
      </c>
      <c r="P487">
        <v>0</v>
      </c>
      <c r="Q487">
        <v>20</v>
      </c>
      <c r="R487" t="s">
        <v>80</v>
      </c>
      <c r="S487" t="s">
        <v>132</v>
      </c>
      <c r="T487">
        <v>45</v>
      </c>
      <c r="U487">
        <v>63</v>
      </c>
      <c r="V487">
        <v>1059860</v>
      </c>
      <c r="W487" t="s">
        <v>46</v>
      </c>
      <c r="Z487">
        <v>53</v>
      </c>
      <c r="AA487">
        <v>51</v>
      </c>
      <c r="AB487">
        <v>53</v>
      </c>
      <c r="AC487">
        <v>61</v>
      </c>
      <c r="AD487">
        <v>56</v>
      </c>
      <c r="AE487">
        <v>40</v>
      </c>
      <c r="AF487">
        <v>314</v>
      </c>
      <c r="AG487">
        <v>0</v>
      </c>
      <c r="AH487">
        <v>0</v>
      </c>
      <c r="AI487">
        <v>0</v>
      </c>
      <c r="AJ487">
        <v>1</v>
      </c>
      <c r="AK487">
        <v>0</v>
      </c>
      <c r="AL487">
        <v>0</v>
      </c>
    </row>
    <row r="488" spans="1:38" x14ac:dyDescent="0.25">
      <c r="A488" t="s">
        <v>1230</v>
      </c>
      <c r="B488" t="s">
        <v>1230</v>
      </c>
      <c r="C488" s="1">
        <v>394</v>
      </c>
      <c r="D488" s="1" t="s">
        <v>1229</v>
      </c>
      <c r="E488">
        <v>4</v>
      </c>
      <c r="F488">
        <v>0.8</v>
      </c>
      <c r="G488">
        <v>23</v>
      </c>
      <c r="H488" t="s">
        <v>76</v>
      </c>
      <c r="J488" t="s">
        <v>77</v>
      </c>
      <c r="L488" t="s">
        <v>282</v>
      </c>
      <c r="M488" t="s">
        <v>79</v>
      </c>
      <c r="N488">
        <v>87.5</v>
      </c>
      <c r="O488">
        <v>12.5</v>
      </c>
      <c r="P488">
        <v>0</v>
      </c>
      <c r="Q488">
        <v>20</v>
      </c>
      <c r="R488" t="s">
        <v>80</v>
      </c>
      <c r="S488" t="s">
        <v>132</v>
      </c>
      <c r="T488">
        <v>45</v>
      </c>
      <c r="U488">
        <v>142</v>
      </c>
      <c r="V488">
        <v>1059860</v>
      </c>
      <c r="W488" t="s">
        <v>46</v>
      </c>
      <c r="Z488">
        <v>64</v>
      </c>
      <c r="AA488">
        <v>66</v>
      </c>
      <c r="AB488">
        <v>68</v>
      </c>
      <c r="AC488">
        <v>81</v>
      </c>
      <c r="AD488">
        <v>76</v>
      </c>
      <c r="AE488">
        <v>50</v>
      </c>
      <c r="AF488">
        <v>405</v>
      </c>
      <c r="AG488">
        <v>0</v>
      </c>
      <c r="AH488">
        <v>0</v>
      </c>
      <c r="AI488">
        <v>0</v>
      </c>
      <c r="AJ488">
        <v>2</v>
      </c>
      <c r="AK488">
        <v>0</v>
      </c>
      <c r="AL488">
        <v>0</v>
      </c>
    </row>
    <row r="489" spans="1:38" x14ac:dyDescent="0.25">
      <c r="A489" t="s">
        <v>1232</v>
      </c>
      <c r="B489" t="s">
        <v>1232</v>
      </c>
      <c r="C489" s="1">
        <v>395</v>
      </c>
      <c r="D489" s="1" t="s">
        <v>1231</v>
      </c>
      <c r="E489">
        <v>4</v>
      </c>
      <c r="F489">
        <v>1.7</v>
      </c>
      <c r="G489">
        <v>84.5</v>
      </c>
      <c r="H489" t="s">
        <v>76</v>
      </c>
      <c r="I489" t="s">
        <v>171</v>
      </c>
      <c r="J489" t="s">
        <v>77</v>
      </c>
      <c r="L489" t="s">
        <v>282</v>
      </c>
      <c r="M489" t="s">
        <v>79</v>
      </c>
      <c r="N489">
        <v>87.5</v>
      </c>
      <c r="O489">
        <v>12.5</v>
      </c>
      <c r="P489">
        <v>0</v>
      </c>
      <c r="Q489">
        <v>20</v>
      </c>
      <c r="R489" t="s">
        <v>80</v>
      </c>
      <c r="S489" t="s">
        <v>132</v>
      </c>
      <c r="T489">
        <v>45</v>
      </c>
      <c r="U489">
        <v>239</v>
      </c>
      <c r="V489">
        <v>1059860</v>
      </c>
      <c r="W489" t="s">
        <v>46</v>
      </c>
      <c r="Z489">
        <v>84</v>
      </c>
      <c r="AA489">
        <v>86</v>
      </c>
      <c r="AB489">
        <v>88</v>
      </c>
      <c r="AC489">
        <v>111</v>
      </c>
      <c r="AD489">
        <v>101</v>
      </c>
      <c r="AE489">
        <v>60</v>
      </c>
      <c r="AF489">
        <v>530</v>
      </c>
      <c r="AG489">
        <v>0</v>
      </c>
      <c r="AH489">
        <v>0</v>
      </c>
      <c r="AI489">
        <v>0</v>
      </c>
      <c r="AJ489">
        <v>3</v>
      </c>
      <c r="AK489">
        <v>0</v>
      </c>
      <c r="AL489">
        <v>0</v>
      </c>
    </row>
    <row r="490" spans="1:38" x14ac:dyDescent="0.25">
      <c r="A490" t="s">
        <v>1234</v>
      </c>
      <c r="B490" t="s">
        <v>1234</v>
      </c>
      <c r="C490" s="1">
        <v>396</v>
      </c>
      <c r="D490" s="1" t="s">
        <v>1233</v>
      </c>
      <c r="E490">
        <v>4</v>
      </c>
      <c r="F490">
        <v>0.3</v>
      </c>
      <c r="G490">
        <v>2</v>
      </c>
      <c r="H490" t="s">
        <v>116</v>
      </c>
      <c r="I490" t="s">
        <v>66</v>
      </c>
      <c r="J490" t="s">
        <v>117</v>
      </c>
      <c r="L490" t="s">
        <v>469</v>
      </c>
      <c r="M490" t="s">
        <v>103</v>
      </c>
      <c r="N490">
        <v>50</v>
      </c>
      <c r="O490">
        <v>50</v>
      </c>
      <c r="P490">
        <v>0</v>
      </c>
      <c r="Q490">
        <v>15</v>
      </c>
      <c r="R490" t="s">
        <v>66</v>
      </c>
      <c r="T490">
        <v>255</v>
      </c>
      <c r="U490">
        <v>49</v>
      </c>
      <c r="V490">
        <v>1059860</v>
      </c>
      <c r="W490" t="s">
        <v>46</v>
      </c>
      <c r="Z490">
        <v>40</v>
      </c>
      <c r="AA490">
        <v>55</v>
      </c>
      <c r="AB490">
        <v>30</v>
      </c>
      <c r="AC490">
        <v>30</v>
      </c>
      <c r="AD490">
        <v>30</v>
      </c>
      <c r="AE490">
        <v>60</v>
      </c>
      <c r="AF490">
        <v>245</v>
      </c>
      <c r="AG490">
        <v>0</v>
      </c>
      <c r="AH490">
        <v>0</v>
      </c>
      <c r="AI490">
        <v>0</v>
      </c>
      <c r="AJ490">
        <v>0</v>
      </c>
      <c r="AK490">
        <v>0</v>
      </c>
      <c r="AL490">
        <v>1</v>
      </c>
    </row>
    <row r="491" spans="1:38" x14ac:dyDescent="0.25">
      <c r="A491" t="s">
        <v>1236</v>
      </c>
      <c r="B491" t="s">
        <v>1236</v>
      </c>
      <c r="C491" s="1">
        <v>397</v>
      </c>
      <c r="D491" s="1" t="s">
        <v>1235</v>
      </c>
      <c r="E491">
        <v>4</v>
      </c>
      <c r="F491">
        <v>0.6</v>
      </c>
      <c r="G491">
        <v>15.5</v>
      </c>
      <c r="H491" t="s">
        <v>116</v>
      </c>
      <c r="I491" t="s">
        <v>66</v>
      </c>
      <c r="J491" t="s">
        <v>148</v>
      </c>
      <c r="L491" t="s">
        <v>469</v>
      </c>
      <c r="M491" t="s">
        <v>103</v>
      </c>
      <c r="N491">
        <v>50</v>
      </c>
      <c r="O491">
        <v>50</v>
      </c>
      <c r="P491">
        <v>0</v>
      </c>
      <c r="Q491">
        <v>15</v>
      </c>
      <c r="R491" t="s">
        <v>66</v>
      </c>
      <c r="T491">
        <v>120</v>
      </c>
      <c r="U491">
        <v>119</v>
      </c>
      <c r="V491">
        <v>1059860</v>
      </c>
      <c r="W491" t="s">
        <v>46</v>
      </c>
      <c r="Z491">
        <v>55</v>
      </c>
      <c r="AA491">
        <v>75</v>
      </c>
      <c r="AB491">
        <v>50</v>
      </c>
      <c r="AC491">
        <v>40</v>
      </c>
      <c r="AD491">
        <v>40</v>
      </c>
      <c r="AE491">
        <v>80</v>
      </c>
      <c r="AF491">
        <v>340</v>
      </c>
      <c r="AG491">
        <v>0</v>
      </c>
      <c r="AH491">
        <v>0</v>
      </c>
      <c r="AI491">
        <v>0</v>
      </c>
      <c r="AJ491">
        <v>0</v>
      </c>
      <c r="AK491">
        <v>0</v>
      </c>
      <c r="AL491">
        <v>2</v>
      </c>
    </row>
    <row r="492" spans="1:38" x14ac:dyDescent="0.25">
      <c r="A492" t="s">
        <v>1238</v>
      </c>
      <c r="B492" t="s">
        <v>1238</v>
      </c>
      <c r="C492" s="1">
        <v>398</v>
      </c>
      <c r="D492" s="1" t="s">
        <v>1237</v>
      </c>
      <c r="E492">
        <v>4</v>
      </c>
      <c r="F492">
        <v>1.2</v>
      </c>
      <c r="G492">
        <v>24.9</v>
      </c>
      <c r="H492" t="s">
        <v>116</v>
      </c>
      <c r="I492" t="s">
        <v>66</v>
      </c>
      <c r="J492" t="s">
        <v>148</v>
      </c>
      <c r="L492" t="s">
        <v>469</v>
      </c>
      <c r="M492" t="s">
        <v>103</v>
      </c>
      <c r="N492">
        <v>50</v>
      </c>
      <c r="O492">
        <v>50</v>
      </c>
      <c r="P492">
        <v>0</v>
      </c>
      <c r="Q492">
        <v>15</v>
      </c>
      <c r="R492" t="s">
        <v>66</v>
      </c>
      <c r="T492">
        <v>45</v>
      </c>
      <c r="U492">
        <v>243</v>
      </c>
      <c r="V492">
        <v>1059860</v>
      </c>
      <c r="W492" t="s">
        <v>46</v>
      </c>
      <c r="Z492">
        <v>85</v>
      </c>
      <c r="AA492">
        <v>120</v>
      </c>
      <c r="AB492">
        <v>70</v>
      </c>
      <c r="AC492">
        <v>50</v>
      </c>
      <c r="AD492">
        <v>60</v>
      </c>
      <c r="AE492">
        <v>100</v>
      </c>
      <c r="AF492">
        <v>485</v>
      </c>
      <c r="AG492">
        <v>0</v>
      </c>
      <c r="AH492">
        <v>3</v>
      </c>
      <c r="AI492">
        <v>0</v>
      </c>
      <c r="AJ492">
        <v>0</v>
      </c>
      <c r="AK492">
        <v>0</v>
      </c>
      <c r="AL492">
        <v>0</v>
      </c>
    </row>
    <row r="493" spans="1:38" x14ac:dyDescent="0.25">
      <c r="A493" t="s">
        <v>1240</v>
      </c>
      <c r="B493" t="s">
        <v>1240</v>
      </c>
      <c r="C493" s="1">
        <v>399</v>
      </c>
      <c r="D493" s="1" t="s">
        <v>1239</v>
      </c>
      <c r="E493">
        <v>4</v>
      </c>
      <c r="F493">
        <v>0.5</v>
      </c>
      <c r="G493">
        <v>20</v>
      </c>
      <c r="H493" t="s">
        <v>116</v>
      </c>
      <c r="J493" t="s">
        <v>1038</v>
      </c>
      <c r="K493" t="s">
        <v>202</v>
      </c>
      <c r="L493" t="s">
        <v>798</v>
      </c>
      <c r="M493" t="s">
        <v>103</v>
      </c>
      <c r="N493">
        <v>50</v>
      </c>
      <c r="O493">
        <v>50</v>
      </c>
      <c r="P493">
        <v>0</v>
      </c>
      <c r="Q493">
        <v>15</v>
      </c>
      <c r="R493" t="s">
        <v>80</v>
      </c>
      <c r="S493" t="s">
        <v>132</v>
      </c>
      <c r="T493">
        <v>255</v>
      </c>
      <c r="U493">
        <v>50</v>
      </c>
      <c r="V493">
        <v>1000000</v>
      </c>
      <c r="W493" t="s">
        <v>46</v>
      </c>
      <c r="Z493">
        <v>59</v>
      </c>
      <c r="AA493">
        <v>45</v>
      </c>
      <c r="AB493">
        <v>40</v>
      </c>
      <c r="AC493">
        <v>35</v>
      </c>
      <c r="AD493">
        <v>40</v>
      </c>
      <c r="AE493">
        <v>31</v>
      </c>
      <c r="AF493">
        <v>250</v>
      </c>
      <c r="AG493">
        <v>1</v>
      </c>
      <c r="AH493">
        <v>0</v>
      </c>
      <c r="AI493">
        <v>0</v>
      </c>
      <c r="AJ493">
        <v>0</v>
      </c>
      <c r="AK493">
        <v>0</v>
      </c>
      <c r="AL493">
        <v>0</v>
      </c>
    </row>
    <row r="494" spans="1:38" x14ac:dyDescent="0.25">
      <c r="A494" t="s">
        <v>1242</v>
      </c>
      <c r="B494" t="s">
        <v>1242</v>
      </c>
      <c r="C494" s="1">
        <v>400</v>
      </c>
      <c r="D494" s="1" t="s">
        <v>1241</v>
      </c>
      <c r="E494">
        <v>4</v>
      </c>
      <c r="F494">
        <v>1</v>
      </c>
      <c r="G494">
        <v>31.5</v>
      </c>
      <c r="H494" t="s">
        <v>116</v>
      </c>
      <c r="I494" t="s">
        <v>76</v>
      </c>
      <c r="J494" t="s">
        <v>1038</v>
      </c>
      <c r="K494" t="s">
        <v>202</v>
      </c>
      <c r="L494" t="s">
        <v>798</v>
      </c>
      <c r="M494" t="s">
        <v>103</v>
      </c>
      <c r="N494">
        <v>50</v>
      </c>
      <c r="O494">
        <v>50</v>
      </c>
      <c r="P494">
        <v>0</v>
      </c>
      <c r="Q494">
        <v>15</v>
      </c>
      <c r="R494" t="s">
        <v>80</v>
      </c>
      <c r="S494" t="s">
        <v>132</v>
      </c>
      <c r="T494">
        <v>127</v>
      </c>
      <c r="U494">
        <v>144</v>
      </c>
      <c r="V494">
        <v>1000000</v>
      </c>
      <c r="W494" t="s">
        <v>46</v>
      </c>
      <c r="Z494">
        <v>79</v>
      </c>
      <c r="AA494">
        <v>85</v>
      </c>
      <c r="AB494">
        <v>60</v>
      </c>
      <c r="AC494">
        <v>55</v>
      </c>
      <c r="AD494">
        <v>60</v>
      </c>
      <c r="AE494">
        <v>71</v>
      </c>
      <c r="AF494">
        <v>410</v>
      </c>
      <c r="AG494">
        <v>0</v>
      </c>
      <c r="AH494">
        <v>2</v>
      </c>
      <c r="AI494">
        <v>0</v>
      </c>
      <c r="AJ494">
        <v>0</v>
      </c>
      <c r="AK494">
        <v>0</v>
      </c>
      <c r="AL494">
        <v>0</v>
      </c>
    </row>
    <row r="495" spans="1:38" x14ac:dyDescent="0.25">
      <c r="A495" t="s">
        <v>1244</v>
      </c>
      <c r="B495" t="s">
        <v>1244</v>
      </c>
      <c r="C495" s="1">
        <v>401</v>
      </c>
      <c r="D495" s="1" t="s">
        <v>1243</v>
      </c>
      <c r="E495">
        <v>4</v>
      </c>
      <c r="F495">
        <v>0.3</v>
      </c>
      <c r="G495">
        <v>2.2000000000000002</v>
      </c>
      <c r="H495" t="s">
        <v>90</v>
      </c>
      <c r="J495" t="s">
        <v>95</v>
      </c>
      <c r="L495" t="s">
        <v>92</v>
      </c>
      <c r="M495" t="s">
        <v>60</v>
      </c>
      <c r="N495">
        <v>50</v>
      </c>
      <c r="O495">
        <v>50</v>
      </c>
      <c r="P495">
        <v>0</v>
      </c>
      <c r="Q495">
        <v>15</v>
      </c>
      <c r="R495" t="s">
        <v>90</v>
      </c>
      <c r="T495">
        <v>255</v>
      </c>
      <c r="U495">
        <v>39</v>
      </c>
      <c r="V495">
        <v>1059860</v>
      </c>
      <c r="W495" t="s">
        <v>46</v>
      </c>
      <c r="Z495">
        <v>37</v>
      </c>
      <c r="AA495">
        <v>25</v>
      </c>
      <c r="AB495">
        <v>41</v>
      </c>
      <c r="AC495">
        <v>25</v>
      </c>
      <c r="AD495">
        <v>41</v>
      </c>
      <c r="AE495">
        <v>25</v>
      </c>
      <c r="AF495">
        <v>194</v>
      </c>
      <c r="AG495">
        <v>0</v>
      </c>
      <c r="AH495">
        <v>0</v>
      </c>
      <c r="AI495">
        <v>1</v>
      </c>
      <c r="AJ495">
        <v>0</v>
      </c>
      <c r="AK495">
        <v>0</v>
      </c>
      <c r="AL495">
        <v>0</v>
      </c>
    </row>
    <row r="496" spans="1:38" x14ac:dyDescent="0.25">
      <c r="A496" t="s">
        <v>1246</v>
      </c>
      <c r="B496" t="s">
        <v>1246</v>
      </c>
      <c r="C496" s="1">
        <v>402</v>
      </c>
      <c r="D496" s="1" t="s">
        <v>1245</v>
      </c>
      <c r="E496">
        <v>4</v>
      </c>
      <c r="F496">
        <v>1</v>
      </c>
      <c r="G496">
        <v>25.5</v>
      </c>
      <c r="H496" t="s">
        <v>90</v>
      </c>
      <c r="J496" t="s">
        <v>109</v>
      </c>
      <c r="L496" t="s">
        <v>258</v>
      </c>
      <c r="M496" t="s">
        <v>60</v>
      </c>
      <c r="N496">
        <v>50</v>
      </c>
      <c r="O496">
        <v>50</v>
      </c>
      <c r="P496">
        <v>0</v>
      </c>
      <c r="Q496">
        <v>15</v>
      </c>
      <c r="R496" t="s">
        <v>90</v>
      </c>
      <c r="T496">
        <v>45</v>
      </c>
      <c r="U496">
        <v>134</v>
      </c>
      <c r="V496">
        <v>1059860</v>
      </c>
      <c r="W496" t="s">
        <v>46</v>
      </c>
      <c r="Z496">
        <v>77</v>
      </c>
      <c r="AA496">
        <v>85</v>
      </c>
      <c r="AB496">
        <v>51</v>
      </c>
      <c r="AC496">
        <v>55</v>
      </c>
      <c r="AD496">
        <v>51</v>
      </c>
      <c r="AE496">
        <v>65</v>
      </c>
      <c r="AF496">
        <v>384</v>
      </c>
      <c r="AG496">
        <v>0</v>
      </c>
      <c r="AH496">
        <v>2</v>
      </c>
      <c r="AI496">
        <v>0</v>
      </c>
      <c r="AJ496">
        <v>0</v>
      </c>
      <c r="AK496">
        <v>0</v>
      </c>
      <c r="AL496">
        <v>0</v>
      </c>
    </row>
    <row r="497" spans="1:38" x14ac:dyDescent="0.25">
      <c r="A497" t="s">
        <v>1248</v>
      </c>
      <c r="B497" t="s">
        <v>1248</v>
      </c>
      <c r="C497" s="1">
        <v>403</v>
      </c>
      <c r="D497" s="1" t="s">
        <v>1247</v>
      </c>
      <c r="E497">
        <v>4</v>
      </c>
      <c r="F497">
        <v>0.5</v>
      </c>
      <c r="G497">
        <v>9.5</v>
      </c>
      <c r="H497" t="s">
        <v>154</v>
      </c>
      <c r="J497" t="s">
        <v>181</v>
      </c>
      <c r="K497" t="s">
        <v>148</v>
      </c>
      <c r="L497" t="s">
        <v>129</v>
      </c>
      <c r="M497" t="s">
        <v>79</v>
      </c>
      <c r="N497">
        <v>50</v>
      </c>
      <c r="O497">
        <v>50</v>
      </c>
      <c r="P497">
        <v>0</v>
      </c>
      <c r="Q497">
        <v>20</v>
      </c>
      <c r="R497" t="s">
        <v>132</v>
      </c>
      <c r="T497">
        <v>235</v>
      </c>
      <c r="U497">
        <v>53</v>
      </c>
      <c r="V497">
        <v>1059860</v>
      </c>
      <c r="W497" t="s">
        <v>46</v>
      </c>
      <c r="Z497">
        <v>45</v>
      </c>
      <c r="AA497">
        <v>65</v>
      </c>
      <c r="AB497">
        <v>34</v>
      </c>
      <c r="AC497">
        <v>40</v>
      </c>
      <c r="AD497">
        <v>34</v>
      </c>
      <c r="AE497">
        <v>45</v>
      </c>
      <c r="AF497">
        <v>263</v>
      </c>
      <c r="AG497">
        <v>0</v>
      </c>
      <c r="AH497">
        <v>1</v>
      </c>
      <c r="AI497">
        <v>0</v>
      </c>
      <c r="AJ497">
        <v>0</v>
      </c>
      <c r="AK497">
        <v>0</v>
      </c>
      <c r="AL497">
        <v>0</v>
      </c>
    </row>
    <row r="498" spans="1:38" x14ac:dyDescent="0.25">
      <c r="A498" t="s">
        <v>1250</v>
      </c>
      <c r="B498" t="s">
        <v>1250</v>
      </c>
      <c r="C498" s="1">
        <v>404</v>
      </c>
      <c r="D498" s="1" t="s">
        <v>1249</v>
      </c>
      <c r="E498">
        <v>4</v>
      </c>
      <c r="F498">
        <v>0.9</v>
      </c>
      <c r="G498">
        <v>30.5</v>
      </c>
      <c r="H498" t="s">
        <v>154</v>
      </c>
      <c r="J498" t="s">
        <v>181</v>
      </c>
      <c r="K498" t="s">
        <v>148</v>
      </c>
      <c r="L498" t="s">
        <v>129</v>
      </c>
      <c r="M498" t="s">
        <v>79</v>
      </c>
      <c r="N498">
        <v>50</v>
      </c>
      <c r="O498">
        <v>50</v>
      </c>
      <c r="P498">
        <v>0</v>
      </c>
      <c r="Q498">
        <v>20</v>
      </c>
      <c r="R498" t="s">
        <v>132</v>
      </c>
      <c r="T498">
        <v>120</v>
      </c>
      <c r="U498">
        <v>127</v>
      </c>
      <c r="V498">
        <v>1059860</v>
      </c>
      <c r="W498" t="s">
        <v>46</v>
      </c>
      <c r="Z498">
        <v>60</v>
      </c>
      <c r="AA498">
        <v>85</v>
      </c>
      <c r="AB498">
        <v>49</v>
      </c>
      <c r="AC498">
        <v>60</v>
      </c>
      <c r="AD498">
        <v>49</v>
      </c>
      <c r="AE498">
        <v>60</v>
      </c>
      <c r="AF498">
        <v>363</v>
      </c>
      <c r="AG498">
        <v>0</v>
      </c>
      <c r="AH498">
        <v>2</v>
      </c>
      <c r="AI498">
        <v>0</v>
      </c>
      <c r="AJ498">
        <v>0</v>
      </c>
      <c r="AK498">
        <v>0</v>
      </c>
      <c r="AL498">
        <v>0</v>
      </c>
    </row>
    <row r="499" spans="1:38" x14ac:dyDescent="0.25">
      <c r="A499" t="s">
        <v>1252</v>
      </c>
      <c r="B499" t="s">
        <v>1252</v>
      </c>
      <c r="C499" s="1">
        <v>405</v>
      </c>
      <c r="D499" s="1" t="s">
        <v>1251</v>
      </c>
      <c r="E499">
        <v>4</v>
      </c>
      <c r="F499">
        <v>1.4</v>
      </c>
      <c r="G499">
        <v>42</v>
      </c>
      <c r="H499" t="s">
        <v>154</v>
      </c>
      <c r="J499" t="s">
        <v>181</v>
      </c>
      <c r="K499" t="s">
        <v>148</v>
      </c>
      <c r="L499" t="s">
        <v>129</v>
      </c>
      <c r="M499" t="s">
        <v>79</v>
      </c>
      <c r="N499">
        <v>50</v>
      </c>
      <c r="O499">
        <v>50</v>
      </c>
      <c r="P499">
        <v>0</v>
      </c>
      <c r="Q499">
        <v>20</v>
      </c>
      <c r="R499" t="s">
        <v>132</v>
      </c>
      <c r="T499">
        <v>45</v>
      </c>
      <c r="U499">
        <v>262</v>
      </c>
      <c r="V499">
        <v>1059860</v>
      </c>
      <c r="W499" t="s">
        <v>46</v>
      </c>
      <c r="Z499">
        <v>80</v>
      </c>
      <c r="AA499">
        <v>120</v>
      </c>
      <c r="AB499">
        <v>79</v>
      </c>
      <c r="AC499">
        <v>95</v>
      </c>
      <c r="AD499">
        <v>79</v>
      </c>
      <c r="AE499">
        <v>70</v>
      </c>
      <c r="AF499">
        <v>523</v>
      </c>
      <c r="AG499">
        <v>0</v>
      </c>
      <c r="AH499">
        <v>3</v>
      </c>
      <c r="AI499">
        <v>0</v>
      </c>
      <c r="AJ499">
        <v>0</v>
      </c>
      <c r="AK499">
        <v>0</v>
      </c>
      <c r="AL499">
        <v>0</v>
      </c>
    </row>
    <row r="500" spans="1:38" x14ac:dyDescent="0.25">
      <c r="A500" t="s">
        <v>1254</v>
      </c>
      <c r="B500" t="s">
        <v>1254</v>
      </c>
      <c r="C500" s="1">
        <v>406</v>
      </c>
      <c r="D500" s="1" t="s">
        <v>1253</v>
      </c>
      <c r="E500">
        <v>4</v>
      </c>
      <c r="F500">
        <v>0.2</v>
      </c>
      <c r="G500">
        <v>1.2</v>
      </c>
      <c r="H500" t="s">
        <v>40</v>
      </c>
      <c r="I500" t="s">
        <v>41</v>
      </c>
      <c r="J500" t="s">
        <v>490</v>
      </c>
      <c r="K500" t="s">
        <v>180</v>
      </c>
      <c r="L500" t="s">
        <v>495</v>
      </c>
      <c r="M500" t="s">
        <v>44</v>
      </c>
      <c r="N500">
        <v>50</v>
      </c>
      <c r="O500">
        <v>50</v>
      </c>
      <c r="P500">
        <v>0</v>
      </c>
      <c r="Q500">
        <v>20</v>
      </c>
      <c r="R500" t="s">
        <v>184</v>
      </c>
      <c r="T500">
        <v>255</v>
      </c>
      <c r="U500">
        <v>56</v>
      </c>
      <c r="V500">
        <v>1059860</v>
      </c>
      <c r="W500" t="s">
        <v>46</v>
      </c>
      <c r="Z500">
        <v>40</v>
      </c>
      <c r="AA500">
        <v>30</v>
      </c>
      <c r="AB500">
        <v>35</v>
      </c>
      <c r="AC500">
        <v>50</v>
      </c>
      <c r="AD500">
        <v>70</v>
      </c>
      <c r="AE500">
        <v>55</v>
      </c>
      <c r="AF500">
        <v>280</v>
      </c>
      <c r="AG500">
        <v>0</v>
      </c>
      <c r="AH500">
        <v>0</v>
      </c>
      <c r="AI500">
        <v>0</v>
      </c>
      <c r="AJ500">
        <v>1</v>
      </c>
      <c r="AK500">
        <v>0</v>
      </c>
      <c r="AL500">
        <v>0</v>
      </c>
    </row>
    <row r="501" spans="1:38" x14ac:dyDescent="0.25">
      <c r="A501" t="s">
        <v>1256</v>
      </c>
      <c r="B501" t="s">
        <v>1256</v>
      </c>
      <c r="C501" s="1">
        <v>407</v>
      </c>
      <c r="D501" s="1" t="s">
        <v>1255</v>
      </c>
      <c r="E501">
        <v>4</v>
      </c>
      <c r="F501">
        <v>0.9</v>
      </c>
      <c r="G501">
        <v>14.5</v>
      </c>
      <c r="H501" t="s">
        <v>40</v>
      </c>
      <c r="I501" t="s">
        <v>41</v>
      </c>
      <c r="J501" t="s">
        <v>490</v>
      </c>
      <c r="K501" t="s">
        <v>180</v>
      </c>
      <c r="L501" t="s">
        <v>258</v>
      </c>
      <c r="M501" t="s">
        <v>44</v>
      </c>
      <c r="N501">
        <v>50</v>
      </c>
      <c r="O501">
        <v>50</v>
      </c>
      <c r="P501">
        <v>0</v>
      </c>
      <c r="Q501">
        <v>20</v>
      </c>
      <c r="R501" t="s">
        <v>157</v>
      </c>
      <c r="S501" t="s">
        <v>40</v>
      </c>
      <c r="T501">
        <v>75</v>
      </c>
      <c r="U501">
        <v>258</v>
      </c>
      <c r="V501">
        <v>1059860</v>
      </c>
      <c r="W501" t="s">
        <v>46</v>
      </c>
      <c r="Z501">
        <v>60</v>
      </c>
      <c r="AA501">
        <v>70</v>
      </c>
      <c r="AB501">
        <v>65</v>
      </c>
      <c r="AC501">
        <v>125</v>
      </c>
      <c r="AD501">
        <v>105</v>
      </c>
      <c r="AE501">
        <v>90</v>
      </c>
      <c r="AF501">
        <v>515</v>
      </c>
      <c r="AG501">
        <v>0</v>
      </c>
      <c r="AH501">
        <v>0</v>
      </c>
      <c r="AI501">
        <v>0</v>
      </c>
      <c r="AJ501">
        <v>3</v>
      </c>
      <c r="AK501">
        <v>0</v>
      </c>
      <c r="AL501">
        <v>0</v>
      </c>
    </row>
    <row r="502" spans="1:38" x14ac:dyDescent="0.25">
      <c r="A502" t="s">
        <v>1258</v>
      </c>
      <c r="B502" t="s">
        <v>1258</v>
      </c>
      <c r="C502" s="1">
        <v>408</v>
      </c>
      <c r="D502" s="1" t="s">
        <v>1257</v>
      </c>
      <c r="E502">
        <v>4</v>
      </c>
      <c r="F502">
        <v>0.9</v>
      </c>
      <c r="G502">
        <v>31.5</v>
      </c>
      <c r="H502" t="s">
        <v>290</v>
      </c>
      <c r="J502" t="s">
        <v>532</v>
      </c>
      <c r="L502" t="s">
        <v>187</v>
      </c>
      <c r="M502" t="s">
        <v>79</v>
      </c>
      <c r="N502">
        <v>87.5</v>
      </c>
      <c r="O502">
        <v>12.5</v>
      </c>
      <c r="P502">
        <v>0</v>
      </c>
      <c r="Q502">
        <v>30</v>
      </c>
      <c r="R502" t="s">
        <v>45</v>
      </c>
      <c r="T502">
        <v>45</v>
      </c>
      <c r="U502">
        <v>70</v>
      </c>
      <c r="V502">
        <v>600000</v>
      </c>
      <c r="W502" t="s">
        <v>46</v>
      </c>
      <c r="Z502">
        <v>67</v>
      </c>
      <c r="AA502">
        <v>125</v>
      </c>
      <c r="AB502">
        <v>40</v>
      </c>
      <c r="AC502">
        <v>30</v>
      </c>
      <c r="AD502">
        <v>30</v>
      </c>
      <c r="AE502">
        <v>58</v>
      </c>
      <c r="AF502">
        <v>350</v>
      </c>
      <c r="AG502">
        <v>0</v>
      </c>
      <c r="AH502">
        <v>1</v>
      </c>
      <c r="AI502">
        <v>0</v>
      </c>
      <c r="AJ502">
        <v>0</v>
      </c>
      <c r="AK502">
        <v>0</v>
      </c>
      <c r="AL502">
        <v>0</v>
      </c>
    </row>
    <row r="503" spans="1:38" x14ac:dyDescent="0.25">
      <c r="A503" t="s">
        <v>1260</v>
      </c>
      <c r="B503" t="s">
        <v>1260</v>
      </c>
      <c r="C503" s="1">
        <v>409</v>
      </c>
      <c r="D503" s="1" t="s">
        <v>1259</v>
      </c>
      <c r="E503">
        <v>4</v>
      </c>
      <c r="F503">
        <v>1.6</v>
      </c>
      <c r="G503">
        <v>102.5</v>
      </c>
      <c r="H503" t="s">
        <v>290</v>
      </c>
      <c r="J503" t="s">
        <v>532</v>
      </c>
      <c r="L503" t="s">
        <v>187</v>
      </c>
      <c r="M503" t="s">
        <v>79</v>
      </c>
      <c r="N503">
        <v>87.5</v>
      </c>
      <c r="O503">
        <v>12.5</v>
      </c>
      <c r="P503">
        <v>0</v>
      </c>
      <c r="Q503">
        <v>30</v>
      </c>
      <c r="R503" t="s">
        <v>45</v>
      </c>
      <c r="T503">
        <v>45</v>
      </c>
      <c r="U503">
        <v>173</v>
      </c>
      <c r="V503">
        <v>600000</v>
      </c>
      <c r="W503" t="s">
        <v>46</v>
      </c>
      <c r="Z503">
        <v>97</v>
      </c>
      <c r="AA503">
        <v>165</v>
      </c>
      <c r="AB503">
        <v>60</v>
      </c>
      <c r="AC503">
        <v>65</v>
      </c>
      <c r="AD503">
        <v>50</v>
      </c>
      <c r="AE503">
        <v>58</v>
      </c>
      <c r="AF503">
        <v>495</v>
      </c>
      <c r="AG503">
        <v>0</v>
      </c>
      <c r="AH503">
        <v>2</v>
      </c>
      <c r="AI503">
        <v>0</v>
      </c>
      <c r="AJ503">
        <v>0</v>
      </c>
      <c r="AK503">
        <v>0</v>
      </c>
      <c r="AL503">
        <v>0</v>
      </c>
    </row>
    <row r="504" spans="1:38" x14ac:dyDescent="0.25">
      <c r="A504" t="s">
        <v>1262</v>
      </c>
      <c r="B504" t="s">
        <v>1262</v>
      </c>
      <c r="C504" s="1">
        <v>410</v>
      </c>
      <c r="D504" s="1" t="s">
        <v>1261</v>
      </c>
      <c r="E504">
        <v>4</v>
      </c>
      <c r="F504">
        <v>0.5</v>
      </c>
      <c r="G504">
        <v>57</v>
      </c>
      <c r="H504" t="s">
        <v>290</v>
      </c>
      <c r="I504" t="s">
        <v>171</v>
      </c>
      <c r="J504" t="s">
        <v>338</v>
      </c>
      <c r="L504" t="s">
        <v>445</v>
      </c>
      <c r="M504" t="s">
        <v>318</v>
      </c>
      <c r="N504">
        <v>87.5</v>
      </c>
      <c r="O504">
        <v>12.5</v>
      </c>
      <c r="P504">
        <v>0</v>
      </c>
      <c r="Q504">
        <v>30</v>
      </c>
      <c r="R504" t="s">
        <v>45</v>
      </c>
      <c r="T504">
        <v>45</v>
      </c>
      <c r="U504">
        <v>70</v>
      </c>
      <c r="V504">
        <v>600000</v>
      </c>
      <c r="W504" t="s">
        <v>46</v>
      </c>
      <c r="Z504">
        <v>30</v>
      </c>
      <c r="AA504">
        <v>42</v>
      </c>
      <c r="AB504">
        <v>118</v>
      </c>
      <c r="AC504">
        <v>42</v>
      </c>
      <c r="AD504">
        <v>88</v>
      </c>
      <c r="AE504">
        <v>30</v>
      </c>
      <c r="AF504">
        <v>350</v>
      </c>
      <c r="AG504">
        <v>0</v>
      </c>
      <c r="AH504">
        <v>0</v>
      </c>
      <c r="AI504">
        <v>1</v>
      </c>
      <c r="AJ504">
        <v>0</v>
      </c>
      <c r="AK504">
        <v>0</v>
      </c>
      <c r="AL504">
        <v>0</v>
      </c>
    </row>
    <row r="505" spans="1:38" x14ac:dyDescent="0.25">
      <c r="A505" t="s">
        <v>1264</v>
      </c>
      <c r="B505" t="s">
        <v>1264</v>
      </c>
      <c r="C505" s="1">
        <v>411</v>
      </c>
      <c r="D505" s="1" t="s">
        <v>1263</v>
      </c>
      <c r="E505">
        <v>4</v>
      </c>
      <c r="F505">
        <v>1.3</v>
      </c>
      <c r="G505">
        <v>149.5</v>
      </c>
      <c r="H505" t="s">
        <v>290</v>
      </c>
      <c r="I505" t="s">
        <v>171</v>
      </c>
      <c r="J505" t="s">
        <v>338</v>
      </c>
      <c r="L505" t="s">
        <v>445</v>
      </c>
      <c r="M505" t="s">
        <v>318</v>
      </c>
      <c r="N505">
        <v>87.5</v>
      </c>
      <c r="O505">
        <v>12.5</v>
      </c>
      <c r="P505">
        <v>0</v>
      </c>
      <c r="Q505">
        <v>30</v>
      </c>
      <c r="R505" t="s">
        <v>45</v>
      </c>
      <c r="T505">
        <v>45</v>
      </c>
      <c r="U505">
        <v>173</v>
      </c>
      <c r="V505">
        <v>600000</v>
      </c>
      <c r="W505" t="s">
        <v>46</v>
      </c>
      <c r="Z505">
        <v>60</v>
      </c>
      <c r="AA505">
        <v>52</v>
      </c>
      <c r="AB505">
        <v>168</v>
      </c>
      <c r="AC505">
        <v>47</v>
      </c>
      <c r="AD505">
        <v>138</v>
      </c>
      <c r="AE505">
        <v>30</v>
      </c>
      <c r="AF505">
        <v>495</v>
      </c>
      <c r="AG505">
        <v>0</v>
      </c>
      <c r="AH505">
        <v>0</v>
      </c>
      <c r="AI505">
        <v>2</v>
      </c>
      <c r="AJ505">
        <v>0</v>
      </c>
      <c r="AK505">
        <v>0</v>
      </c>
      <c r="AL505">
        <v>0</v>
      </c>
    </row>
    <row r="506" spans="1:38" x14ac:dyDescent="0.25">
      <c r="A506" t="s">
        <v>1266</v>
      </c>
      <c r="B506" t="s">
        <v>1267</v>
      </c>
      <c r="C506" s="1">
        <v>412</v>
      </c>
      <c r="D506" s="1" t="s">
        <v>1265</v>
      </c>
      <c r="E506">
        <v>4</v>
      </c>
      <c r="F506">
        <v>0.2</v>
      </c>
      <c r="G506">
        <v>3.4</v>
      </c>
      <c r="H506" t="s">
        <v>90</v>
      </c>
      <c r="J506" t="s">
        <v>95</v>
      </c>
      <c r="L506" t="s">
        <v>414</v>
      </c>
      <c r="M506" t="s">
        <v>44</v>
      </c>
      <c r="N506">
        <v>50</v>
      </c>
      <c r="O506">
        <v>50</v>
      </c>
      <c r="P506">
        <v>0</v>
      </c>
      <c r="Q506">
        <v>15</v>
      </c>
      <c r="R506" t="s">
        <v>90</v>
      </c>
      <c r="T506">
        <v>120</v>
      </c>
      <c r="U506">
        <v>45</v>
      </c>
      <c r="V506">
        <v>1000000</v>
      </c>
      <c r="W506" t="s">
        <v>46</v>
      </c>
      <c r="Z506">
        <v>40</v>
      </c>
      <c r="AA506">
        <v>29</v>
      </c>
      <c r="AB506">
        <v>45</v>
      </c>
      <c r="AC506">
        <v>29</v>
      </c>
      <c r="AD506">
        <v>45</v>
      </c>
      <c r="AE506">
        <v>36</v>
      </c>
      <c r="AF506">
        <v>224</v>
      </c>
      <c r="AG506">
        <v>0</v>
      </c>
      <c r="AH506">
        <v>0</v>
      </c>
      <c r="AI506">
        <v>0</v>
      </c>
      <c r="AJ506">
        <v>0</v>
      </c>
      <c r="AK506">
        <v>1</v>
      </c>
      <c r="AL506">
        <v>0</v>
      </c>
    </row>
    <row r="507" spans="1:38" x14ac:dyDescent="0.25">
      <c r="A507" t="s">
        <v>1266</v>
      </c>
      <c r="B507" t="s">
        <v>1269</v>
      </c>
      <c r="C507" s="1">
        <v>412</v>
      </c>
      <c r="D507" s="1" t="s">
        <v>1268</v>
      </c>
      <c r="E507">
        <v>4</v>
      </c>
      <c r="F507">
        <v>0.2</v>
      </c>
      <c r="G507">
        <v>3.4</v>
      </c>
      <c r="H507" t="s">
        <v>90</v>
      </c>
      <c r="J507" t="s">
        <v>95</v>
      </c>
      <c r="L507" t="s">
        <v>414</v>
      </c>
      <c r="M507" t="s">
        <v>103</v>
      </c>
      <c r="N507">
        <v>50</v>
      </c>
      <c r="O507">
        <v>50</v>
      </c>
      <c r="P507">
        <v>0</v>
      </c>
      <c r="Q507">
        <v>15</v>
      </c>
      <c r="R507" t="s">
        <v>90</v>
      </c>
      <c r="T507">
        <v>120</v>
      </c>
      <c r="U507">
        <v>45</v>
      </c>
      <c r="V507">
        <v>1000000</v>
      </c>
      <c r="W507" t="s">
        <v>46</v>
      </c>
      <c r="Z507">
        <v>40</v>
      </c>
      <c r="AA507">
        <v>29</v>
      </c>
      <c r="AB507">
        <v>45</v>
      </c>
      <c r="AC507">
        <v>29</v>
      </c>
      <c r="AD507">
        <v>45</v>
      </c>
      <c r="AE507">
        <v>36</v>
      </c>
      <c r="AF507">
        <v>224</v>
      </c>
      <c r="AG507">
        <v>0</v>
      </c>
      <c r="AH507">
        <v>0</v>
      </c>
      <c r="AI507">
        <v>0</v>
      </c>
      <c r="AJ507">
        <v>0</v>
      </c>
      <c r="AK507">
        <v>1</v>
      </c>
      <c r="AL507">
        <v>0</v>
      </c>
    </row>
    <row r="508" spans="1:38" x14ac:dyDescent="0.25">
      <c r="A508" t="s">
        <v>1266</v>
      </c>
      <c r="B508" t="s">
        <v>1271</v>
      </c>
      <c r="C508" s="1">
        <v>412</v>
      </c>
      <c r="D508" s="1" t="s">
        <v>1270</v>
      </c>
      <c r="E508">
        <v>4</v>
      </c>
      <c r="F508">
        <v>0.2</v>
      </c>
      <c r="G508">
        <v>3.4</v>
      </c>
      <c r="H508" t="s">
        <v>90</v>
      </c>
      <c r="J508" t="s">
        <v>95</v>
      </c>
      <c r="L508" t="s">
        <v>414</v>
      </c>
      <c r="M508" t="s">
        <v>60</v>
      </c>
      <c r="N508">
        <v>50</v>
      </c>
      <c r="O508">
        <v>50</v>
      </c>
      <c r="P508">
        <v>0</v>
      </c>
      <c r="Q508">
        <v>15</v>
      </c>
      <c r="R508" t="s">
        <v>90</v>
      </c>
      <c r="T508">
        <v>120</v>
      </c>
      <c r="U508">
        <v>45</v>
      </c>
      <c r="V508">
        <v>1000000</v>
      </c>
      <c r="W508" t="s">
        <v>46</v>
      </c>
      <c r="Z508">
        <v>40</v>
      </c>
      <c r="AA508">
        <v>29</v>
      </c>
      <c r="AB508">
        <v>45</v>
      </c>
      <c r="AC508">
        <v>29</v>
      </c>
      <c r="AD508">
        <v>45</v>
      </c>
      <c r="AE508">
        <v>36</v>
      </c>
      <c r="AF508">
        <v>224</v>
      </c>
      <c r="AG508">
        <v>0</v>
      </c>
      <c r="AH508">
        <v>0</v>
      </c>
      <c r="AI508">
        <v>0</v>
      </c>
      <c r="AJ508">
        <v>0</v>
      </c>
      <c r="AK508">
        <v>1</v>
      </c>
      <c r="AL508">
        <v>0</v>
      </c>
    </row>
    <row r="509" spans="1:38" x14ac:dyDescent="0.25">
      <c r="A509" t="s">
        <v>1273</v>
      </c>
      <c r="B509" t="s">
        <v>1274</v>
      </c>
      <c r="C509" s="1">
        <v>413</v>
      </c>
      <c r="D509" s="1" t="s">
        <v>1272</v>
      </c>
      <c r="E509">
        <v>4</v>
      </c>
      <c r="F509">
        <v>0.5</v>
      </c>
      <c r="G509">
        <v>6.5</v>
      </c>
      <c r="H509" t="s">
        <v>90</v>
      </c>
      <c r="I509" t="s">
        <v>40</v>
      </c>
      <c r="J509" t="s">
        <v>358</v>
      </c>
      <c r="L509" t="s">
        <v>414</v>
      </c>
      <c r="M509" t="s">
        <v>44</v>
      </c>
      <c r="N509">
        <v>0</v>
      </c>
      <c r="O509">
        <v>100</v>
      </c>
      <c r="P509">
        <v>0</v>
      </c>
      <c r="Q509">
        <v>15</v>
      </c>
      <c r="R509" t="s">
        <v>90</v>
      </c>
      <c r="T509">
        <v>45</v>
      </c>
      <c r="U509">
        <v>148</v>
      </c>
      <c r="V509">
        <v>1000000</v>
      </c>
      <c r="W509" t="s">
        <v>46</v>
      </c>
      <c r="Z509">
        <v>60</v>
      </c>
      <c r="AA509">
        <v>59</v>
      </c>
      <c r="AB509">
        <v>85</v>
      </c>
      <c r="AC509">
        <v>79</v>
      </c>
      <c r="AD509">
        <v>105</v>
      </c>
      <c r="AE509">
        <v>36</v>
      </c>
      <c r="AF509">
        <v>424</v>
      </c>
      <c r="AG509">
        <v>0</v>
      </c>
      <c r="AH509">
        <v>0</v>
      </c>
      <c r="AI509">
        <v>0</v>
      </c>
      <c r="AJ509">
        <v>0</v>
      </c>
      <c r="AK509">
        <v>2</v>
      </c>
      <c r="AL509">
        <v>0</v>
      </c>
    </row>
    <row r="510" spans="1:38" x14ac:dyDescent="0.25">
      <c r="A510" t="s">
        <v>1273</v>
      </c>
      <c r="B510" t="s">
        <v>1276</v>
      </c>
      <c r="C510" s="1">
        <v>413</v>
      </c>
      <c r="D510" s="1" t="s">
        <v>1275</v>
      </c>
      <c r="E510">
        <v>4</v>
      </c>
      <c r="F510">
        <v>0.5</v>
      </c>
      <c r="G510">
        <v>6.5</v>
      </c>
      <c r="H510" t="s">
        <v>90</v>
      </c>
      <c r="I510" t="s">
        <v>132</v>
      </c>
      <c r="J510" t="s">
        <v>358</v>
      </c>
      <c r="L510" t="s">
        <v>414</v>
      </c>
      <c r="M510" t="s">
        <v>103</v>
      </c>
      <c r="N510">
        <v>0</v>
      </c>
      <c r="O510">
        <v>100</v>
      </c>
      <c r="P510">
        <v>0</v>
      </c>
      <c r="Q510">
        <v>15</v>
      </c>
      <c r="R510" t="s">
        <v>90</v>
      </c>
      <c r="T510">
        <v>45</v>
      </c>
      <c r="U510">
        <v>148</v>
      </c>
      <c r="V510">
        <v>1000000</v>
      </c>
      <c r="W510" t="s">
        <v>46</v>
      </c>
      <c r="Z510">
        <v>60</v>
      </c>
      <c r="AA510">
        <v>79</v>
      </c>
      <c r="AB510">
        <v>105</v>
      </c>
      <c r="AC510">
        <v>59</v>
      </c>
      <c r="AD510">
        <v>85</v>
      </c>
      <c r="AE510">
        <v>36</v>
      </c>
      <c r="AF510">
        <v>424</v>
      </c>
      <c r="AG510">
        <v>0</v>
      </c>
      <c r="AH510">
        <v>0</v>
      </c>
      <c r="AI510">
        <v>2</v>
      </c>
      <c r="AJ510">
        <v>0</v>
      </c>
      <c r="AK510">
        <v>0</v>
      </c>
      <c r="AL510">
        <v>0</v>
      </c>
    </row>
    <row r="511" spans="1:38" x14ac:dyDescent="0.25">
      <c r="A511" t="s">
        <v>1273</v>
      </c>
      <c r="B511" t="s">
        <v>1278</v>
      </c>
      <c r="C511" s="1">
        <v>413</v>
      </c>
      <c r="D511" s="1" t="s">
        <v>1277</v>
      </c>
      <c r="E511">
        <v>4</v>
      </c>
      <c r="F511">
        <v>0.5</v>
      </c>
      <c r="G511">
        <v>6.5</v>
      </c>
      <c r="H511" t="s">
        <v>90</v>
      </c>
      <c r="I511" t="s">
        <v>171</v>
      </c>
      <c r="J511" t="s">
        <v>358</v>
      </c>
      <c r="L511" t="s">
        <v>414</v>
      </c>
      <c r="M511" t="s">
        <v>60</v>
      </c>
      <c r="N511">
        <v>0</v>
      </c>
      <c r="O511">
        <v>100</v>
      </c>
      <c r="P511">
        <v>0</v>
      </c>
      <c r="Q511">
        <v>15</v>
      </c>
      <c r="R511" t="s">
        <v>90</v>
      </c>
      <c r="T511">
        <v>45</v>
      </c>
      <c r="U511">
        <v>148</v>
      </c>
      <c r="V511">
        <v>1000000</v>
      </c>
      <c r="W511" t="s">
        <v>46</v>
      </c>
      <c r="Z511">
        <v>60</v>
      </c>
      <c r="AA511">
        <v>69</v>
      </c>
      <c r="AB511">
        <v>95</v>
      </c>
      <c r="AC511">
        <v>69</v>
      </c>
      <c r="AD511">
        <v>95</v>
      </c>
      <c r="AE511">
        <v>36</v>
      </c>
      <c r="AF511">
        <v>424</v>
      </c>
      <c r="AG511">
        <v>0</v>
      </c>
      <c r="AH511">
        <v>0</v>
      </c>
      <c r="AI511">
        <v>1</v>
      </c>
      <c r="AJ511">
        <v>0</v>
      </c>
      <c r="AK511">
        <v>1</v>
      </c>
      <c r="AL511">
        <v>0</v>
      </c>
    </row>
    <row r="512" spans="1:38" x14ac:dyDescent="0.25">
      <c r="A512" t="s">
        <v>1280</v>
      </c>
      <c r="B512" t="s">
        <v>1280</v>
      </c>
      <c r="C512" s="1">
        <v>414</v>
      </c>
      <c r="D512" s="1" t="s">
        <v>1279</v>
      </c>
      <c r="E512">
        <v>4</v>
      </c>
      <c r="F512">
        <v>0.9</v>
      </c>
      <c r="G512">
        <v>23.3</v>
      </c>
      <c r="H512" t="s">
        <v>90</v>
      </c>
      <c r="I512" t="s">
        <v>66</v>
      </c>
      <c r="J512" t="s">
        <v>109</v>
      </c>
      <c r="L512" t="s">
        <v>99</v>
      </c>
      <c r="M512" t="s">
        <v>106</v>
      </c>
      <c r="N512">
        <v>100</v>
      </c>
      <c r="O512">
        <v>0</v>
      </c>
      <c r="P512">
        <v>0</v>
      </c>
      <c r="Q512">
        <v>15</v>
      </c>
      <c r="R512" t="s">
        <v>90</v>
      </c>
      <c r="T512">
        <v>45</v>
      </c>
      <c r="U512">
        <v>148</v>
      </c>
      <c r="V512">
        <v>1000000</v>
      </c>
      <c r="W512" t="s">
        <v>46</v>
      </c>
      <c r="Z512">
        <v>70</v>
      </c>
      <c r="AA512">
        <v>94</v>
      </c>
      <c r="AB512">
        <v>50</v>
      </c>
      <c r="AC512">
        <v>94</v>
      </c>
      <c r="AD512">
        <v>50</v>
      </c>
      <c r="AE512">
        <v>66</v>
      </c>
      <c r="AF512">
        <v>424</v>
      </c>
      <c r="AG512">
        <v>0</v>
      </c>
      <c r="AH512">
        <v>1</v>
      </c>
      <c r="AI512">
        <v>0</v>
      </c>
      <c r="AJ512">
        <v>1</v>
      </c>
      <c r="AK512">
        <v>0</v>
      </c>
      <c r="AL512">
        <v>0</v>
      </c>
    </row>
    <row r="513" spans="1:38" x14ac:dyDescent="0.25">
      <c r="A513" t="s">
        <v>1282</v>
      </c>
      <c r="B513" t="s">
        <v>1282</v>
      </c>
      <c r="C513" s="1">
        <v>415</v>
      </c>
      <c r="D513" s="1" t="s">
        <v>1281</v>
      </c>
      <c r="E513">
        <v>4</v>
      </c>
      <c r="F513">
        <v>0.3</v>
      </c>
      <c r="G513">
        <v>5.5</v>
      </c>
      <c r="H513" t="s">
        <v>90</v>
      </c>
      <c r="I513" t="s">
        <v>66</v>
      </c>
      <c r="J513" t="s">
        <v>780</v>
      </c>
      <c r="L513" t="s">
        <v>130</v>
      </c>
      <c r="M513" t="s">
        <v>106</v>
      </c>
      <c r="N513">
        <v>87.5</v>
      </c>
      <c r="O513">
        <v>12.5</v>
      </c>
      <c r="P513">
        <v>0</v>
      </c>
      <c r="Q513">
        <v>15</v>
      </c>
      <c r="R513" t="s">
        <v>90</v>
      </c>
      <c r="T513">
        <v>120</v>
      </c>
      <c r="U513">
        <v>49</v>
      </c>
      <c r="V513">
        <v>1059860</v>
      </c>
      <c r="W513" t="s">
        <v>46</v>
      </c>
      <c r="Z513">
        <v>30</v>
      </c>
      <c r="AA513">
        <v>30</v>
      </c>
      <c r="AB513">
        <v>42</v>
      </c>
      <c r="AC513">
        <v>30</v>
      </c>
      <c r="AD513">
        <v>42</v>
      </c>
      <c r="AE513">
        <v>70</v>
      </c>
      <c r="AF513">
        <v>244</v>
      </c>
      <c r="AG513">
        <v>0</v>
      </c>
      <c r="AH513">
        <v>0</v>
      </c>
      <c r="AI513">
        <v>0</v>
      </c>
      <c r="AJ513">
        <v>0</v>
      </c>
      <c r="AK513">
        <v>0</v>
      </c>
      <c r="AL513">
        <v>1</v>
      </c>
    </row>
    <row r="514" spans="1:38" x14ac:dyDescent="0.25">
      <c r="A514" t="s">
        <v>1284</v>
      </c>
      <c r="B514" t="s">
        <v>1284</v>
      </c>
      <c r="C514" s="1">
        <v>416</v>
      </c>
      <c r="D514" s="1" t="s">
        <v>1283</v>
      </c>
      <c r="E514">
        <v>4</v>
      </c>
      <c r="F514">
        <v>1.2</v>
      </c>
      <c r="G514">
        <v>38.5</v>
      </c>
      <c r="H514" t="s">
        <v>90</v>
      </c>
      <c r="I514" t="s">
        <v>66</v>
      </c>
      <c r="J514" t="s">
        <v>581</v>
      </c>
      <c r="L514" t="s">
        <v>149</v>
      </c>
      <c r="M514" t="s">
        <v>106</v>
      </c>
      <c r="N514">
        <v>0</v>
      </c>
      <c r="O514">
        <v>100</v>
      </c>
      <c r="P514">
        <v>0</v>
      </c>
      <c r="Q514">
        <v>15</v>
      </c>
      <c r="R514" t="s">
        <v>90</v>
      </c>
      <c r="T514">
        <v>45</v>
      </c>
      <c r="U514">
        <v>166</v>
      </c>
      <c r="V514">
        <v>1059860</v>
      </c>
      <c r="W514" t="s">
        <v>46</v>
      </c>
      <c r="Z514">
        <v>70</v>
      </c>
      <c r="AA514">
        <v>80</v>
      </c>
      <c r="AB514">
        <v>102</v>
      </c>
      <c r="AC514">
        <v>80</v>
      </c>
      <c r="AD514">
        <v>102</v>
      </c>
      <c r="AE514">
        <v>40</v>
      </c>
      <c r="AF514">
        <v>474</v>
      </c>
      <c r="AG514">
        <v>0</v>
      </c>
      <c r="AH514">
        <v>0</v>
      </c>
      <c r="AI514">
        <v>1</v>
      </c>
      <c r="AJ514">
        <v>0</v>
      </c>
      <c r="AK514">
        <v>1</v>
      </c>
      <c r="AL514">
        <v>0</v>
      </c>
    </row>
    <row r="515" spans="1:38" x14ac:dyDescent="0.25">
      <c r="A515" t="s">
        <v>1286</v>
      </c>
      <c r="B515" t="s">
        <v>1286</v>
      </c>
      <c r="C515" s="1">
        <v>417</v>
      </c>
      <c r="D515" s="1" t="s">
        <v>1285</v>
      </c>
      <c r="E515">
        <v>4</v>
      </c>
      <c r="F515">
        <v>0.4</v>
      </c>
      <c r="G515">
        <v>3.9</v>
      </c>
      <c r="H515" t="s">
        <v>154</v>
      </c>
      <c r="J515" t="s">
        <v>92</v>
      </c>
      <c r="K515" t="s">
        <v>257</v>
      </c>
      <c r="L515" t="s">
        <v>564</v>
      </c>
      <c r="M515" t="s">
        <v>100</v>
      </c>
      <c r="N515">
        <v>50</v>
      </c>
      <c r="O515">
        <v>50</v>
      </c>
      <c r="P515">
        <v>0</v>
      </c>
      <c r="Q515">
        <v>10</v>
      </c>
      <c r="R515" t="s">
        <v>132</v>
      </c>
      <c r="S515" t="s">
        <v>157</v>
      </c>
      <c r="T515">
        <v>200</v>
      </c>
      <c r="U515">
        <v>142</v>
      </c>
      <c r="V515">
        <v>1000000</v>
      </c>
      <c r="W515" t="s">
        <v>46</v>
      </c>
      <c r="Z515">
        <v>60</v>
      </c>
      <c r="AA515">
        <v>45</v>
      </c>
      <c r="AB515">
        <v>70</v>
      </c>
      <c r="AC515">
        <v>45</v>
      </c>
      <c r="AD515">
        <v>90</v>
      </c>
      <c r="AE515">
        <v>95</v>
      </c>
      <c r="AF515">
        <v>405</v>
      </c>
      <c r="AG515">
        <v>0</v>
      </c>
      <c r="AH515">
        <v>0</v>
      </c>
      <c r="AI515">
        <v>0</v>
      </c>
      <c r="AJ515">
        <v>0</v>
      </c>
      <c r="AK515">
        <v>0</v>
      </c>
      <c r="AL515">
        <v>1</v>
      </c>
    </row>
    <row r="516" spans="1:38" x14ac:dyDescent="0.25">
      <c r="A516" t="s">
        <v>1288</v>
      </c>
      <c r="B516" t="s">
        <v>1288</v>
      </c>
      <c r="C516" s="1">
        <v>418</v>
      </c>
      <c r="D516" s="1" t="s">
        <v>1287</v>
      </c>
      <c r="E516">
        <v>4</v>
      </c>
      <c r="F516">
        <v>0.7</v>
      </c>
      <c r="G516">
        <v>29.5</v>
      </c>
      <c r="H516" t="s">
        <v>76</v>
      </c>
      <c r="J516" t="s">
        <v>274</v>
      </c>
      <c r="L516" t="s">
        <v>507</v>
      </c>
      <c r="M516" t="s">
        <v>103</v>
      </c>
      <c r="N516">
        <v>50</v>
      </c>
      <c r="O516">
        <v>50</v>
      </c>
      <c r="P516">
        <v>0</v>
      </c>
      <c r="Q516">
        <v>20</v>
      </c>
      <c r="R516" t="s">
        <v>80</v>
      </c>
      <c r="S516" t="s">
        <v>132</v>
      </c>
      <c r="T516">
        <v>190</v>
      </c>
      <c r="U516">
        <v>66</v>
      </c>
      <c r="V516">
        <v>1000000</v>
      </c>
      <c r="W516" t="s">
        <v>46</v>
      </c>
      <c r="Z516">
        <v>55</v>
      </c>
      <c r="AA516">
        <v>65</v>
      </c>
      <c r="AB516">
        <v>35</v>
      </c>
      <c r="AC516">
        <v>60</v>
      </c>
      <c r="AD516">
        <v>30</v>
      </c>
      <c r="AE516">
        <v>85</v>
      </c>
      <c r="AF516">
        <v>330</v>
      </c>
      <c r="AG516">
        <v>0</v>
      </c>
      <c r="AH516">
        <v>0</v>
      </c>
      <c r="AI516">
        <v>0</v>
      </c>
      <c r="AJ516">
        <v>0</v>
      </c>
      <c r="AK516">
        <v>0</v>
      </c>
      <c r="AL516">
        <v>1</v>
      </c>
    </row>
    <row r="517" spans="1:38" x14ac:dyDescent="0.25">
      <c r="A517" t="s">
        <v>1290</v>
      </c>
      <c r="B517" t="s">
        <v>1290</v>
      </c>
      <c r="C517" s="1">
        <v>419</v>
      </c>
      <c r="D517" s="1" t="s">
        <v>1289</v>
      </c>
      <c r="E517">
        <v>4</v>
      </c>
      <c r="F517">
        <v>1.1000000000000001</v>
      </c>
      <c r="G517">
        <v>33.5</v>
      </c>
      <c r="H517" t="s">
        <v>76</v>
      </c>
      <c r="J517" t="s">
        <v>274</v>
      </c>
      <c r="L517" t="s">
        <v>507</v>
      </c>
      <c r="M517" t="s">
        <v>103</v>
      </c>
      <c r="N517">
        <v>50</v>
      </c>
      <c r="O517">
        <v>50</v>
      </c>
      <c r="P517">
        <v>0</v>
      </c>
      <c r="Q517">
        <v>20</v>
      </c>
      <c r="R517" t="s">
        <v>80</v>
      </c>
      <c r="S517" t="s">
        <v>132</v>
      </c>
      <c r="T517">
        <v>75</v>
      </c>
      <c r="U517">
        <v>173</v>
      </c>
      <c r="V517">
        <v>1000000</v>
      </c>
      <c r="W517" t="s">
        <v>46</v>
      </c>
      <c r="Z517">
        <v>85</v>
      </c>
      <c r="AA517">
        <v>105</v>
      </c>
      <c r="AB517">
        <v>55</v>
      </c>
      <c r="AC517">
        <v>85</v>
      </c>
      <c r="AD517">
        <v>50</v>
      </c>
      <c r="AE517">
        <v>115</v>
      </c>
      <c r="AF517">
        <v>495</v>
      </c>
      <c r="AG517">
        <v>0</v>
      </c>
      <c r="AH517">
        <v>0</v>
      </c>
      <c r="AI517">
        <v>0</v>
      </c>
      <c r="AJ517">
        <v>0</v>
      </c>
      <c r="AK517">
        <v>0</v>
      </c>
      <c r="AL517">
        <v>2</v>
      </c>
    </row>
    <row r="518" spans="1:38" x14ac:dyDescent="0.25">
      <c r="A518" t="s">
        <v>1292</v>
      </c>
      <c r="B518" t="s">
        <v>1292</v>
      </c>
      <c r="C518" s="1">
        <v>420</v>
      </c>
      <c r="D518" s="1" t="s">
        <v>1291</v>
      </c>
      <c r="E518">
        <v>4</v>
      </c>
      <c r="F518">
        <v>0.4</v>
      </c>
      <c r="G518">
        <v>3.3</v>
      </c>
      <c r="H518" t="s">
        <v>40</v>
      </c>
      <c r="J518" t="s">
        <v>43</v>
      </c>
      <c r="M518" t="s">
        <v>199</v>
      </c>
      <c r="N518">
        <v>50</v>
      </c>
      <c r="O518">
        <v>50</v>
      </c>
      <c r="P518">
        <v>0</v>
      </c>
      <c r="Q518">
        <v>20</v>
      </c>
      <c r="R518" t="s">
        <v>157</v>
      </c>
      <c r="S518" t="s">
        <v>40</v>
      </c>
      <c r="T518">
        <v>190</v>
      </c>
      <c r="U518">
        <v>55</v>
      </c>
      <c r="V518">
        <v>1000000</v>
      </c>
      <c r="W518" t="s">
        <v>46</v>
      </c>
      <c r="Z518">
        <v>45</v>
      </c>
      <c r="AA518">
        <v>35</v>
      </c>
      <c r="AB518">
        <v>45</v>
      </c>
      <c r="AC518">
        <v>62</v>
      </c>
      <c r="AD518">
        <v>53</v>
      </c>
      <c r="AE518">
        <v>35</v>
      </c>
      <c r="AF518">
        <v>275</v>
      </c>
      <c r="AG518">
        <v>0</v>
      </c>
      <c r="AH518">
        <v>0</v>
      </c>
      <c r="AI518">
        <v>0</v>
      </c>
      <c r="AJ518">
        <v>1</v>
      </c>
      <c r="AK518">
        <v>0</v>
      </c>
      <c r="AL518">
        <v>0</v>
      </c>
    </row>
    <row r="519" spans="1:38" x14ac:dyDescent="0.25">
      <c r="A519" t="s">
        <v>1294</v>
      </c>
      <c r="B519" t="s">
        <v>1294</v>
      </c>
      <c r="C519" s="1">
        <v>421</v>
      </c>
      <c r="D519" s="1" t="s">
        <v>1293</v>
      </c>
      <c r="E519">
        <v>4</v>
      </c>
      <c r="F519">
        <v>0.5</v>
      </c>
      <c r="G519">
        <v>9.3000000000000007</v>
      </c>
      <c r="H519" t="s">
        <v>40</v>
      </c>
      <c r="J519" t="s">
        <v>1295</v>
      </c>
      <c r="M519" t="s">
        <v>131</v>
      </c>
      <c r="N519">
        <v>50</v>
      </c>
      <c r="O519">
        <v>50</v>
      </c>
      <c r="P519">
        <v>0</v>
      </c>
      <c r="Q519">
        <v>20</v>
      </c>
      <c r="R519" t="s">
        <v>157</v>
      </c>
      <c r="S519" t="s">
        <v>40</v>
      </c>
      <c r="T519">
        <v>75</v>
      </c>
      <c r="U519">
        <v>158</v>
      </c>
      <c r="V519">
        <v>1000000</v>
      </c>
      <c r="W519" t="s">
        <v>46</v>
      </c>
      <c r="Z519">
        <v>70</v>
      </c>
      <c r="AA519">
        <v>60</v>
      </c>
      <c r="AB519">
        <v>70</v>
      </c>
      <c r="AC519">
        <v>87</v>
      </c>
      <c r="AD519">
        <v>78</v>
      </c>
      <c r="AE519">
        <v>85</v>
      </c>
      <c r="AF519">
        <v>450</v>
      </c>
      <c r="AG519">
        <v>0</v>
      </c>
      <c r="AH519">
        <v>0</v>
      </c>
      <c r="AI519">
        <v>0</v>
      </c>
      <c r="AJ519">
        <v>2</v>
      </c>
      <c r="AK519">
        <v>0</v>
      </c>
      <c r="AL519">
        <v>0</v>
      </c>
    </row>
    <row r="520" spans="1:38" x14ac:dyDescent="0.25">
      <c r="A520" t="s">
        <v>1294</v>
      </c>
      <c r="B520" t="s">
        <v>1297</v>
      </c>
      <c r="C520" s="1">
        <v>421</v>
      </c>
      <c r="D520" s="1" t="s">
        <v>1296</v>
      </c>
      <c r="E520">
        <v>4</v>
      </c>
      <c r="F520">
        <v>0.5</v>
      </c>
      <c r="G520">
        <v>9.3000000000000007</v>
      </c>
      <c r="H520" t="s">
        <v>40</v>
      </c>
      <c r="J520" t="s">
        <v>1295</v>
      </c>
      <c r="M520" t="s">
        <v>199</v>
      </c>
      <c r="N520">
        <v>50</v>
      </c>
      <c r="O520">
        <v>50</v>
      </c>
      <c r="P520">
        <v>0</v>
      </c>
      <c r="Q520">
        <v>20</v>
      </c>
      <c r="R520" t="s">
        <v>157</v>
      </c>
      <c r="S520" t="s">
        <v>40</v>
      </c>
      <c r="T520">
        <v>75</v>
      </c>
      <c r="U520">
        <v>158</v>
      </c>
      <c r="V520">
        <v>1000000</v>
      </c>
      <c r="W520" t="s">
        <v>46</v>
      </c>
      <c r="Z520">
        <v>70</v>
      </c>
      <c r="AA520">
        <v>60</v>
      </c>
      <c r="AB520">
        <v>70</v>
      </c>
      <c r="AC520">
        <v>87</v>
      </c>
      <c r="AD520">
        <v>78</v>
      </c>
      <c r="AE520">
        <v>85</v>
      </c>
      <c r="AF520">
        <v>450</v>
      </c>
      <c r="AG520">
        <v>0</v>
      </c>
      <c r="AH520">
        <v>0</v>
      </c>
      <c r="AI520">
        <v>0</v>
      </c>
      <c r="AJ520">
        <v>2</v>
      </c>
      <c r="AK520">
        <v>0</v>
      </c>
      <c r="AL520">
        <v>0</v>
      </c>
    </row>
    <row r="521" spans="1:38" x14ac:dyDescent="0.25">
      <c r="A521" t="s">
        <v>1299</v>
      </c>
      <c r="B521" t="s">
        <v>1300</v>
      </c>
      <c r="C521" s="1">
        <v>422</v>
      </c>
      <c r="D521" s="1" t="s">
        <v>1298</v>
      </c>
      <c r="E521">
        <v>4</v>
      </c>
      <c r="F521">
        <v>0.3</v>
      </c>
      <c r="G521">
        <v>6.3</v>
      </c>
      <c r="H521" t="s">
        <v>76</v>
      </c>
      <c r="J521" t="s">
        <v>401</v>
      </c>
      <c r="K521" t="s">
        <v>1092</v>
      </c>
      <c r="L521" t="s">
        <v>247</v>
      </c>
      <c r="M521" t="s">
        <v>131</v>
      </c>
      <c r="N521">
        <v>50</v>
      </c>
      <c r="O521">
        <v>50</v>
      </c>
      <c r="P521">
        <v>0</v>
      </c>
      <c r="Q521">
        <v>20</v>
      </c>
      <c r="R521" t="s">
        <v>80</v>
      </c>
      <c r="S521" t="s">
        <v>403</v>
      </c>
      <c r="T521">
        <v>190</v>
      </c>
      <c r="U521">
        <v>65</v>
      </c>
      <c r="V521">
        <v>1000000</v>
      </c>
      <c r="W521" t="s">
        <v>46</v>
      </c>
      <c r="Z521">
        <v>76</v>
      </c>
      <c r="AA521">
        <v>48</v>
      </c>
      <c r="AB521">
        <v>48</v>
      </c>
      <c r="AC521">
        <v>57</v>
      </c>
      <c r="AD521">
        <v>62</v>
      </c>
      <c r="AE521">
        <v>34</v>
      </c>
      <c r="AF521">
        <v>325</v>
      </c>
      <c r="AG521">
        <v>1</v>
      </c>
      <c r="AH521">
        <v>0</v>
      </c>
      <c r="AI521">
        <v>0</v>
      </c>
      <c r="AJ521">
        <v>0</v>
      </c>
      <c r="AK521">
        <v>0</v>
      </c>
      <c r="AL521">
        <v>0</v>
      </c>
    </row>
    <row r="522" spans="1:38" x14ac:dyDescent="0.25">
      <c r="A522" t="s">
        <v>1299</v>
      </c>
      <c r="B522" t="s">
        <v>1302</v>
      </c>
      <c r="C522" s="1">
        <v>422</v>
      </c>
      <c r="D522" s="1" t="s">
        <v>1301</v>
      </c>
      <c r="E522">
        <v>4</v>
      </c>
      <c r="F522">
        <v>0.3</v>
      </c>
      <c r="G522">
        <v>6.3</v>
      </c>
      <c r="H522" t="s">
        <v>76</v>
      </c>
      <c r="J522" t="s">
        <v>401</v>
      </c>
      <c r="K522" t="s">
        <v>1092</v>
      </c>
      <c r="L522" t="s">
        <v>247</v>
      </c>
      <c r="M522" t="s">
        <v>79</v>
      </c>
      <c r="N522">
        <v>50</v>
      </c>
      <c r="O522">
        <v>50</v>
      </c>
      <c r="P522">
        <v>0</v>
      </c>
      <c r="Q522">
        <v>20</v>
      </c>
      <c r="R522" t="s">
        <v>80</v>
      </c>
      <c r="S522" t="s">
        <v>403</v>
      </c>
      <c r="T522">
        <v>190</v>
      </c>
      <c r="U522">
        <v>65</v>
      </c>
      <c r="V522">
        <v>1000000</v>
      </c>
      <c r="W522" t="s">
        <v>46</v>
      </c>
      <c r="Z522">
        <v>76</v>
      </c>
      <c r="AA522">
        <v>48</v>
      </c>
      <c r="AB522">
        <v>48</v>
      </c>
      <c r="AC522">
        <v>57</v>
      </c>
      <c r="AD522">
        <v>62</v>
      </c>
      <c r="AE522">
        <v>34</v>
      </c>
      <c r="AF522">
        <v>325</v>
      </c>
      <c r="AG522">
        <v>1</v>
      </c>
      <c r="AH522">
        <v>0</v>
      </c>
      <c r="AI522">
        <v>0</v>
      </c>
      <c r="AJ522">
        <v>0</v>
      </c>
      <c r="AK522">
        <v>0</v>
      </c>
      <c r="AL522">
        <v>0</v>
      </c>
    </row>
    <row r="523" spans="1:38" x14ac:dyDescent="0.25">
      <c r="A523" t="s">
        <v>1304</v>
      </c>
      <c r="B523" t="s">
        <v>1305</v>
      </c>
      <c r="C523" s="1">
        <v>423</v>
      </c>
      <c r="D523" s="1" t="s">
        <v>1303</v>
      </c>
      <c r="E523">
        <v>4</v>
      </c>
      <c r="F523">
        <v>0.9</v>
      </c>
      <c r="G523">
        <v>29.9</v>
      </c>
      <c r="H523" t="s">
        <v>76</v>
      </c>
      <c r="I523" t="s">
        <v>132</v>
      </c>
      <c r="J523" t="s">
        <v>401</v>
      </c>
      <c r="K523" t="s">
        <v>1092</v>
      </c>
      <c r="L523" t="s">
        <v>247</v>
      </c>
      <c r="M523" t="s">
        <v>131</v>
      </c>
      <c r="N523">
        <v>50</v>
      </c>
      <c r="O523">
        <v>50</v>
      </c>
      <c r="P523">
        <v>0</v>
      </c>
      <c r="Q523">
        <v>20</v>
      </c>
      <c r="R523" t="s">
        <v>80</v>
      </c>
      <c r="S523" t="s">
        <v>403</v>
      </c>
      <c r="T523">
        <v>75</v>
      </c>
      <c r="U523">
        <v>166</v>
      </c>
      <c r="V523">
        <v>1000000</v>
      </c>
      <c r="W523" t="s">
        <v>46</v>
      </c>
      <c r="Z523">
        <v>111</v>
      </c>
      <c r="AA523">
        <v>83</v>
      </c>
      <c r="AB523">
        <v>68</v>
      </c>
      <c r="AC523">
        <v>92</v>
      </c>
      <c r="AD523">
        <v>82</v>
      </c>
      <c r="AE523">
        <v>39</v>
      </c>
      <c r="AF523">
        <v>475</v>
      </c>
      <c r="AG523">
        <v>2</v>
      </c>
      <c r="AH523">
        <v>0</v>
      </c>
      <c r="AI523">
        <v>0</v>
      </c>
      <c r="AJ523">
        <v>0</v>
      </c>
      <c r="AK523">
        <v>0</v>
      </c>
      <c r="AL523">
        <v>0</v>
      </c>
    </row>
    <row r="524" spans="1:38" x14ac:dyDescent="0.25">
      <c r="A524" t="s">
        <v>1304</v>
      </c>
      <c r="B524" t="s">
        <v>1307</v>
      </c>
      <c r="C524" s="1">
        <v>423</v>
      </c>
      <c r="D524" s="1" t="s">
        <v>1306</v>
      </c>
      <c r="E524">
        <v>4</v>
      </c>
      <c r="F524">
        <v>0.9</v>
      </c>
      <c r="G524">
        <v>29.9</v>
      </c>
      <c r="H524" t="s">
        <v>76</v>
      </c>
      <c r="I524" t="s">
        <v>132</v>
      </c>
      <c r="J524" t="s">
        <v>401</v>
      </c>
      <c r="K524" t="s">
        <v>1092</v>
      </c>
      <c r="L524" t="s">
        <v>247</v>
      </c>
      <c r="M524" t="s">
        <v>79</v>
      </c>
      <c r="N524">
        <v>50</v>
      </c>
      <c r="O524">
        <v>50</v>
      </c>
      <c r="P524">
        <v>0</v>
      </c>
      <c r="Q524">
        <v>20</v>
      </c>
      <c r="R524" t="s">
        <v>80</v>
      </c>
      <c r="S524" t="s">
        <v>403</v>
      </c>
      <c r="T524">
        <v>75</v>
      </c>
      <c r="U524">
        <v>166</v>
      </c>
      <c r="V524">
        <v>1000000</v>
      </c>
      <c r="W524" t="s">
        <v>46</v>
      </c>
      <c r="Z524">
        <v>111</v>
      </c>
      <c r="AA524">
        <v>83</v>
      </c>
      <c r="AB524">
        <v>68</v>
      </c>
      <c r="AC524">
        <v>92</v>
      </c>
      <c r="AD524">
        <v>82</v>
      </c>
      <c r="AE524">
        <v>39</v>
      </c>
      <c r="AF524">
        <v>475</v>
      </c>
      <c r="AG524">
        <v>2</v>
      </c>
      <c r="AH524">
        <v>0</v>
      </c>
      <c r="AI524">
        <v>0</v>
      </c>
      <c r="AJ524">
        <v>0</v>
      </c>
      <c r="AK524">
        <v>0</v>
      </c>
      <c r="AL524">
        <v>0</v>
      </c>
    </row>
    <row r="525" spans="1:38" x14ac:dyDescent="0.25">
      <c r="A525" t="s">
        <v>1309</v>
      </c>
      <c r="B525" t="s">
        <v>1309</v>
      </c>
      <c r="C525" s="1">
        <v>424</v>
      </c>
      <c r="D525" s="1" t="s">
        <v>1308</v>
      </c>
      <c r="E525">
        <v>4</v>
      </c>
      <c r="F525">
        <v>1.2</v>
      </c>
      <c r="G525">
        <v>20.3</v>
      </c>
      <c r="H525" t="s">
        <v>116</v>
      </c>
      <c r="J525" t="s">
        <v>258</v>
      </c>
      <c r="K525" t="s">
        <v>257</v>
      </c>
      <c r="L525" t="s">
        <v>413</v>
      </c>
      <c r="M525" t="s">
        <v>131</v>
      </c>
      <c r="N525">
        <v>50</v>
      </c>
      <c r="O525">
        <v>50</v>
      </c>
      <c r="P525">
        <v>0</v>
      </c>
      <c r="Q525">
        <v>20</v>
      </c>
      <c r="R525" t="s">
        <v>132</v>
      </c>
      <c r="T525">
        <v>45</v>
      </c>
      <c r="U525">
        <v>169</v>
      </c>
      <c r="V525">
        <v>800000</v>
      </c>
      <c r="W525" t="s">
        <v>46</v>
      </c>
      <c r="Z525">
        <v>75</v>
      </c>
      <c r="AA525">
        <v>100</v>
      </c>
      <c r="AB525">
        <v>66</v>
      </c>
      <c r="AC525">
        <v>60</v>
      </c>
      <c r="AD525">
        <v>66</v>
      </c>
      <c r="AE525">
        <v>115</v>
      </c>
      <c r="AF525">
        <v>482</v>
      </c>
      <c r="AG525">
        <v>0</v>
      </c>
      <c r="AH525">
        <v>0</v>
      </c>
      <c r="AI525">
        <v>0</v>
      </c>
      <c r="AJ525">
        <v>0</v>
      </c>
      <c r="AK525">
        <v>0</v>
      </c>
      <c r="AL525">
        <v>2</v>
      </c>
    </row>
    <row r="526" spans="1:38" x14ac:dyDescent="0.25">
      <c r="A526" t="s">
        <v>1311</v>
      </c>
      <c r="B526" t="s">
        <v>1311</v>
      </c>
      <c r="C526" s="1">
        <v>425</v>
      </c>
      <c r="D526" s="1" t="s">
        <v>1310</v>
      </c>
      <c r="E526">
        <v>4</v>
      </c>
      <c r="F526">
        <v>0.4</v>
      </c>
      <c r="G526">
        <v>1.2</v>
      </c>
      <c r="H526" t="s">
        <v>419</v>
      </c>
      <c r="I526" t="s">
        <v>66</v>
      </c>
      <c r="J526" t="s">
        <v>446</v>
      </c>
      <c r="K526" t="s">
        <v>470</v>
      </c>
      <c r="L526" t="s">
        <v>1312</v>
      </c>
      <c r="M526" t="s">
        <v>131</v>
      </c>
      <c r="N526">
        <v>50</v>
      </c>
      <c r="O526">
        <v>50</v>
      </c>
      <c r="P526">
        <v>0</v>
      </c>
      <c r="Q526">
        <v>30</v>
      </c>
      <c r="R526" t="s">
        <v>403</v>
      </c>
      <c r="T526">
        <v>125</v>
      </c>
      <c r="U526">
        <v>70</v>
      </c>
      <c r="V526">
        <v>1640000</v>
      </c>
      <c r="W526" t="s">
        <v>46</v>
      </c>
      <c r="Z526">
        <v>90</v>
      </c>
      <c r="AA526">
        <v>50</v>
      </c>
      <c r="AB526">
        <v>34</v>
      </c>
      <c r="AC526">
        <v>60</v>
      </c>
      <c r="AD526">
        <v>44</v>
      </c>
      <c r="AE526">
        <v>70</v>
      </c>
      <c r="AF526">
        <v>348</v>
      </c>
      <c r="AG526">
        <v>1</v>
      </c>
      <c r="AH526">
        <v>0</v>
      </c>
      <c r="AI526">
        <v>0</v>
      </c>
      <c r="AJ526">
        <v>0</v>
      </c>
      <c r="AK526">
        <v>0</v>
      </c>
      <c r="AL526">
        <v>0</v>
      </c>
    </row>
    <row r="527" spans="1:38" x14ac:dyDescent="0.25">
      <c r="A527" t="s">
        <v>1314</v>
      </c>
      <c r="B527" t="s">
        <v>1314</v>
      </c>
      <c r="C527" s="1">
        <v>426</v>
      </c>
      <c r="D527" s="1" t="s">
        <v>1313</v>
      </c>
      <c r="E527">
        <v>4</v>
      </c>
      <c r="F527">
        <v>1.2</v>
      </c>
      <c r="G527">
        <v>15</v>
      </c>
      <c r="H527" t="s">
        <v>419</v>
      </c>
      <c r="I527" t="s">
        <v>66</v>
      </c>
      <c r="J527" t="s">
        <v>446</v>
      </c>
      <c r="K527" t="s">
        <v>470</v>
      </c>
      <c r="L527" t="s">
        <v>1312</v>
      </c>
      <c r="M527" t="s">
        <v>131</v>
      </c>
      <c r="N527">
        <v>50</v>
      </c>
      <c r="O527">
        <v>50</v>
      </c>
      <c r="P527">
        <v>0</v>
      </c>
      <c r="Q527">
        <v>30</v>
      </c>
      <c r="R527" t="s">
        <v>403</v>
      </c>
      <c r="T527">
        <v>60</v>
      </c>
      <c r="U527">
        <v>174</v>
      </c>
      <c r="V527">
        <v>1640000</v>
      </c>
      <c r="W527" t="s">
        <v>46</v>
      </c>
      <c r="Z527">
        <v>150</v>
      </c>
      <c r="AA527">
        <v>80</v>
      </c>
      <c r="AB527">
        <v>44</v>
      </c>
      <c r="AC527">
        <v>90</v>
      </c>
      <c r="AD527">
        <v>54</v>
      </c>
      <c r="AE527">
        <v>80</v>
      </c>
      <c r="AF527">
        <v>498</v>
      </c>
      <c r="AG527">
        <v>2</v>
      </c>
      <c r="AH527">
        <v>0</v>
      </c>
      <c r="AI527">
        <v>0</v>
      </c>
      <c r="AJ527">
        <v>0</v>
      </c>
      <c r="AK527">
        <v>0</v>
      </c>
      <c r="AL527">
        <v>0</v>
      </c>
    </row>
    <row r="528" spans="1:38" x14ac:dyDescent="0.25">
      <c r="A528" t="s">
        <v>1316</v>
      </c>
      <c r="B528" t="s">
        <v>1316</v>
      </c>
      <c r="C528" s="1">
        <v>427</v>
      </c>
      <c r="D528" s="1" t="s">
        <v>1315</v>
      </c>
      <c r="E528">
        <v>4</v>
      </c>
      <c r="F528">
        <v>0.4</v>
      </c>
      <c r="G528">
        <v>5.5</v>
      </c>
      <c r="H528" t="s">
        <v>116</v>
      </c>
      <c r="J528" t="s">
        <v>92</v>
      </c>
      <c r="K528" t="s">
        <v>1317</v>
      </c>
      <c r="L528" t="s">
        <v>267</v>
      </c>
      <c r="M528" t="s">
        <v>103</v>
      </c>
      <c r="N528">
        <v>50</v>
      </c>
      <c r="O528">
        <v>50</v>
      </c>
      <c r="P528">
        <v>0</v>
      </c>
      <c r="Q528">
        <v>20</v>
      </c>
      <c r="R528" t="s">
        <v>132</v>
      </c>
      <c r="S528" t="s">
        <v>307</v>
      </c>
      <c r="T528">
        <v>190</v>
      </c>
      <c r="U528">
        <v>70</v>
      </c>
      <c r="V528">
        <v>1000000</v>
      </c>
      <c r="W528" t="s">
        <v>46</v>
      </c>
      <c r="Z528">
        <v>55</v>
      </c>
      <c r="AA528">
        <v>66</v>
      </c>
      <c r="AB528">
        <v>44</v>
      </c>
      <c r="AC528">
        <v>44</v>
      </c>
      <c r="AD528">
        <v>56</v>
      </c>
      <c r="AE528">
        <v>85</v>
      </c>
      <c r="AF528">
        <v>350</v>
      </c>
      <c r="AG528">
        <v>0</v>
      </c>
      <c r="AH528">
        <v>0</v>
      </c>
      <c r="AI528">
        <v>0</v>
      </c>
      <c r="AJ528">
        <v>0</v>
      </c>
      <c r="AK528">
        <v>0</v>
      </c>
      <c r="AL528">
        <v>1</v>
      </c>
    </row>
    <row r="529" spans="1:38" x14ac:dyDescent="0.25">
      <c r="A529" t="s">
        <v>1319</v>
      </c>
      <c r="B529" t="s">
        <v>1319</v>
      </c>
      <c r="C529" s="1">
        <v>428</v>
      </c>
      <c r="D529" s="1" t="s">
        <v>1318</v>
      </c>
      <c r="E529">
        <v>4</v>
      </c>
      <c r="F529">
        <v>1.2</v>
      </c>
      <c r="G529">
        <v>33.299999999999997</v>
      </c>
      <c r="H529" t="s">
        <v>116</v>
      </c>
      <c r="J529" t="s">
        <v>196</v>
      </c>
      <c r="K529" t="s">
        <v>1317</v>
      </c>
      <c r="L529" t="s">
        <v>267</v>
      </c>
      <c r="M529" t="s">
        <v>103</v>
      </c>
      <c r="N529">
        <v>50</v>
      </c>
      <c r="O529">
        <v>50</v>
      </c>
      <c r="P529">
        <v>0</v>
      </c>
      <c r="Q529">
        <v>20</v>
      </c>
      <c r="R529" t="s">
        <v>132</v>
      </c>
      <c r="S529" t="s">
        <v>307</v>
      </c>
      <c r="T529">
        <v>60</v>
      </c>
      <c r="U529">
        <v>168</v>
      </c>
      <c r="V529">
        <v>1000000</v>
      </c>
      <c r="W529" t="s">
        <v>46</v>
      </c>
      <c r="Z529">
        <v>65</v>
      </c>
      <c r="AA529">
        <v>76</v>
      </c>
      <c r="AB529">
        <v>84</v>
      </c>
      <c r="AC529">
        <v>54</v>
      </c>
      <c r="AD529">
        <v>96</v>
      </c>
      <c r="AE529">
        <v>105</v>
      </c>
      <c r="AF529">
        <v>480</v>
      </c>
      <c r="AG529">
        <v>0</v>
      </c>
      <c r="AH529">
        <v>0</v>
      </c>
      <c r="AI529">
        <v>0</v>
      </c>
      <c r="AJ529">
        <v>0</v>
      </c>
      <c r="AK529">
        <v>0</v>
      </c>
      <c r="AL529">
        <v>2</v>
      </c>
    </row>
    <row r="530" spans="1:38" x14ac:dyDescent="0.25">
      <c r="A530" t="s">
        <v>1319</v>
      </c>
      <c r="B530" t="s">
        <v>1321</v>
      </c>
      <c r="C530" s="1">
        <v>428</v>
      </c>
      <c r="D530" s="1" t="s">
        <v>1320</v>
      </c>
      <c r="E530">
        <v>4</v>
      </c>
      <c r="F530">
        <v>1.3</v>
      </c>
      <c r="G530">
        <v>28.3</v>
      </c>
      <c r="H530" t="s">
        <v>116</v>
      </c>
      <c r="I530" t="s">
        <v>279</v>
      </c>
      <c r="J530" t="s">
        <v>387</v>
      </c>
      <c r="M530" t="s">
        <v>103</v>
      </c>
      <c r="N530">
        <v>50</v>
      </c>
      <c r="O530">
        <v>50</v>
      </c>
      <c r="P530">
        <v>0</v>
      </c>
      <c r="Q530">
        <v>20</v>
      </c>
      <c r="R530" t="s">
        <v>132</v>
      </c>
      <c r="S530" t="s">
        <v>307</v>
      </c>
      <c r="T530">
        <v>60</v>
      </c>
      <c r="U530">
        <v>203</v>
      </c>
      <c r="V530">
        <v>1000000</v>
      </c>
      <c r="W530" t="s">
        <v>46</v>
      </c>
      <c r="X530" t="s">
        <v>54</v>
      </c>
      <c r="Z530">
        <v>65</v>
      </c>
      <c r="AA530">
        <v>136</v>
      </c>
      <c r="AB530">
        <v>94</v>
      </c>
      <c r="AC530">
        <v>54</v>
      </c>
      <c r="AD530">
        <v>96</v>
      </c>
      <c r="AE530">
        <v>135</v>
      </c>
      <c r="AF530">
        <v>580</v>
      </c>
      <c r="AG530">
        <v>0</v>
      </c>
      <c r="AH530">
        <v>0</v>
      </c>
      <c r="AI530">
        <v>0</v>
      </c>
      <c r="AJ530">
        <v>0</v>
      </c>
      <c r="AK530">
        <v>0</v>
      </c>
      <c r="AL530">
        <v>2</v>
      </c>
    </row>
    <row r="531" spans="1:38" x14ac:dyDescent="0.25">
      <c r="A531" t="s">
        <v>1323</v>
      </c>
      <c r="B531" t="s">
        <v>1323</v>
      </c>
      <c r="C531" s="1">
        <v>429</v>
      </c>
      <c r="D531" s="1" t="s">
        <v>1322</v>
      </c>
      <c r="E531">
        <v>4</v>
      </c>
      <c r="F531">
        <v>0.9</v>
      </c>
      <c r="G531">
        <v>4.4000000000000004</v>
      </c>
      <c r="H531" t="s">
        <v>419</v>
      </c>
      <c r="J531" t="s">
        <v>420</v>
      </c>
      <c r="M531" t="s">
        <v>131</v>
      </c>
      <c r="N531">
        <v>50</v>
      </c>
      <c r="O531">
        <v>50</v>
      </c>
      <c r="P531">
        <v>0</v>
      </c>
      <c r="Q531">
        <v>25</v>
      </c>
      <c r="R531" t="s">
        <v>403</v>
      </c>
      <c r="T531">
        <v>45</v>
      </c>
      <c r="U531">
        <v>173</v>
      </c>
      <c r="V531">
        <v>800000</v>
      </c>
      <c r="W531" t="s">
        <v>46</v>
      </c>
      <c r="Z531">
        <v>60</v>
      </c>
      <c r="AA531">
        <v>60</v>
      </c>
      <c r="AB531">
        <v>60</v>
      </c>
      <c r="AC531">
        <v>105</v>
      </c>
      <c r="AD531">
        <v>105</v>
      </c>
      <c r="AE531">
        <v>105</v>
      </c>
      <c r="AF531">
        <v>495</v>
      </c>
      <c r="AG531">
        <v>0</v>
      </c>
      <c r="AH531">
        <v>0</v>
      </c>
      <c r="AI531">
        <v>0</v>
      </c>
      <c r="AJ531">
        <v>1</v>
      </c>
      <c r="AK531">
        <v>1</v>
      </c>
      <c r="AL531">
        <v>0</v>
      </c>
    </row>
    <row r="532" spans="1:38" x14ac:dyDescent="0.25">
      <c r="A532" t="s">
        <v>1325</v>
      </c>
      <c r="B532" t="s">
        <v>1325</v>
      </c>
      <c r="C532" s="1">
        <v>430</v>
      </c>
      <c r="D532" s="1" t="s">
        <v>1324</v>
      </c>
      <c r="E532">
        <v>4</v>
      </c>
      <c r="F532">
        <v>0.9</v>
      </c>
      <c r="G532">
        <v>27.3</v>
      </c>
      <c r="H532" t="s">
        <v>135</v>
      </c>
      <c r="I532" t="s">
        <v>66</v>
      </c>
      <c r="J532" t="s">
        <v>434</v>
      </c>
      <c r="K532" t="s">
        <v>669</v>
      </c>
      <c r="L532" t="s">
        <v>533</v>
      </c>
      <c r="M532" t="s">
        <v>70</v>
      </c>
      <c r="N532">
        <v>50</v>
      </c>
      <c r="O532">
        <v>50</v>
      </c>
      <c r="P532">
        <v>0</v>
      </c>
      <c r="Q532">
        <v>20</v>
      </c>
      <c r="R532" t="s">
        <v>66</v>
      </c>
      <c r="T532">
        <v>30</v>
      </c>
      <c r="U532">
        <v>177</v>
      </c>
      <c r="V532">
        <v>1059860</v>
      </c>
      <c r="W532" t="s">
        <v>46</v>
      </c>
      <c r="Z532">
        <v>100</v>
      </c>
      <c r="AA532">
        <v>125</v>
      </c>
      <c r="AB532">
        <v>52</v>
      </c>
      <c r="AC532">
        <v>105</v>
      </c>
      <c r="AD532">
        <v>52</v>
      </c>
      <c r="AE532">
        <v>71</v>
      </c>
      <c r="AF532">
        <v>505</v>
      </c>
      <c r="AG532">
        <v>0</v>
      </c>
      <c r="AH532">
        <v>2</v>
      </c>
      <c r="AI532">
        <v>0</v>
      </c>
      <c r="AJ532">
        <v>0</v>
      </c>
      <c r="AK532">
        <v>0</v>
      </c>
      <c r="AL532">
        <v>0</v>
      </c>
    </row>
    <row r="533" spans="1:38" x14ac:dyDescent="0.25">
      <c r="A533" t="s">
        <v>1327</v>
      </c>
      <c r="B533" t="s">
        <v>1327</v>
      </c>
      <c r="C533" s="1">
        <v>431</v>
      </c>
      <c r="D533" s="1" t="s">
        <v>1326</v>
      </c>
      <c r="E533">
        <v>4</v>
      </c>
      <c r="F533">
        <v>0.5</v>
      </c>
      <c r="G533">
        <v>3.9</v>
      </c>
      <c r="H533" t="s">
        <v>116</v>
      </c>
      <c r="J533" t="s">
        <v>267</v>
      </c>
      <c r="K533" t="s">
        <v>366</v>
      </c>
      <c r="L533" t="s">
        <v>117</v>
      </c>
      <c r="M533" t="s">
        <v>318</v>
      </c>
      <c r="N533">
        <v>25</v>
      </c>
      <c r="O533">
        <v>75</v>
      </c>
      <c r="P533">
        <v>0</v>
      </c>
      <c r="Q533">
        <v>20</v>
      </c>
      <c r="R533" t="s">
        <v>132</v>
      </c>
      <c r="T533">
        <v>190</v>
      </c>
      <c r="U533">
        <v>62</v>
      </c>
      <c r="V533">
        <v>800000</v>
      </c>
      <c r="W533" t="s">
        <v>46</v>
      </c>
      <c r="Z533">
        <v>49</v>
      </c>
      <c r="AA533">
        <v>55</v>
      </c>
      <c r="AB533">
        <v>42</v>
      </c>
      <c r="AC533">
        <v>42</v>
      </c>
      <c r="AD533">
        <v>37</v>
      </c>
      <c r="AE533">
        <v>85</v>
      </c>
      <c r="AF533">
        <v>310</v>
      </c>
      <c r="AG533">
        <v>0</v>
      </c>
      <c r="AH533">
        <v>0</v>
      </c>
      <c r="AI533">
        <v>0</v>
      </c>
      <c r="AJ533">
        <v>0</v>
      </c>
      <c r="AK533">
        <v>0</v>
      </c>
      <c r="AL533">
        <v>1</v>
      </c>
    </row>
    <row r="534" spans="1:38" x14ac:dyDescent="0.25">
      <c r="A534" t="s">
        <v>1329</v>
      </c>
      <c r="B534" t="s">
        <v>1329</v>
      </c>
      <c r="C534" s="1">
        <v>432</v>
      </c>
      <c r="D534" s="1" t="s">
        <v>1328</v>
      </c>
      <c r="E534">
        <v>4</v>
      </c>
      <c r="F534">
        <v>1</v>
      </c>
      <c r="G534">
        <v>43.8</v>
      </c>
      <c r="H534" t="s">
        <v>116</v>
      </c>
      <c r="J534" t="s">
        <v>53</v>
      </c>
      <c r="K534" t="s">
        <v>366</v>
      </c>
      <c r="L534" t="s">
        <v>282</v>
      </c>
      <c r="M534" t="s">
        <v>318</v>
      </c>
      <c r="N534">
        <v>25</v>
      </c>
      <c r="O534">
        <v>75</v>
      </c>
      <c r="P534">
        <v>0</v>
      </c>
      <c r="Q534">
        <v>20</v>
      </c>
      <c r="R534" t="s">
        <v>132</v>
      </c>
      <c r="T534">
        <v>75</v>
      </c>
      <c r="U534">
        <v>158</v>
      </c>
      <c r="V534">
        <v>800000</v>
      </c>
      <c r="W534" t="s">
        <v>46</v>
      </c>
      <c r="Z534">
        <v>71</v>
      </c>
      <c r="AA534">
        <v>82</v>
      </c>
      <c r="AB534">
        <v>64</v>
      </c>
      <c r="AC534">
        <v>64</v>
      </c>
      <c r="AD534">
        <v>59</v>
      </c>
      <c r="AE534">
        <v>112</v>
      </c>
      <c r="AF534">
        <v>452</v>
      </c>
      <c r="AG534">
        <v>0</v>
      </c>
      <c r="AH534">
        <v>0</v>
      </c>
      <c r="AI534">
        <v>0</v>
      </c>
      <c r="AJ534">
        <v>0</v>
      </c>
      <c r="AK534">
        <v>0</v>
      </c>
      <c r="AL534">
        <v>2</v>
      </c>
    </row>
    <row r="535" spans="1:38" x14ac:dyDescent="0.25">
      <c r="A535" t="s">
        <v>1331</v>
      </c>
      <c r="B535" t="s">
        <v>1331</v>
      </c>
      <c r="C535" s="1">
        <v>433</v>
      </c>
      <c r="D535" s="1" t="s">
        <v>1330</v>
      </c>
      <c r="E535">
        <v>4</v>
      </c>
      <c r="F535">
        <v>0.2</v>
      </c>
      <c r="G535">
        <v>0.6</v>
      </c>
      <c r="H535" t="s">
        <v>162</v>
      </c>
      <c r="J535" t="s">
        <v>420</v>
      </c>
      <c r="M535" t="s">
        <v>106</v>
      </c>
      <c r="N535">
        <v>50</v>
      </c>
      <c r="O535">
        <v>50</v>
      </c>
      <c r="P535">
        <v>0</v>
      </c>
      <c r="Q535">
        <v>25</v>
      </c>
      <c r="R535" t="s">
        <v>184</v>
      </c>
      <c r="T535">
        <v>120</v>
      </c>
      <c r="U535">
        <v>57</v>
      </c>
      <c r="V535">
        <v>800000</v>
      </c>
      <c r="W535" t="s">
        <v>46</v>
      </c>
      <c r="Z535">
        <v>45</v>
      </c>
      <c r="AA535">
        <v>30</v>
      </c>
      <c r="AB535">
        <v>50</v>
      </c>
      <c r="AC535">
        <v>65</v>
      </c>
      <c r="AD535">
        <v>50</v>
      </c>
      <c r="AE535">
        <v>45</v>
      </c>
      <c r="AF535">
        <v>285</v>
      </c>
      <c r="AG535">
        <v>0</v>
      </c>
      <c r="AH535">
        <v>0</v>
      </c>
      <c r="AI535">
        <v>0</v>
      </c>
      <c r="AJ535">
        <v>1</v>
      </c>
      <c r="AK535">
        <v>0</v>
      </c>
      <c r="AL535">
        <v>0</v>
      </c>
    </row>
    <row r="536" spans="1:38" x14ac:dyDescent="0.25">
      <c r="A536" t="s">
        <v>1333</v>
      </c>
      <c r="B536" t="s">
        <v>1333</v>
      </c>
      <c r="C536" s="1">
        <v>434</v>
      </c>
      <c r="D536" s="1" t="s">
        <v>1332</v>
      </c>
      <c r="E536">
        <v>4</v>
      </c>
      <c r="F536">
        <v>0.4</v>
      </c>
      <c r="G536">
        <v>19.2</v>
      </c>
      <c r="H536" t="s">
        <v>41</v>
      </c>
      <c r="I536" t="s">
        <v>135</v>
      </c>
      <c r="J536" t="s">
        <v>229</v>
      </c>
      <c r="K536" t="s">
        <v>446</v>
      </c>
      <c r="L536" t="s">
        <v>117</v>
      </c>
      <c r="M536" t="s">
        <v>131</v>
      </c>
      <c r="N536">
        <v>50</v>
      </c>
      <c r="O536">
        <v>50</v>
      </c>
      <c r="P536">
        <v>0</v>
      </c>
      <c r="Q536">
        <v>20</v>
      </c>
      <c r="R536" t="s">
        <v>132</v>
      </c>
      <c r="T536">
        <v>225</v>
      </c>
      <c r="U536">
        <v>66</v>
      </c>
      <c r="V536">
        <v>1000000</v>
      </c>
      <c r="W536" t="s">
        <v>46</v>
      </c>
      <c r="Z536">
        <v>63</v>
      </c>
      <c r="AA536">
        <v>63</v>
      </c>
      <c r="AB536">
        <v>47</v>
      </c>
      <c r="AC536">
        <v>41</v>
      </c>
      <c r="AD536">
        <v>41</v>
      </c>
      <c r="AE536">
        <v>74</v>
      </c>
      <c r="AF536">
        <v>329</v>
      </c>
      <c r="AG536">
        <v>0</v>
      </c>
      <c r="AH536">
        <v>0</v>
      </c>
      <c r="AI536">
        <v>0</v>
      </c>
      <c r="AJ536">
        <v>0</v>
      </c>
      <c r="AK536">
        <v>0</v>
      </c>
      <c r="AL536">
        <v>1</v>
      </c>
    </row>
    <row r="537" spans="1:38" x14ac:dyDescent="0.25">
      <c r="A537" t="s">
        <v>1335</v>
      </c>
      <c r="B537" t="s">
        <v>1335</v>
      </c>
      <c r="C537" s="1">
        <v>435</v>
      </c>
      <c r="D537" s="1" t="s">
        <v>1334</v>
      </c>
      <c r="E537">
        <v>4</v>
      </c>
      <c r="F537">
        <v>1</v>
      </c>
      <c r="G537">
        <v>38</v>
      </c>
      <c r="H537" t="s">
        <v>41</v>
      </c>
      <c r="I537" t="s">
        <v>135</v>
      </c>
      <c r="J537" t="s">
        <v>229</v>
      </c>
      <c r="K537" t="s">
        <v>446</v>
      </c>
      <c r="L537" t="s">
        <v>117</v>
      </c>
      <c r="M537" t="s">
        <v>131</v>
      </c>
      <c r="N537">
        <v>50</v>
      </c>
      <c r="O537">
        <v>50</v>
      </c>
      <c r="P537">
        <v>0</v>
      </c>
      <c r="Q537">
        <v>20</v>
      </c>
      <c r="R537" t="s">
        <v>132</v>
      </c>
      <c r="T537">
        <v>60</v>
      </c>
      <c r="U537">
        <v>168</v>
      </c>
      <c r="V537">
        <v>1000000</v>
      </c>
      <c r="W537" t="s">
        <v>46</v>
      </c>
      <c r="Z537">
        <v>103</v>
      </c>
      <c r="AA537">
        <v>93</v>
      </c>
      <c r="AB537">
        <v>67</v>
      </c>
      <c r="AC537">
        <v>71</v>
      </c>
      <c r="AD537">
        <v>61</v>
      </c>
      <c r="AE537">
        <v>84</v>
      </c>
      <c r="AF537">
        <v>479</v>
      </c>
      <c r="AG537">
        <v>2</v>
      </c>
      <c r="AH537">
        <v>0</v>
      </c>
      <c r="AI537">
        <v>0</v>
      </c>
      <c r="AJ537">
        <v>0</v>
      </c>
      <c r="AK537">
        <v>0</v>
      </c>
      <c r="AL537">
        <v>0</v>
      </c>
    </row>
    <row r="538" spans="1:38" x14ac:dyDescent="0.25">
      <c r="A538" t="s">
        <v>1337</v>
      </c>
      <c r="B538" t="s">
        <v>1337</v>
      </c>
      <c r="C538" s="1">
        <v>436</v>
      </c>
      <c r="D538" s="1" t="s">
        <v>1336</v>
      </c>
      <c r="E538">
        <v>4</v>
      </c>
      <c r="F538">
        <v>0.5</v>
      </c>
      <c r="G538">
        <v>60.5</v>
      </c>
      <c r="H538" t="s">
        <v>171</v>
      </c>
      <c r="I538" t="s">
        <v>162</v>
      </c>
      <c r="J538" t="s">
        <v>420</v>
      </c>
      <c r="K538" t="s">
        <v>1338</v>
      </c>
      <c r="L538" t="s">
        <v>989</v>
      </c>
      <c r="M538" t="s">
        <v>44</v>
      </c>
      <c r="N538">
        <v>0</v>
      </c>
      <c r="O538">
        <v>0</v>
      </c>
      <c r="P538">
        <v>100</v>
      </c>
      <c r="Q538">
        <v>20</v>
      </c>
      <c r="R538" t="s">
        <v>339</v>
      </c>
      <c r="T538">
        <v>255</v>
      </c>
      <c r="U538">
        <v>60</v>
      </c>
      <c r="V538">
        <v>1000000</v>
      </c>
      <c r="W538" t="s">
        <v>46</v>
      </c>
      <c r="Z538">
        <v>57</v>
      </c>
      <c r="AA538">
        <v>24</v>
      </c>
      <c r="AB538">
        <v>86</v>
      </c>
      <c r="AC538">
        <v>24</v>
      </c>
      <c r="AD538">
        <v>86</v>
      </c>
      <c r="AE538">
        <v>23</v>
      </c>
      <c r="AF538">
        <v>300</v>
      </c>
      <c r="AG538">
        <v>0</v>
      </c>
      <c r="AH538">
        <v>0</v>
      </c>
      <c r="AI538">
        <v>1</v>
      </c>
      <c r="AJ538">
        <v>0</v>
      </c>
      <c r="AK538">
        <v>0</v>
      </c>
      <c r="AL538">
        <v>0</v>
      </c>
    </row>
    <row r="539" spans="1:38" x14ac:dyDescent="0.25">
      <c r="A539" t="s">
        <v>1340</v>
      </c>
      <c r="B539" t="s">
        <v>1340</v>
      </c>
      <c r="C539" s="1">
        <v>437</v>
      </c>
      <c r="D539" s="1" t="s">
        <v>1339</v>
      </c>
      <c r="E539">
        <v>4</v>
      </c>
      <c r="F539">
        <v>1.3</v>
      </c>
      <c r="G539">
        <v>187</v>
      </c>
      <c r="H539" t="s">
        <v>171</v>
      </c>
      <c r="I539" t="s">
        <v>162</v>
      </c>
      <c r="J539" t="s">
        <v>420</v>
      </c>
      <c r="K539" t="s">
        <v>1338</v>
      </c>
      <c r="L539" t="s">
        <v>989</v>
      </c>
      <c r="M539" t="s">
        <v>44</v>
      </c>
      <c r="N539">
        <v>0</v>
      </c>
      <c r="O539">
        <v>0</v>
      </c>
      <c r="P539">
        <v>100</v>
      </c>
      <c r="Q539">
        <v>20</v>
      </c>
      <c r="R539" t="s">
        <v>339</v>
      </c>
      <c r="T539">
        <v>90</v>
      </c>
      <c r="U539">
        <v>175</v>
      </c>
      <c r="V539">
        <v>1000000</v>
      </c>
      <c r="W539" t="s">
        <v>46</v>
      </c>
      <c r="Z539">
        <v>67</v>
      </c>
      <c r="AA539">
        <v>89</v>
      </c>
      <c r="AB539">
        <v>116</v>
      </c>
      <c r="AC539">
        <v>79</v>
      </c>
      <c r="AD539">
        <v>116</v>
      </c>
      <c r="AE539">
        <v>33</v>
      </c>
      <c r="AF539">
        <v>500</v>
      </c>
      <c r="AG539">
        <v>0</v>
      </c>
      <c r="AH539">
        <v>0</v>
      </c>
      <c r="AI539">
        <v>1</v>
      </c>
      <c r="AJ539">
        <v>0</v>
      </c>
      <c r="AK539">
        <v>1</v>
      </c>
      <c r="AL539">
        <v>0</v>
      </c>
    </row>
    <row r="540" spans="1:38" x14ac:dyDescent="0.25">
      <c r="A540" t="s">
        <v>1342</v>
      </c>
      <c r="B540" t="s">
        <v>1342</v>
      </c>
      <c r="C540" s="1">
        <v>438</v>
      </c>
      <c r="D540" s="1" t="s">
        <v>1341</v>
      </c>
      <c r="E540">
        <v>4</v>
      </c>
      <c r="F540">
        <v>0.5</v>
      </c>
      <c r="G540">
        <v>15</v>
      </c>
      <c r="H540" t="s">
        <v>290</v>
      </c>
      <c r="J540" t="s">
        <v>338</v>
      </c>
      <c r="K540" t="s">
        <v>291</v>
      </c>
      <c r="L540" t="s">
        <v>261</v>
      </c>
      <c r="M540" t="s">
        <v>103</v>
      </c>
      <c r="N540">
        <v>50</v>
      </c>
      <c r="O540">
        <v>50</v>
      </c>
      <c r="P540">
        <v>0</v>
      </c>
      <c r="Q540">
        <v>20</v>
      </c>
      <c r="R540" t="s">
        <v>184</v>
      </c>
      <c r="T540">
        <v>255</v>
      </c>
      <c r="U540">
        <v>58</v>
      </c>
      <c r="V540">
        <v>1000000</v>
      </c>
      <c r="W540" t="s">
        <v>46</v>
      </c>
      <c r="Z540">
        <v>50</v>
      </c>
      <c r="AA540">
        <v>80</v>
      </c>
      <c r="AB540">
        <v>95</v>
      </c>
      <c r="AC540">
        <v>10</v>
      </c>
      <c r="AD540">
        <v>45</v>
      </c>
      <c r="AE540">
        <v>10</v>
      </c>
      <c r="AF540">
        <v>290</v>
      </c>
      <c r="AG540">
        <v>0</v>
      </c>
      <c r="AH540">
        <v>0</v>
      </c>
      <c r="AI540">
        <v>1</v>
      </c>
      <c r="AJ540">
        <v>0</v>
      </c>
      <c r="AK540">
        <v>0</v>
      </c>
      <c r="AL540">
        <v>0</v>
      </c>
    </row>
    <row r="541" spans="1:38" x14ac:dyDescent="0.25">
      <c r="A541" t="s">
        <v>1344</v>
      </c>
      <c r="B541" t="s">
        <v>1344</v>
      </c>
      <c r="C541" s="1">
        <v>439</v>
      </c>
      <c r="D541" s="1" t="s">
        <v>1343</v>
      </c>
      <c r="E541">
        <v>4</v>
      </c>
      <c r="F541">
        <v>0.6</v>
      </c>
      <c r="G541">
        <v>13</v>
      </c>
      <c r="H541" t="s">
        <v>162</v>
      </c>
      <c r="I541" t="s">
        <v>157</v>
      </c>
      <c r="J541" t="s">
        <v>445</v>
      </c>
      <c r="K541" t="s">
        <v>518</v>
      </c>
      <c r="L541" t="s">
        <v>258</v>
      </c>
      <c r="M541" t="s">
        <v>199</v>
      </c>
      <c r="N541">
        <v>50</v>
      </c>
      <c r="O541">
        <v>50</v>
      </c>
      <c r="P541">
        <v>0</v>
      </c>
      <c r="Q541">
        <v>25</v>
      </c>
      <c r="R541" t="s">
        <v>184</v>
      </c>
      <c r="T541">
        <v>145</v>
      </c>
      <c r="U541">
        <v>62</v>
      </c>
      <c r="V541">
        <v>1000000</v>
      </c>
      <c r="W541" t="s">
        <v>46</v>
      </c>
      <c r="Z541">
        <v>20</v>
      </c>
      <c r="AA541">
        <v>25</v>
      </c>
      <c r="AB541">
        <v>45</v>
      </c>
      <c r="AC541">
        <v>70</v>
      </c>
      <c r="AD541">
        <v>90</v>
      </c>
      <c r="AE541">
        <v>60</v>
      </c>
      <c r="AF541">
        <v>310</v>
      </c>
      <c r="AG541">
        <v>0</v>
      </c>
      <c r="AH541">
        <v>0</v>
      </c>
      <c r="AI541">
        <v>0</v>
      </c>
      <c r="AJ541">
        <v>0</v>
      </c>
      <c r="AK541">
        <v>1</v>
      </c>
      <c r="AL541">
        <v>0</v>
      </c>
    </row>
    <row r="542" spans="1:38" x14ac:dyDescent="0.25">
      <c r="A542" t="s">
        <v>1346</v>
      </c>
      <c r="B542" t="s">
        <v>1346</v>
      </c>
      <c r="C542" s="1">
        <v>440</v>
      </c>
      <c r="D542" s="1" t="s">
        <v>1345</v>
      </c>
      <c r="E542">
        <v>4</v>
      </c>
      <c r="F542">
        <v>0.6</v>
      </c>
      <c r="G542">
        <v>24.4</v>
      </c>
      <c r="H542" t="s">
        <v>116</v>
      </c>
      <c r="J542" t="s">
        <v>490</v>
      </c>
      <c r="K542" t="s">
        <v>491</v>
      </c>
      <c r="L542" t="s">
        <v>198</v>
      </c>
      <c r="M542" t="s">
        <v>199</v>
      </c>
      <c r="N542">
        <v>0</v>
      </c>
      <c r="O542">
        <v>100</v>
      </c>
      <c r="P542">
        <v>0</v>
      </c>
      <c r="Q542">
        <v>40</v>
      </c>
      <c r="R542" t="s">
        <v>184</v>
      </c>
      <c r="T542">
        <v>130</v>
      </c>
      <c r="U542">
        <v>110</v>
      </c>
      <c r="V542">
        <v>800000</v>
      </c>
      <c r="W542" t="s">
        <v>46</v>
      </c>
      <c r="Z542">
        <v>100</v>
      </c>
      <c r="AA542">
        <v>5</v>
      </c>
      <c r="AB542">
        <v>5</v>
      </c>
      <c r="AC542">
        <v>15</v>
      </c>
      <c r="AD542">
        <v>65</v>
      </c>
      <c r="AE542">
        <v>30</v>
      </c>
      <c r="AF542">
        <v>220</v>
      </c>
      <c r="AG542">
        <v>1</v>
      </c>
      <c r="AH542">
        <v>0</v>
      </c>
      <c r="AI542">
        <v>0</v>
      </c>
      <c r="AJ542">
        <v>0</v>
      </c>
      <c r="AK542">
        <v>0</v>
      </c>
      <c r="AL542">
        <v>0</v>
      </c>
    </row>
    <row r="543" spans="1:38" x14ac:dyDescent="0.25">
      <c r="A543" t="s">
        <v>1348</v>
      </c>
      <c r="B543" t="s">
        <v>1348</v>
      </c>
      <c r="C543" s="1">
        <v>441</v>
      </c>
      <c r="D543" s="1" t="s">
        <v>1347</v>
      </c>
      <c r="E543">
        <v>4</v>
      </c>
      <c r="F543">
        <v>0.5</v>
      </c>
      <c r="G543">
        <v>1.9</v>
      </c>
      <c r="H543" t="s">
        <v>116</v>
      </c>
      <c r="I543" t="s">
        <v>66</v>
      </c>
      <c r="J543" t="s">
        <v>117</v>
      </c>
      <c r="K543" t="s">
        <v>118</v>
      </c>
      <c r="L543" t="s">
        <v>119</v>
      </c>
      <c r="M543" t="s">
        <v>70</v>
      </c>
      <c r="N543">
        <v>50</v>
      </c>
      <c r="O543">
        <v>50</v>
      </c>
      <c r="P543">
        <v>0</v>
      </c>
      <c r="Q543">
        <v>20</v>
      </c>
      <c r="R543" t="s">
        <v>66</v>
      </c>
      <c r="T543">
        <v>30</v>
      </c>
      <c r="U543">
        <v>144</v>
      </c>
      <c r="V543">
        <v>1059860</v>
      </c>
      <c r="W543" t="s">
        <v>46</v>
      </c>
      <c r="Z543">
        <v>76</v>
      </c>
      <c r="AA543">
        <v>65</v>
      </c>
      <c r="AB543">
        <v>45</v>
      </c>
      <c r="AC543">
        <v>92</v>
      </c>
      <c r="AD543">
        <v>42</v>
      </c>
      <c r="AE543">
        <v>91</v>
      </c>
      <c r="AF543">
        <v>411</v>
      </c>
      <c r="AG543">
        <v>0</v>
      </c>
      <c r="AH543">
        <v>1</v>
      </c>
      <c r="AI543">
        <v>0</v>
      </c>
      <c r="AJ543">
        <v>0</v>
      </c>
      <c r="AK543">
        <v>0</v>
      </c>
      <c r="AL543">
        <v>0</v>
      </c>
    </row>
    <row r="544" spans="1:38" x14ac:dyDescent="0.25">
      <c r="A544" t="s">
        <v>1350</v>
      </c>
      <c r="B544" t="s">
        <v>1350</v>
      </c>
      <c r="C544" s="1">
        <v>442</v>
      </c>
      <c r="D544" s="1" t="s">
        <v>1349</v>
      </c>
      <c r="E544">
        <v>4</v>
      </c>
      <c r="F544">
        <v>1</v>
      </c>
      <c r="G544">
        <v>108</v>
      </c>
      <c r="H544" t="s">
        <v>419</v>
      </c>
      <c r="I544" t="s">
        <v>135</v>
      </c>
      <c r="J544" t="s">
        <v>581</v>
      </c>
      <c r="L544" t="s">
        <v>222</v>
      </c>
      <c r="M544" t="s">
        <v>131</v>
      </c>
      <c r="N544">
        <v>50</v>
      </c>
      <c r="O544">
        <v>50</v>
      </c>
      <c r="P544">
        <v>0</v>
      </c>
      <c r="Q544">
        <v>30</v>
      </c>
      <c r="R544" t="s">
        <v>403</v>
      </c>
      <c r="T544">
        <v>100</v>
      </c>
      <c r="U544">
        <v>170</v>
      </c>
      <c r="V544">
        <v>1000000</v>
      </c>
      <c r="W544" t="s">
        <v>46</v>
      </c>
      <c r="Z544">
        <v>50</v>
      </c>
      <c r="AA544">
        <v>92</v>
      </c>
      <c r="AB544">
        <v>108</v>
      </c>
      <c r="AC544">
        <v>92</v>
      </c>
      <c r="AD544">
        <v>108</v>
      </c>
      <c r="AE544">
        <v>35</v>
      </c>
      <c r="AF544">
        <v>485</v>
      </c>
      <c r="AG544">
        <v>0</v>
      </c>
      <c r="AH544">
        <v>0</v>
      </c>
      <c r="AI544">
        <v>1</v>
      </c>
      <c r="AJ544">
        <v>0</v>
      </c>
      <c r="AK544">
        <v>1</v>
      </c>
      <c r="AL544">
        <v>0</v>
      </c>
    </row>
    <row r="545" spans="1:38" x14ac:dyDescent="0.25">
      <c r="A545" t="s">
        <v>1352</v>
      </c>
      <c r="B545" t="s">
        <v>1352</v>
      </c>
      <c r="C545" s="1">
        <v>443</v>
      </c>
      <c r="D545" s="1" t="s">
        <v>1351</v>
      </c>
      <c r="E545">
        <v>4</v>
      </c>
      <c r="F545">
        <v>0.7</v>
      </c>
      <c r="G545">
        <v>20.5</v>
      </c>
      <c r="H545" t="s">
        <v>61</v>
      </c>
      <c r="I545" t="s">
        <v>132</v>
      </c>
      <c r="J545" t="s">
        <v>166</v>
      </c>
      <c r="L545" t="s">
        <v>1026</v>
      </c>
      <c r="M545" t="s">
        <v>79</v>
      </c>
      <c r="N545">
        <v>50</v>
      </c>
      <c r="O545">
        <v>50</v>
      </c>
      <c r="P545">
        <v>0</v>
      </c>
      <c r="Q545">
        <v>40</v>
      </c>
      <c r="R545" t="s">
        <v>45</v>
      </c>
      <c r="S545" t="s">
        <v>61</v>
      </c>
      <c r="T545">
        <v>45</v>
      </c>
      <c r="U545">
        <v>60</v>
      </c>
      <c r="V545">
        <v>1250000</v>
      </c>
      <c r="W545" t="s">
        <v>46</v>
      </c>
      <c r="Z545">
        <v>58</v>
      </c>
      <c r="AA545">
        <v>70</v>
      </c>
      <c r="AB545">
        <v>45</v>
      </c>
      <c r="AC545">
        <v>40</v>
      </c>
      <c r="AD545">
        <v>45</v>
      </c>
      <c r="AE545">
        <v>42</v>
      </c>
      <c r="AF545">
        <v>300</v>
      </c>
      <c r="AG545">
        <v>0</v>
      </c>
      <c r="AH545">
        <v>1</v>
      </c>
      <c r="AI545">
        <v>0</v>
      </c>
      <c r="AJ545">
        <v>0</v>
      </c>
      <c r="AK545">
        <v>0</v>
      </c>
      <c r="AL545">
        <v>0</v>
      </c>
    </row>
    <row r="546" spans="1:38" x14ac:dyDescent="0.25">
      <c r="A546" t="s">
        <v>1354</v>
      </c>
      <c r="B546" t="s">
        <v>1354</v>
      </c>
      <c r="C546" s="1">
        <v>444</v>
      </c>
      <c r="D546" s="1" t="s">
        <v>1353</v>
      </c>
      <c r="E546">
        <v>4</v>
      </c>
      <c r="F546">
        <v>1.4</v>
      </c>
      <c r="G546">
        <v>56</v>
      </c>
      <c r="H546" t="s">
        <v>61</v>
      </c>
      <c r="I546" t="s">
        <v>132</v>
      </c>
      <c r="J546" t="s">
        <v>166</v>
      </c>
      <c r="L546" t="s">
        <v>1026</v>
      </c>
      <c r="M546" t="s">
        <v>79</v>
      </c>
      <c r="N546">
        <v>50</v>
      </c>
      <c r="O546">
        <v>50</v>
      </c>
      <c r="P546">
        <v>0</v>
      </c>
      <c r="Q546">
        <v>40</v>
      </c>
      <c r="R546" t="s">
        <v>45</v>
      </c>
      <c r="S546" t="s">
        <v>61</v>
      </c>
      <c r="T546">
        <v>45</v>
      </c>
      <c r="U546">
        <v>144</v>
      </c>
      <c r="V546">
        <v>1250000</v>
      </c>
      <c r="W546" t="s">
        <v>46</v>
      </c>
      <c r="Z546">
        <v>68</v>
      </c>
      <c r="AA546">
        <v>90</v>
      </c>
      <c r="AB546">
        <v>65</v>
      </c>
      <c r="AC546">
        <v>50</v>
      </c>
      <c r="AD546">
        <v>55</v>
      </c>
      <c r="AE546">
        <v>82</v>
      </c>
      <c r="AF546">
        <v>410</v>
      </c>
      <c r="AG546">
        <v>0</v>
      </c>
      <c r="AH546">
        <v>2</v>
      </c>
      <c r="AI546">
        <v>0</v>
      </c>
      <c r="AJ546">
        <v>0</v>
      </c>
      <c r="AK546">
        <v>0</v>
      </c>
      <c r="AL546">
        <v>0</v>
      </c>
    </row>
    <row r="547" spans="1:38" x14ac:dyDescent="0.25">
      <c r="A547" t="s">
        <v>1356</v>
      </c>
      <c r="B547" t="s">
        <v>1356</v>
      </c>
      <c r="C547" s="1">
        <v>445</v>
      </c>
      <c r="D547" s="1" t="s">
        <v>1355</v>
      </c>
      <c r="E547">
        <v>4</v>
      </c>
      <c r="F547">
        <v>1.9</v>
      </c>
      <c r="G547">
        <v>95</v>
      </c>
      <c r="H547" t="s">
        <v>61</v>
      </c>
      <c r="I547" t="s">
        <v>132</v>
      </c>
      <c r="J547" t="s">
        <v>166</v>
      </c>
      <c r="L547" t="s">
        <v>1026</v>
      </c>
      <c r="M547" t="s">
        <v>79</v>
      </c>
      <c r="N547">
        <v>50</v>
      </c>
      <c r="O547">
        <v>50</v>
      </c>
      <c r="P547">
        <v>0</v>
      </c>
      <c r="Q547">
        <v>40</v>
      </c>
      <c r="R547" t="s">
        <v>45</v>
      </c>
      <c r="S547" t="s">
        <v>61</v>
      </c>
      <c r="T547">
        <v>45</v>
      </c>
      <c r="U547">
        <v>300</v>
      </c>
      <c r="V547">
        <v>1250000</v>
      </c>
      <c r="W547" t="s">
        <v>46</v>
      </c>
      <c r="Z547">
        <v>108</v>
      </c>
      <c r="AA547">
        <v>130</v>
      </c>
      <c r="AB547">
        <v>95</v>
      </c>
      <c r="AC547">
        <v>80</v>
      </c>
      <c r="AD547">
        <v>85</v>
      </c>
      <c r="AE547">
        <v>102</v>
      </c>
      <c r="AF547">
        <v>600</v>
      </c>
      <c r="AG547">
        <v>0</v>
      </c>
      <c r="AH547">
        <v>3</v>
      </c>
      <c r="AI547">
        <v>0</v>
      </c>
      <c r="AJ547">
        <v>0</v>
      </c>
      <c r="AK547">
        <v>0</v>
      </c>
      <c r="AL547">
        <v>0</v>
      </c>
    </row>
    <row r="548" spans="1:38" x14ac:dyDescent="0.25">
      <c r="A548" t="s">
        <v>1356</v>
      </c>
      <c r="B548" t="s">
        <v>1358</v>
      </c>
      <c r="C548" s="1">
        <v>445</v>
      </c>
      <c r="D548" s="1" t="s">
        <v>1357</v>
      </c>
      <c r="E548">
        <v>4</v>
      </c>
      <c r="F548">
        <v>1.9</v>
      </c>
      <c r="G548">
        <v>95</v>
      </c>
      <c r="H548" t="s">
        <v>61</v>
      </c>
      <c r="I548" t="s">
        <v>132</v>
      </c>
      <c r="J548" t="s">
        <v>247</v>
      </c>
      <c r="M548" t="s">
        <v>79</v>
      </c>
      <c r="N548">
        <v>50</v>
      </c>
      <c r="O548">
        <v>50</v>
      </c>
      <c r="P548">
        <v>0</v>
      </c>
      <c r="Q548">
        <v>40</v>
      </c>
      <c r="R548" t="s">
        <v>45</v>
      </c>
      <c r="S548" t="s">
        <v>61</v>
      </c>
      <c r="T548">
        <v>45</v>
      </c>
      <c r="U548">
        <v>315</v>
      </c>
      <c r="V548">
        <v>1250000</v>
      </c>
      <c r="W548" t="s">
        <v>46</v>
      </c>
      <c r="X548" t="s">
        <v>54</v>
      </c>
      <c r="Z548">
        <v>108</v>
      </c>
      <c r="AA548">
        <v>170</v>
      </c>
      <c r="AB548">
        <v>115</v>
      </c>
      <c r="AC548">
        <v>120</v>
      </c>
      <c r="AD548">
        <v>95</v>
      </c>
      <c r="AE548">
        <v>92</v>
      </c>
      <c r="AF548">
        <v>700</v>
      </c>
      <c r="AG548">
        <v>0</v>
      </c>
      <c r="AH548">
        <v>3</v>
      </c>
      <c r="AI548">
        <v>0</v>
      </c>
      <c r="AJ548">
        <v>0</v>
      </c>
      <c r="AK548">
        <v>0</v>
      </c>
      <c r="AL548">
        <v>0</v>
      </c>
    </row>
    <row r="549" spans="1:38" x14ac:dyDescent="0.25">
      <c r="A549" t="s">
        <v>1360</v>
      </c>
      <c r="B549" t="s">
        <v>1360</v>
      </c>
      <c r="C549" s="1">
        <v>446</v>
      </c>
      <c r="D549" s="1" t="s">
        <v>1359</v>
      </c>
      <c r="E549">
        <v>4</v>
      </c>
      <c r="F549">
        <v>0.6</v>
      </c>
      <c r="G549">
        <v>105</v>
      </c>
      <c r="H549" t="s">
        <v>116</v>
      </c>
      <c r="J549" t="s">
        <v>257</v>
      </c>
      <c r="K549" t="s">
        <v>53</v>
      </c>
      <c r="L549" t="s">
        <v>136</v>
      </c>
      <c r="M549" t="s">
        <v>70</v>
      </c>
      <c r="N549">
        <v>87.5</v>
      </c>
      <c r="O549">
        <v>12.5</v>
      </c>
      <c r="P549">
        <v>0</v>
      </c>
      <c r="Q549">
        <v>40</v>
      </c>
      <c r="R549" t="s">
        <v>184</v>
      </c>
      <c r="T549">
        <v>50</v>
      </c>
      <c r="U549">
        <v>78</v>
      </c>
      <c r="V549">
        <v>1250000</v>
      </c>
      <c r="W549" t="s">
        <v>46</v>
      </c>
      <c r="Z549">
        <v>135</v>
      </c>
      <c r="AA549">
        <v>85</v>
      </c>
      <c r="AB549">
        <v>40</v>
      </c>
      <c r="AC549">
        <v>40</v>
      </c>
      <c r="AD549">
        <v>85</v>
      </c>
      <c r="AE549">
        <v>5</v>
      </c>
      <c r="AF549">
        <v>390</v>
      </c>
      <c r="AG549">
        <v>1</v>
      </c>
      <c r="AH549">
        <v>0</v>
      </c>
      <c r="AI549">
        <v>0</v>
      </c>
      <c r="AJ549">
        <v>0</v>
      </c>
      <c r="AK549">
        <v>0</v>
      </c>
      <c r="AL549">
        <v>0</v>
      </c>
    </row>
    <row r="550" spans="1:38" x14ac:dyDescent="0.25">
      <c r="A550" t="s">
        <v>1362</v>
      </c>
      <c r="B550" t="s">
        <v>1362</v>
      </c>
      <c r="C550" s="1">
        <v>447</v>
      </c>
      <c r="D550" s="1" t="s">
        <v>1361</v>
      </c>
      <c r="E550">
        <v>4</v>
      </c>
      <c r="F550">
        <v>0.7</v>
      </c>
      <c r="G550">
        <v>20.2</v>
      </c>
      <c r="H550" t="s">
        <v>279</v>
      </c>
      <c r="J550" t="s">
        <v>317</v>
      </c>
      <c r="K550" t="s">
        <v>221</v>
      </c>
      <c r="L550" t="s">
        <v>726</v>
      </c>
      <c r="M550" t="s">
        <v>79</v>
      </c>
      <c r="N550">
        <v>87.5</v>
      </c>
      <c r="O550">
        <v>12.5</v>
      </c>
      <c r="P550">
        <v>0</v>
      </c>
      <c r="Q550">
        <v>25</v>
      </c>
      <c r="R550" t="s">
        <v>184</v>
      </c>
      <c r="T550">
        <v>75</v>
      </c>
      <c r="U550">
        <v>57</v>
      </c>
      <c r="V550">
        <v>1059860</v>
      </c>
      <c r="W550" t="s">
        <v>46</v>
      </c>
      <c r="Z550">
        <v>40</v>
      </c>
      <c r="AA550">
        <v>70</v>
      </c>
      <c r="AB550">
        <v>40</v>
      </c>
      <c r="AC550">
        <v>35</v>
      </c>
      <c r="AD550">
        <v>40</v>
      </c>
      <c r="AE550">
        <v>60</v>
      </c>
      <c r="AF550">
        <v>285</v>
      </c>
      <c r="AG550">
        <v>0</v>
      </c>
      <c r="AH550">
        <v>1</v>
      </c>
      <c r="AI550">
        <v>0</v>
      </c>
      <c r="AJ550">
        <v>0</v>
      </c>
      <c r="AK550">
        <v>0</v>
      </c>
      <c r="AL550">
        <v>0</v>
      </c>
    </row>
    <row r="551" spans="1:38" x14ac:dyDescent="0.25">
      <c r="A551" t="s">
        <v>1364</v>
      </c>
      <c r="B551" t="s">
        <v>1364</v>
      </c>
      <c r="C551" s="1">
        <v>448</v>
      </c>
      <c r="D551" s="1" t="s">
        <v>1363</v>
      </c>
      <c r="E551">
        <v>4</v>
      </c>
      <c r="F551">
        <v>1.2</v>
      </c>
      <c r="G551">
        <v>54</v>
      </c>
      <c r="H551" t="s">
        <v>279</v>
      </c>
      <c r="I551" t="s">
        <v>171</v>
      </c>
      <c r="J551" t="s">
        <v>317</v>
      </c>
      <c r="K551" t="s">
        <v>221</v>
      </c>
      <c r="L551" t="s">
        <v>287</v>
      </c>
      <c r="M551" t="s">
        <v>79</v>
      </c>
      <c r="N551">
        <v>87.5</v>
      </c>
      <c r="O551">
        <v>12.5</v>
      </c>
      <c r="P551">
        <v>0</v>
      </c>
      <c r="Q551">
        <v>25</v>
      </c>
      <c r="R551" t="s">
        <v>132</v>
      </c>
      <c r="S551" t="s">
        <v>307</v>
      </c>
      <c r="T551">
        <v>45</v>
      </c>
      <c r="U551">
        <v>184</v>
      </c>
      <c r="V551">
        <v>1059860</v>
      </c>
      <c r="W551" t="s">
        <v>46</v>
      </c>
      <c r="Z551">
        <v>70</v>
      </c>
      <c r="AA551">
        <v>110</v>
      </c>
      <c r="AB551">
        <v>70</v>
      </c>
      <c r="AC551">
        <v>115</v>
      </c>
      <c r="AD551">
        <v>70</v>
      </c>
      <c r="AE551">
        <v>90</v>
      </c>
      <c r="AF551">
        <v>525</v>
      </c>
      <c r="AG551">
        <v>0</v>
      </c>
      <c r="AH551">
        <v>1</v>
      </c>
      <c r="AI551">
        <v>0</v>
      </c>
      <c r="AJ551">
        <v>1</v>
      </c>
      <c r="AK551">
        <v>0</v>
      </c>
      <c r="AL551">
        <v>0</v>
      </c>
    </row>
    <row r="552" spans="1:38" x14ac:dyDescent="0.25">
      <c r="A552" t="s">
        <v>1364</v>
      </c>
      <c r="B552" t="s">
        <v>1366</v>
      </c>
      <c r="C552" s="1">
        <v>448</v>
      </c>
      <c r="D552" s="1" t="s">
        <v>1365</v>
      </c>
      <c r="E552">
        <v>4</v>
      </c>
      <c r="F552">
        <v>1.3</v>
      </c>
      <c r="G552">
        <v>57.5</v>
      </c>
      <c r="H552" t="s">
        <v>279</v>
      </c>
      <c r="I552" t="s">
        <v>171</v>
      </c>
      <c r="J552" t="s">
        <v>113</v>
      </c>
      <c r="M552" t="s">
        <v>79</v>
      </c>
      <c r="N552">
        <v>87.5</v>
      </c>
      <c r="O552">
        <v>12.5</v>
      </c>
      <c r="P552">
        <v>0</v>
      </c>
      <c r="Q552">
        <v>25</v>
      </c>
      <c r="R552" t="s">
        <v>132</v>
      </c>
      <c r="S552" t="s">
        <v>307</v>
      </c>
      <c r="T552">
        <v>45</v>
      </c>
      <c r="U552">
        <v>219</v>
      </c>
      <c r="V552">
        <v>1059860</v>
      </c>
      <c r="W552" t="s">
        <v>46</v>
      </c>
      <c r="X552" t="s">
        <v>54</v>
      </c>
      <c r="Z552">
        <v>70</v>
      </c>
      <c r="AA552">
        <v>145</v>
      </c>
      <c r="AB552">
        <v>88</v>
      </c>
      <c r="AC552">
        <v>140</v>
      </c>
      <c r="AD552">
        <v>70</v>
      </c>
      <c r="AE552">
        <v>112</v>
      </c>
      <c r="AF552">
        <v>625</v>
      </c>
      <c r="AG552">
        <v>0</v>
      </c>
      <c r="AH552">
        <v>1</v>
      </c>
      <c r="AI552">
        <v>0</v>
      </c>
      <c r="AJ552">
        <v>1</v>
      </c>
      <c r="AK552">
        <v>0</v>
      </c>
      <c r="AL552">
        <v>0</v>
      </c>
    </row>
    <row r="553" spans="1:38" x14ac:dyDescent="0.25">
      <c r="A553" t="s">
        <v>1368</v>
      </c>
      <c r="B553" t="s">
        <v>1368</v>
      </c>
      <c r="C553" s="1">
        <v>449</v>
      </c>
      <c r="D553" s="1" t="s">
        <v>1367</v>
      </c>
      <c r="E553">
        <v>4</v>
      </c>
      <c r="F553">
        <v>0.8</v>
      </c>
      <c r="G553">
        <v>49.5</v>
      </c>
      <c r="H553" t="s">
        <v>132</v>
      </c>
      <c r="J553" t="s">
        <v>852</v>
      </c>
      <c r="L553" t="s">
        <v>247</v>
      </c>
      <c r="M553" t="s">
        <v>103</v>
      </c>
      <c r="N553">
        <v>50</v>
      </c>
      <c r="O553">
        <v>50</v>
      </c>
      <c r="P553">
        <v>0</v>
      </c>
      <c r="Q553">
        <v>30</v>
      </c>
      <c r="R553" t="s">
        <v>132</v>
      </c>
      <c r="T553">
        <v>140</v>
      </c>
      <c r="U553">
        <v>66</v>
      </c>
      <c r="V553">
        <v>1250000</v>
      </c>
      <c r="W553" t="s">
        <v>46</v>
      </c>
      <c r="Z553">
        <v>68</v>
      </c>
      <c r="AA553">
        <v>72</v>
      </c>
      <c r="AB553">
        <v>78</v>
      </c>
      <c r="AC553">
        <v>38</v>
      </c>
      <c r="AD553">
        <v>42</v>
      </c>
      <c r="AE553">
        <v>32</v>
      </c>
      <c r="AF553">
        <v>330</v>
      </c>
      <c r="AG553">
        <v>0</v>
      </c>
      <c r="AH553">
        <v>0</v>
      </c>
      <c r="AI553">
        <v>1</v>
      </c>
      <c r="AJ553">
        <v>0</v>
      </c>
      <c r="AK553">
        <v>0</v>
      </c>
      <c r="AL553">
        <v>0</v>
      </c>
    </row>
    <row r="554" spans="1:38" x14ac:dyDescent="0.25">
      <c r="A554" t="s">
        <v>1370</v>
      </c>
      <c r="B554" t="s">
        <v>1370</v>
      </c>
      <c r="C554" s="1">
        <v>450</v>
      </c>
      <c r="D554" s="1" t="s">
        <v>1369</v>
      </c>
      <c r="E554">
        <v>4</v>
      </c>
      <c r="F554">
        <v>2</v>
      </c>
      <c r="G554">
        <v>300</v>
      </c>
      <c r="H554" t="s">
        <v>132</v>
      </c>
      <c r="J554" t="s">
        <v>852</v>
      </c>
      <c r="L554" t="s">
        <v>247</v>
      </c>
      <c r="M554" t="s">
        <v>103</v>
      </c>
      <c r="N554">
        <v>50</v>
      </c>
      <c r="O554">
        <v>50</v>
      </c>
      <c r="P554">
        <v>0</v>
      </c>
      <c r="Q554">
        <v>30</v>
      </c>
      <c r="R554" t="s">
        <v>132</v>
      </c>
      <c r="T554">
        <v>60</v>
      </c>
      <c r="U554">
        <v>184</v>
      </c>
      <c r="V554">
        <v>1250000</v>
      </c>
      <c r="W554" t="s">
        <v>46</v>
      </c>
      <c r="Z554">
        <v>108</v>
      </c>
      <c r="AA554">
        <v>112</v>
      </c>
      <c r="AB554">
        <v>118</v>
      </c>
      <c r="AC554">
        <v>68</v>
      </c>
      <c r="AD554">
        <v>72</v>
      </c>
      <c r="AE554">
        <v>47</v>
      </c>
      <c r="AF554">
        <v>525</v>
      </c>
      <c r="AG554">
        <v>0</v>
      </c>
      <c r="AH554">
        <v>0</v>
      </c>
      <c r="AI554">
        <v>2</v>
      </c>
      <c r="AJ554">
        <v>0</v>
      </c>
      <c r="AK554">
        <v>0</v>
      </c>
      <c r="AL554">
        <v>0</v>
      </c>
    </row>
    <row r="555" spans="1:38" x14ac:dyDescent="0.25">
      <c r="A555" t="s">
        <v>1372</v>
      </c>
      <c r="B555" t="s">
        <v>1372</v>
      </c>
      <c r="C555" s="1">
        <v>451</v>
      </c>
      <c r="D555" s="1" t="s">
        <v>1371</v>
      </c>
      <c r="E555">
        <v>4</v>
      </c>
      <c r="F555">
        <v>0.8</v>
      </c>
      <c r="G555">
        <v>12</v>
      </c>
      <c r="H555" t="s">
        <v>41</v>
      </c>
      <c r="I555" t="s">
        <v>90</v>
      </c>
      <c r="J555" t="s">
        <v>462</v>
      </c>
      <c r="K555" t="s">
        <v>110</v>
      </c>
      <c r="L555" t="s">
        <v>117</v>
      </c>
      <c r="M555" t="s">
        <v>131</v>
      </c>
      <c r="N555">
        <v>50</v>
      </c>
      <c r="O555">
        <v>50</v>
      </c>
      <c r="P555">
        <v>0</v>
      </c>
      <c r="Q555">
        <v>20</v>
      </c>
      <c r="R555" t="s">
        <v>90</v>
      </c>
      <c r="S555" t="s">
        <v>333</v>
      </c>
      <c r="T555">
        <v>120</v>
      </c>
      <c r="U555">
        <v>66</v>
      </c>
      <c r="V555">
        <v>1250000</v>
      </c>
      <c r="W555" t="s">
        <v>46</v>
      </c>
      <c r="Z555">
        <v>40</v>
      </c>
      <c r="AA555">
        <v>50</v>
      </c>
      <c r="AB555">
        <v>90</v>
      </c>
      <c r="AC555">
        <v>30</v>
      </c>
      <c r="AD555">
        <v>55</v>
      </c>
      <c r="AE555">
        <v>65</v>
      </c>
      <c r="AF555">
        <v>330</v>
      </c>
      <c r="AG555">
        <v>0</v>
      </c>
      <c r="AH555">
        <v>0</v>
      </c>
      <c r="AI555">
        <v>1</v>
      </c>
      <c r="AJ555">
        <v>0</v>
      </c>
      <c r="AK555">
        <v>0</v>
      </c>
      <c r="AL555">
        <v>0</v>
      </c>
    </row>
    <row r="556" spans="1:38" x14ac:dyDescent="0.25">
      <c r="A556" t="s">
        <v>1374</v>
      </c>
      <c r="B556" t="s">
        <v>1374</v>
      </c>
      <c r="C556" s="1">
        <v>452</v>
      </c>
      <c r="D556" s="1" t="s">
        <v>1373</v>
      </c>
      <c r="E556">
        <v>4</v>
      </c>
      <c r="F556">
        <v>1.3</v>
      </c>
      <c r="G556">
        <v>61.5</v>
      </c>
      <c r="H556" t="s">
        <v>41</v>
      </c>
      <c r="I556" t="s">
        <v>135</v>
      </c>
      <c r="J556" t="s">
        <v>462</v>
      </c>
      <c r="K556" t="s">
        <v>110</v>
      </c>
      <c r="L556" t="s">
        <v>117</v>
      </c>
      <c r="M556" t="s">
        <v>131</v>
      </c>
      <c r="N556">
        <v>50</v>
      </c>
      <c r="O556">
        <v>50</v>
      </c>
      <c r="P556">
        <v>0</v>
      </c>
      <c r="Q556">
        <v>20</v>
      </c>
      <c r="R556" t="s">
        <v>90</v>
      </c>
      <c r="S556" t="s">
        <v>333</v>
      </c>
      <c r="T556">
        <v>45</v>
      </c>
      <c r="U556">
        <v>175</v>
      </c>
      <c r="V556">
        <v>1250000</v>
      </c>
      <c r="W556" t="s">
        <v>46</v>
      </c>
      <c r="Z556">
        <v>70</v>
      </c>
      <c r="AA556">
        <v>90</v>
      </c>
      <c r="AB556">
        <v>110</v>
      </c>
      <c r="AC556">
        <v>60</v>
      </c>
      <c r="AD556">
        <v>75</v>
      </c>
      <c r="AE556">
        <v>95</v>
      </c>
      <c r="AF556">
        <v>500</v>
      </c>
      <c r="AG556">
        <v>0</v>
      </c>
      <c r="AH556">
        <v>0</v>
      </c>
      <c r="AI556">
        <v>2</v>
      </c>
      <c r="AJ556">
        <v>0</v>
      </c>
      <c r="AK556">
        <v>0</v>
      </c>
      <c r="AL556">
        <v>0</v>
      </c>
    </row>
    <row r="557" spans="1:38" x14ac:dyDescent="0.25">
      <c r="A557" t="s">
        <v>1376</v>
      </c>
      <c r="B557" t="s">
        <v>1376</v>
      </c>
      <c r="C557" s="1">
        <v>453</v>
      </c>
      <c r="D557" s="1" t="s">
        <v>1375</v>
      </c>
      <c r="E557">
        <v>4</v>
      </c>
      <c r="F557">
        <v>0.7</v>
      </c>
      <c r="G557">
        <v>23</v>
      </c>
      <c r="H557" t="s">
        <v>41</v>
      </c>
      <c r="I557" t="s">
        <v>279</v>
      </c>
      <c r="J557" t="s">
        <v>358</v>
      </c>
      <c r="K557" t="s">
        <v>235</v>
      </c>
      <c r="L557" t="s">
        <v>402</v>
      </c>
      <c r="M557" t="s">
        <v>79</v>
      </c>
      <c r="N557">
        <v>50</v>
      </c>
      <c r="O557">
        <v>50</v>
      </c>
      <c r="P557">
        <v>0</v>
      </c>
      <c r="Q557">
        <v>10</v>
      </c>
      <c r="R557" t="s">
        <v>307</v>
      </c>
      <c r="T557">
        <v>140</v>
      </c>
      <c r="U557">
        <v>60</v>
      </c>
      <c r="V557">
        <v>1000000</v>
      </c>
      <c r="W557" t="s">
        <v>46</v>
      </c>
      <c r="Z557">
        <v>48</v>
      </c>
      <c r="AA557">
        <v>61</v>
      </c>
      <c r="AB557">
        <v>40</v>
      </c>
      <c r="AC557">
        <v>61</v>
      </c>
      <c r="AD557">
        <v>40</v>
      </c>
      <c r="AE557">
        <v>50</v>
      </c>
      <c r="AF557">
        <v>300</v>
      </c>
      <c r="AG557">
        <v>0</v>
      </c>
      <c r="AH557">
        <v>1</v>
      </c>
      <c r="AI557">
        <v>0</v>
      </c>
      <c r="AJ557">
        <v>0</v>
      </c>
      <c r="AK557">
        <v>0</v>
      </c>
      <c r="AL557">
        <v>0</v>
      </c>
    </row>
    <row r="558" spans="1:38" x14ac:dyDescent="0.25">
      <c r="A558" t="s">
        <v>1378</v>
      </c>
      <c r="B558" t="s">
        <v>1378</v>
      </c>
      <c r="C558" s="1">
        <v>454</v>
      </c>
      <c r="D558" s="1" t="s">
        <v>1377</v>
      </c>
      <c r="E558">
        <v>4</v>
      </c>
      <c r="F558">
        <v>1.3</v>
      </c>
      <c r="G558">
        <v>44.4</v>
      </c>
      <c r="H558" t="s">
        <v>41</v>
      </c>
      <c r="I558" t="s">
        <v>279</v>
      </c>
      <c r="J558" t="s">
        <v>358</v>
      </c>
      <c r="K558" t="s">
        <v>235</v>
      </c>
      <c r="L558" t="s">
        <v>402</v>
      </c>
      <c r="M558" t="s">
        <v>79</v>
      </c>
      <c r="N558">
        <v>50</v>
      </c>
      <c r="O558">
        <v>50</v>
      </c>
      <c r="P558">
        <v>0</v>
      </c>
      <c r="Q558">
        <v>20</v>
      </c>
      <c r="R558" t="s">
        <v>307</v>
      </c>
      <c r="T558">
        <v>75</v>
      </c>
      <c r="U558">
        <v>172</v>
      </c>
      <c r="V558">
        <v>1000000</v>
      </c>
      <c r="W558" t="s">
        <v>46</v>
      </c>
      <c r="Z558">
        <v>83</v>
      </c>
      <c r="AA558">
        <v>106</v>
      </c>
      <c r="AB558">
        <v>65</v>
      </c>
      <c r="AC558">
        <v>86</v>
      </c>
      <c r="AD558">
        <v>65</v>
      </c>
      <c r="AE558">
        <v>85</v>
      </c>
      <c r="AF558">
        <v>490</v>
      </c>
      <c r="AG558">
        <v>0</v>
      </c>
      <c r="AH558">
        <v>2</v>
      </c>
      <c r="AI558">
        <v>0</v>
      </c>
      <c r="AJ558">
        <v>0</v>
      </c>
      <c r="AK558">
        <v>0</v>
      </c>
      <c r="AL558">
        <v>0</v>
      </c>
    </row>
    <row r="559" spans="1:38" x14ac:dyDescent="0.25">
      <c r="A559" t="s">
        <v>1380</v>
      </c>
      <c r="B559" t="s">
        <v>1380</v>
      </c>
      <c r="C559" s="1">
        <v>455</v>
      </c>
      <c r="D559" s="1" t="s">
        <v>1379</v>
      </c>
      <c r="E559">
        <v>4</v>
      </c>
      <c r="F559">
        <v>1.4</v>
      </c>
      <c r="G559">
        <v>27</v>
      </c>
      <c r="H559" t="s">
        <v>40</v>
      </c>
      <c r="J559" t="s">
        <v>420</v>
      </c>
      <c r="M559" t="s">
        <v>44</v>
      </c>
      <c r="N559">
        <v>50</v>
      </c>
      <c r="O559">
        <v>50</v>
      </c>
      <c r="P559">
        <v>0</v>
      </c>
      <c r="Q559">
        <v>25</v>
      </c>
      <c r="R559" t="s">
        <v>40</v>
      </c>
      <c r="T559">
        <v>200</v>
      </c>
      <c r="U559">
        <v>159</v>
      </c>
      <c r="V559">
        <v>1250000</v>
      </c>
      <c r="W559" t="s">
        <v>46</v>
      </c>
      <c r="Z559">
        <v>74</v>
      </c>
      <c r="AA559">
        <v>100</v>
      </c>
      <c r="AB559">
        <v>72</v>
      </c>
      <c r="AC559">
        <v>90</v>
      </c>
      <c r="AD559">
        <v>72</v>
      </c>
      <c r="AE559">
        <v>46</v>
      </c>
      <c r="AF559">
        <v>454</v>
      </c>
      <c r="AG559">
        <v>0</v>
      </c>
      <c r="AH559">
        <v>2</v>
      </c>
      <c r="AI559">
        <v>0</v>
      </c>
      <c r="AJ559">
        <v>0</v>
      </c>
      <c r="AK559">
        <v>0</v>
      </c>
      <c r="AL559">
        <v>0</v>
      </c>
    </row>
    <row r="560" spans="1:38" x14ac:dyDescent="0.25">
      <c r="A560" t="s">
        <v>1382</v>
      </c>
      <c r="B560" t="s">
        <v>1382</v>
      </c>
      <c r="C560" s="1">
        <v>456</v>
      </c>
      <c r="D560" s="1" t="s">
        <v>1381</v>
      </c>
      <c r="E560">
        <v>4</v>
      </c>
      <c r="F560">
        <v>0.4</v>
      </c>
      <c r="G560">
        <v>7</v>
      </c>
      <c r="H560" t="s">
        <v>76</v>
      </c>
      <c r="J560" t="s">
        <v>274</v>
      </c>
      <c r="K560" t="s">
        <v>1092</v>
      </c>
      <c r="L560" t="s">
        <v>507</v>
      </c>
      <c r="M560" t="s">
        <v>79</v>
      </c>
      <c r="N560">
        <v>50</v>
      </c>
      <c r="O560">
        <v>50</v>
      </c>
      <c r="P560">
        <v>0</v>
      </c>
      <c r="Q560">
        <v>20</v>
      </c>
      <c r="R560" t="s">
        <v>508</v>
      </c>
      <c r="T560">
        <v>190</v>
      </c>
      <c r="U560">
        <v>66</v>
      </c>
      <c r="V560">
        <v>600000</v>
      </c>
      <c r="W560" t="s">
        <v>46</v>
      </c>
      <c r="Z560">
        <v>49</v>
      </c>
      <c r="AA560">
        <v>49</v>
      </c>
      <c r="AB560">
        <v>56</v>
      </c>
      <c r="AC560">
        <v>49</v>
      </c>
      <c r="AD560">
        <v>61</v>
      </c>
      <c r="AE560">
        <v>66</v>
      </c>
      <c r="AF560">
        <v>330</v>
      </c>
      <c r="AG560">
        <v>0</v>
      </c>
      <c r="AH560">
        <v>0</v>
      </c>
      <c r="AI560">
        <v>0</v>
      </c>
      <c r="AJ560">
        <v>0</v>
      </c>
      <c r="AK560">
        <v>0</v>
      </c>
      <c r="AL560">
        <v>1</v>
      </c>
    </row>
    <row r="561" spans="1:38" x14ac:dyDescent="0.25">
      <c r="A561" t="s">
        <v>1384</v>
      </c>
      <c r="B561" t="s">
        <v>1384</v>
      </c>
      <c r="C561" s="1">
        <v>457</v>
      </c>
      <c r="D561" s="1" t="s">
        <v>1383</v>
      </c>
      <c r="E561">
        <v>4</v>
      </c>
      <c r="F561">
        <v>1.2</v>
      </c>
      <c r="G561">
        <v>24</v>
      </c>
      <c r="H561" t="s">
        <v>76</v>
      </c>
      <c r="J561" t="s">
        <v>274</v>
      </c>
      <c r="K561" t="s">
        <v>1092</v>
      </c>
      <c r="L561" t="s">
        <v>507</v>
      </c>
      <c r="M561" t="s">
        <v>79</v>
      </c>
      <c r="N561">
        <v>50</v>
      </c>
      <c r="O561">
        <v>50</v>
      </c>
      <c r="P561">
        <v>0</v>
      </c>
      <c r="Q561">
        <v>20</v>
      </c>
      <c r="R561" t="s">
        <v>508</v>
      </c>
      <c r="T561">
        <v>75</v>
      </c>
      <c r="U561">
        <v>161</v>
      </c>
      <c r="V561">
        <v>600000</v>
      </c>
      <c r="W561" t="s">
        <v>46</v>
      </c>
      <c r="Z561">
        <v>69</v>
      </c>
      <c r="AA561">
        <v>69</v>
      </c>
      <c r="AB561">
        <v>76</v>
      </c>
      <c r="AC561">
        <v>69</v>
      </c>
      <c r="AD561">
        <v>86</v>
      </c>
      <c r="AE561">
        <v>91</v>
      </c>
      <c r="AF561">
        <v>460</v>
      </c>
      <c r="AG561">
        <v>0</v>
      </c>
      <c r="AH561">
        <v>0</v>
      </c>
      <c r="AI561">
        <v>0</v>
      </c>
      <c r="AJ561">
        <v>0</v>
      </c>
      <c r="AK561">
        <v>0</v>
      </c>
      <c r="AL561">
        <v>2</v>
      </c>
    </row>
    <row r="562" spans="1:38" x14ac:dyDescent="0.25">
      <c r="A562" t="s">
        <v>1386</v>
      </c>
      <c r="B562" t="s">
        <v>1386</v>
      </c>
      <c r="C562" s="1">
        <v>458</v>
      </c>
      <c r="D562" s="1" t="s">
        <v>1385</v>
      </c>
      <c r="E562">
        <v>4</v>
      </c>
      <c r="F562">
        <v>1</v>
      </c>
      <c r="G562">
        <v>65</v>
      </c>
      <c r="H562" t="s">
        <v>76</v>
      </c>
      <c r="I562" t="s">
        <v>66</v>
      </c>
      <c r="J562" t="s">
        <v>274</v>
      </c>
      <c r="K562" t="s">
        <v>299</v>
      </c>
      <c r="L562" t="s">
        <v>507</v>
      </c>
      <c r="M562" t="s">
        <v>79</v>
      </c>
      <c r="N562">
        <v>50</v>
      </c>
      <c r="O562">
        <v>50</v>
      </c>
      <c r="P562">
        <v>0</v>
      </c>
      <c r="Q562">
        <v>25</v>
      </c>
      <c r="R562" t="s">
        <v>184</v>
      </c>
      <c r="T562">
        <v>25</v>
      </c>
      <c r="U562">
        <v>69</v>
      </c>
      <c r="V562">
        <v>1250000</v>
      </c>
      <c r="W562" t="s">
        <v>46</v>
      </c>
      <c r="Z562">
        <v>45</v>
      </c>
      <c r="AA562">
        <v>20</v>
      </c>
      <c r="AB562">
        <v>50</v>
      </c>
      <c r="AC562">
        <v>60</v>
      </c>
      <c r="AD562">
        <v>120</v>
      </c>
      <c r="AE562">
        <v>50</v>
      </c>
      <c r="AF562">
        <v>345</v>
      </c>
      <c r="AG562">
        <v>0</v>
      </c>
      <c r="AH562">
        <v>0</v>
      </c>
      <c r="AI562">
        <v>0</v>
      </c>
      <c r="AJ562">
        <v>0</v>
      </c>
      <c r="AK562">
        <v>1</v>
      </c>
      <c r="AL562">
        <v>0</v>
      </c>
    </row>
    <row r="563" spans="1:38" x14ac:dyDescent="0.25">
      <c r="A563" t="s">
        <v>1388</v>
      </c>
      <c r="B563" t="s">
        <v>1388</v>
      </c>
      <c r="C563" s="1">
        <v>459</v>
      </c>
      <c r="D563" s="1" t="s">
        <v>1387</v>
      </c>
      <c r="E563">
        <v>4</v>
      </c>
      <c r="F563">
        <v>1</v>
      </c>
      <c r="G563">
        <v>50.5</v>
      </c>
      <c r="H563" t="s">
        <v>40</v>
      </c>
      <c r="I563" t="s">
        <v>170</v>
      </c>
      <c r="J563" t="s">
        <v>208</v>
      </c>
      <c r="L563" t="s">
        <v>445</v>
      </c>
      <c r="M563" t="s">
        <v>100</v>
      </c>
      <c r="N563">
        <v>50</v>
      </c>
      <c r="O563">
        <v>50</v>
      </c>
      <c r="P563">
        <v>0</v>
      </c>
      <c r="Q563">
        <v>20</v>
      </c>
      <c r="R563" t="s">
        <v>45</v>
      </c>
      <c r="S563" t="s">
        <v>40</v>
      </c>
      <c r="T563">
        <v>120</v>
      </c>
      <c r="U563">
        <v>67</v>
      </c>
      <c r="V563">
        <v>1250000</v>
      </c>
      <c r="W563" t="s">
        <v>46</v>
      </c>
      <c r="Z563">
        <v>60</v>
      </c>
      <c r="AA563">
        <v>62</v>
      </c>
      <c r="AB563">
        <v>50</v>
      </c>
      <c r="AC563">
        <v>62</v>
      </c>
      <c r="AD563">
        <v>60</v>
      </c>
      <c r="AE563">
        <v>40</v>
      </c>
      <c r="AF563">
        <v>334</v>
      </c>
      <c r="AG563">
        <v>0</v>
      </c>
      <c r="AH563">
        <v>1</v>
      </c>
      <c r="AI563">
        <v>0</v>
      </c>
      <c r="AJ563">
        <v>0</v>
      </c>
      <c r="AK563">
        <v>0</v>
      </c>
      <c r="AL563">
        <v>0</v>
      </c>
    </row>
    <row r="564" spans="1:38" x14ac:dyDescent="0.25">
      <c r="A564" t="s">
        <v>1390</v>
      </c>
      <c r="B564" t="s">
        <v>1390</v>
      </c>
      <c r="C564" s="1">
        <v>460</v>
      </c>
      <c r="D564" s="1" t="s">
        <v>1389</v>
      </c>
      <c r="E564">
        <v>4</v>
      </c>
      <c r="F564">
        <v>2.2000000000000002</v>
      </c>
      <c r="G564">
        <v>135.5</v>
      </c>
      <c r="H564" t="s">
        <v>40</v>
      </c>
      <c r="I564" t="s">
        <v>170</v>
      </c>
      <c r="J564" t="s">
        <v>208</v>
      </c>
      <c r="L564" t="s">
        <v>445</v>
      </c>
      <c r="M564" t="s">
        <v>100</v>
      </c>
      <c r="N564">
        <v>50</v>
      </c>
      <c r="O564">
        <v>50</v>
      </c>
      <c r="P564">
        <v>0</v>
      </c>
      <c r="Q564">
        <v>20</v>
      </c>
      <c r="R564" t="s">
        <v>45</v>
      </c>
      <c r="S564" t="s">
        <v>40</v>
      </c>
      <c r="T564">
        <v>60</v>
      </c>
      <c r="U564">
        <v>173</v>
      </c>
      <c r="V564">
        <v>1250000</v>
      </c>
      <c r="W564" t="s">
        <v>46</v>
      </c>
      <c r="Z564">
        <v>90</v>
      </c>
      <c r="AA564">
        <v>92</v>
      </c>
      <c r="AB564">
        <v>75</v>
      </c>
      <c r="AC564">
        <v>92</v>
      </c>
      <c r="AD564">
        <v>85</v>
      </c>
      <c r="AE564">
        <v>60</v>
      </c>
      <c r="AF564">
        <v>494</v>
      </c>
      <c r="AG564">
        <v>0</v>
      </c>
      <c r="AH564">
        <v>1</v>
      </c>
      <c r="AI564">
        <v>0</v>
      </c>
      <c r="AJ564">
        <v>1</v>
      </c>
      <c r="AK564">
        <v>0</v>
      </c>
      <c r="AL564">
        <v>0</v>
      </c>
    </row>
    <row r="565" spans="1:38" x14ac:dyDescent="0.25">
      <c r="A565" t="s">
        <v>1390</v>
      </c>
      <c r="B565" t="s">
        <v>1392</v>
      </c>
      <c r="C565" s="1">
        <v>460</v>
      </c>
      <c r="D565" s="1" t="s">
        <v>1391</v>
      </c>
      <c r="E565">
        <v>4</v>
      </c>
      <c r="F565">
        <v>2.7</v>
      </c>
      <c r="G565">
        <v>185</v>
      </c>
      <c r="H565" t="s">
        <v>40</v>
      </c>
      <c r="I565" t="s">
        <v>170</v>
      </c>
      <c r="J565" t="s">
        <v>208</v>
      </c>
      <c r="M565" t="s">
        <v>100</v>
      </c>
      <c r="N565">
        <v>50</v>
      </c>
      <c r="O565">
        <v>50</v>
      </c>
      <c r="P565">
        <v>0</v>
      </c>
      <c r="Q565">
        <v>20</v>
      </c>
      <c r="R565" t="s">
        <v>45</v>
      </c>
      <c r="S565" t="s">
        <v>40</v>
      </c>
      <c r="T565">
        <v>60</v>
      </c>
      <c r="U565">
        <v>208</v>
      </c>
      <c r="V565">
        <v>1250000</v>
      </c>
      <c r="W565" t="s">
        <v>46</v>
      </c>
      <c r="X565" t="s">
        <v>54</v>
      </c>
      <c r="Z565">
        <v>90</v>
      </c>
      <c r="AA565">
        <v>132</v>
      </c>
      <c r="AB565">
        <v>105</v>
      </c>
      <c r="AC565">
        <v>132</v>
      </c>
      <c r="AD565">
        <v>105</v>
      </c>
      <c r="AE565">
        <v>30</v>
      </c>
      <c r="AF565">
        <v>594</v>
      </c>
      <c r="AG565">
        <v>0</v>
      </c>
      <c r="AH565">
        <v>1</v>
      </c>
      <c r="AI565">
        <v>0</v>
      </c>
      <c r="AJ565">
        <v>1</v>
      </c>
      <c r="AK565">
        <v>0</v>
      </c>
      <c r="AL565">
        <v>0</v>
      </c>
    </row>
    <row r="566" spans="1:38" x14ac:dyDescent="0.25">
      <c r="A566" t="s">
        <v>1394</v>
      </c>
      <c r="B566" t="s">
        <v>1394</v>
      </c>
      <c r="C566" s="1">
        <v>461</v>
      </c>
      <c r="D566" s="1" t="s">
        <v>1393</v>
      </c>
      <c r="E566">
        <v>4</v>
      </c>
      <c r="F566">
        <v>1.1000000000000001</v>
      </c>
      <c r="G566">
        <v>34</v>
      </c>
      <c r="H566" t="s">
        <v>135</v>
      </c>
      <c r="I566" t="s">
        <v>170</v>
      </c>
      <c r="J566" t="s">
        <v>581</v>
      </c>
      <c r="L566" t="s">
        <v>775</v>
      </c>
      <c r="M566" t="s">
        <v>70</v>
      </c>
      <c r="N566">
        <v>50</v>
      </c>
      <c r="O566">
        <v>50</v>
      </c>
      <c r="P566">
        <v>0</v>
      </c>
      <c r="Q566">
        <v>20</v>
      </c>
      <c r="R566" t="s">
        <v>132</v>
      </c>
      <c r="T566">
        <v>45</v>
      </c>
      <c r="U566">
        <v>179</v>
      </c>
      <c r="V566">
        <v>1059860</v>
      </c>
      <c r="W566" t="s">
        <v>46</v>
      </c>
      <c r="Z566">
        <v>70</v>
      </c>
      <c r="AA566">
        <v>120</v>
      </c>
      <c r="AB566">
        <v>65</v>
      </c>
      <c r="AC566">
        <v>45</v>
      </c>
      <c r="AD566">
        <v>85</v>
      </c>
      <c r="AE566">
        <v>125</v>
      </c>
      <c r="AF566">
        <v>510</v>
      </c>
      <c r="AG566">
        <v>0</v>
      </c>
      <c r="AH566">
        <v>1</v>
      </c>
      <c r="AI566">
        <v>0</v>
      </c>
      <c r="AJ566">
        <v>0</v>
      </c>
      <c r="AK566">
        <v>0</v>
      </c>
      <c r="AL566">
        <v>1</v>
      </c>
    </row>
    <row r="567" spans="1:38" x14ac:dyDescent="0.25">
      <c r="A567" t="s">
        <v>1396</v>
      </c>
      <c r="B567" t="s">
        <v>1396</v>
      </c>
      <c r="C567" s="1">
        <v>462</v>
      </c>
      <c r="D567" s="1" t="s">
        <v>1395</v>
      </c>
      <c r="E567">
        <v>4</v>
      </c>
      <c r="F567">
        <v>1.2</v>
      </c>
      <c r="G567">
        <v>180</v>
      </c>
      <c r="H567" t="s">
        <v>154</v>
      </c>
      <c r="I567" t="s">
        <v>171</v>
      </c>
      <c r="J567" t="s">
        <v>342</v>
      </c>
      <c r="K567" t="s">
        <v>338</v>
      </c>
      <c r="L567" t="s">
        <v>380</v>
      </c>
      <c r="M567" t="s">
        <v>318</v>
      </c>
      <c r="N567">
        <v>0</v>
      </c>
      <c r="O567">
        <v>0</v>
      </c>
      <c r="P567">
        <v>100</v>
      </c>
      <c r="Q567">
        <v>20</v>
      </c>
      <c r="R567" t="s">
        <v>339</v>
      </c>
      <c r="T567">
        <v>30</v>
      </c>
      <c r="U567">
        <v>268</v>
      </c>
      <c r="V567">
        <v>1000000</v>
      </c>
      <c r="W567" t="s">
        <v>46</v>
      </c>
      <c r="Z567">
        <v>70</v>
      </c>
      <c r="AA567">
        <v>70</v>
      </c>
      <c r="AB567">
        <v>115</v>
      </c>
      <c r="AC567">
        <v>130</v>
      </c>
      <c r="AD567">
        <v>90</v>
      </c>
      <c r="AE567">
        <v>60</v>
      </c>
      <c r="AF567">
        <v>535</v>
      </c>
      <c r="AG567">
        <v>0</v>
      </c>
      <c r="AH567">
        <v>0</v>
      </c>
      <c r="AI567">
        <v>0</v>
      </c>
      <c r="AJ567">
        <v>3</v>
      </c>
      <c r="AK567">
        <v>0</v>
      </c>
      <c r="AL567">
        <v>0</v>
      </c>
    </row>
    <row r="568" spans="1:38" x14ac:dyDescent="0.25">
      <c r="A568" t="s">
        <v>1398</v>
      </c>
      <c r="B568" t="s">
        <v>1398</v>
      </c>
      <c r="C568" s="1">
        <v>463</v>
      </c>
      <c r="D568" s="1" t="s">
        <v>1397</v>
      </c>
      <c r="E568">
        <v>4</v>
      </c>
      <c r="F568">
        <v>1.7</v>
      </c>
      <c r="G568">
        <v>140</v>
      </c>
      <c r="H568" t="s">
        <v>116</v>
      </c>
      <c r="J568" t="s">
        <v>366</v>
      </c>
      <c r="K568" t="s">
        <v>365</v>
      </c>
      <c r="L568" t="s">
        <v>273</v>
      </c>
      <c r="M568" t="s">
        <v>199</v>
      </c>
      <c r="N568">
        <v>50</v>
      </c>
      <c r="O568">
        <v>50</v>
      </c>
      <c r="P568">
        <v>0</v>
      </c>
      <c r="Q568">
        <v>20</v>
      </c>
      <c r="R568" t="s">
        <v>45</v>
      </c>
      <c r="T568">
        <v>30</v>
      </c>
      <c r="U568">
        <v>180</v>
      </c>
      <c r="V568">
        <v>1000000</v>
      </c>
      <c r="W568" t="s">
        <v>46</v>
      </c>
      <c r="Z568">
        <v>110</v>
      </c>
      <c r="AA568">
        <v>85</v>
      </c>
      <c r="AB568">
        <v>95</v>
      </c>
      <c r="AC568">
        <v>80</v>
      </c>
      <c r="AD568">
        <v>95</v>
      </c>
      <c r="AE568">
        <v>50</v>
      </c>
      <c r="AF568">
        <v>515</v>
      </c>
      <c r="AG568">
        <v>3</v>
      </c>
      <c r="AH568">
        <v>0</v>
      </c>
      <c r="AI568">
        <v>0</v>
      </c>
      <c r="AJ568">
        <v>0</v>
      </c>
      <c r="AK568">
        <v>0</v>
      </c>
      <c r="AL568">
        <v>0</v>
      </c>
    </row>
    <row r="569" spans="1:38" x14ac:dyDescent="0.25">
      <c r="A569" t="s">
        <v>1400</v>
      </c>
      <c r="B569" t="s">
        <v>1400</v>
      </c>
      <c r="C569" s="1">
        <v>464</v>
      </c>
      <c r="D569" s="1" t="s">
        <v>1399</v>
      </c>
      <c r="E569">
        <v>4</v>
      </c>
      <c r="F569">
        <v>2.4</v>
      </c>
      <c r="G569">
        <v>282.8</v>
      </c>
      <c r="H569" t="s">
        <v>132</v>
      </c>
      <c r="I569" t="s">
        <v>290</v>
      </c>
      <c r="J569" t="s">
        <v>156</v>
      </c>
      <c r="K569" t="s">
        <v>1041</v>
      </c>
      <c r="L569" t="s">
        <v>469</v>
      </c>
      <c r="M569" t="s">
        <v>318</v>
      </c>
      <c r="N569">
        <v>50</v>
      </c>
      <c r="O569">
        <v>50</v>
      </c>
      <c r="P569">
        <v>0</v>
      </c>
      <c r="Q569">
        <v>20</v>
      </c>
      <c r="R569" t="s">
        <v>45</v>
      </c>
      <c r="S569" t="s">
        <v>132</v>
      </c>
      <c r="T569">
        <v>30</v>
      </c>
      <c r="U569">
        <v>268</v>
      </c>
      <c r="V569">
        <v>1250000</v>
      </c>
      <c r="W569" t="s">
        <v>46</v>
      </c>
      <c r="Z569">
        <v>115</v>
      </c>
      <c r="AA569">
        <v>140</v>
      </c>
      <c r="AB569">
        <v>130</v>
      </c>
      <c r="AC569">
        <v>55</v>
      </c>
      <c r="AD569">
        <v>55</v>
      </c>
      <c r="AE569">
        <v>40</v>
      </c>
      <c r="AF569">
        <v>535</v>
      </c>
      <c r="AG569">
        <v>0</v>
      </c>
      <c r="AH569">
        <v>3</v>
      </c>
      <c r="AI569">
        <v>0</v>
      </c>
      <c r="AJ569">
        <v>0</v>
      </c>
      <c r="AK569">
        <v>0</v>
      </c>
      <c r="AL569">
        <v>0</v>
      </c>
    </row>
    <row r="570" spans="1:38" x14ac:dyDescent="0.25">
      <c r="A570" t="s">
        <v>1402</v>
      </c>
      <c r="B570" t="s">
        <v>1402</v>
      </c>
      <c r="C570" s="1">
        <v>465</v>
      </c>
      <c r="D570" s="1" t="s">
        <v>1401</v>
      </c>
      <c r="E570">
        <v>4</v>
      </c>
      <c r="F570">
        <v>2</v>
      </c>
      <c r="G570">
        <v>128.6</v>
      </c>
      <c r="H570" t="s">
        <v>40</v>
      </c>
      <c r="J570" t="s">
        <v>43</v>
      </c>
      <c r="K570" t="s">
        <v>495</v>
      </c>
      <c r="L570" t="s">
        <v>367</v>
      </c>
      <c r="M570" t="s">
        <v>79</v>
      </c>
      <c r="N570">
        <v>50</v>
      </c>
      <c r="O570">
        <v>50</v>
      </c>
      <c r="P570">
        <v>0</v>
      </c>
      <c r="Q570">
        <v>20</v>
      </c>
      <c r="R570" t="s">
        <v>40</v>
      </c>
      <c r="T570">
        <v>30</v>
      </c>
      <c r="U570">
        <v>187</v>
      </c>
      <c r="V570">
        <v>1000000</v>
      </c>
      <c r="W570" t="s">
        <v>46</v>
      </c>
      <c r="Z570">
        <v>100</v>
      </c>
      <c r="AA570">
        <v>100</v>
      </c>
      <c r="AB570">
        <v>125</v>
      </c>
      <c r="AC570">
        <v>110</v>
      </c>
      <c r="AD570">
        <v>50</v>
      </c>
      <c r="AE570">
        <v>50</v>
      </c>
      <c r="AF570">
        <v>535</v>
      </c>
      <c r="AG570">
        <v>0</v>
      </c>
      <c r="AH570">
        <v>0</v>
      </c>
      <c r="AI570">
        <v>2</v>
      </c>
      <c r="AJ570">
        <v>0</v>
      </c>
      <c r="AK570">
        <v>0</v>
      </c>
      <c r="AL570">
        <v>0</v>
      </c>
    </row>
    <row r="571" spans="1:38" x14ac:dyDescent="0.25">
      <c r="A571" t="s">
        <v>1404</v>
      </c>
      <c r="B571" t="s">
        <v>1404</v>
      </c>
      <c r="C571" s="1">
        <v>466</v>
      </c>
      <c r="D571" s="1" t="s">
        <v>1403</v>
      </c>
      <c r="E571">
        <v>4</v>
      </c>
      <c r="F571">
        <v>1.8</v>
      </c>
      <c r="G571">
        <v>138.6</v>
      </c>
      <c r="H571" t="s">
        <v>154</v>
      </c>
      <c r="J571" t="s">
        <v>1405</v>
      </c>
      <c r="L571" t="s">
        <v>280</v>
      </c>
      <c r="M571" t="s">
        <v>106</v>
      </c>
      <c r="N571">
        <v>75</v>
      </c>
      <c r="O571">
        <v>25</v>
      </c>
      <c r="P571">
        <v>0</v>
      </c>
      <c r="Q571">
        <v>25</v>
      </c>
      <c r="R571" t="s">
        <v>307</v>
      </c>
      <c r="T571">
        <v>30</v>
      </c>
      <c r="U571">
        <v>270</v>
      </c>
      <c r="V571">
        <v>1000000</v>
      </c>
      <c r="W571" t="s">
        <v>46</v>
      </c>
      <c r="Z571">
        <v>75</v>
      </c>
      <c r="AA571">
        <v>123</v>
      </c>
      <c r="AB571">
        <v>67</v>
      </c>
      <c r="AC571">
        <v>95</v>
      </c>
      <c r="AD571">
        <v>85</v>
      </c>
      <c r="AE571">
        <v>95</v>
      </c>
      <c r="AF571">
        <v>540</v>
      </c>
      <c r="AG571">
        <v>0</v>
      </c>
      <c r="AH571">
        <v>3</v>
      </c>
      <c r="AI571">
        <v>0</v>
      </c>
      <c r="AJ571">
        <v>0</v>
      </c>
      <c r="AK571">
        <v>0</v>
      </c>
      <c r="AL571">
        <v>0</v>
      </c>
    </row>
    <row r="572" spans="1:38" x14ac:dyDescent="0.25">
      <c r="A572" t="s">
        <v>1407</v>
      </c>
      <c r="B572" t="s">
        <v>1407</v>
      </c>
      <c r="C572" s="1">
        <v>467</v>
      </c>
      <c r="D572" s="1" t="s">
        <v>1406</v>
      </c>
      <c r="E572">
        <v>4</v>
      </c>
      <c r="F572">
        <v>1.6</v>
      </c>
      <c r="G572">
        <v>68</v>
      </c>
      <c r="H572" t="s">
        <v>57</v>
      </c>
      <c r="J572" t="s">
        <v>354</v>
      </c>
      <c r="L572" t="s">
        <v>280</v>
      </c>
      <c r="M572" t="s">
        <v>60</v>
      </c>
      <c r="N572">
        <v>75</v>
      </c>
      <c r="O572">
        <v>25</v>
      </c>
      <c r="P572">
        <v>0</v>
      </c>
      <c r="Q572">
        <v>25</v>
      </c>
      <c r="R572" t="s">
        <v>307</v>
      </c>
      <c r="T572">
        <v>30</v>
      </c>
      <c r="U572">
        <v>270</v>
      </c>
      <c r="V572">
        <v>1000000</v>
      </c>
      <c r="W572" t="s">
        <v>46</v>
      </c>
      <c r="Z572">
        <v>75</v>
      </c>
      <c r="AA572">
        <v>95</v>
      </c>
      <c r="AB572">
        <v>67</v>
      </c>
      <c r="AC572">
        <v>125</v>
      </c>
      <c r="AD572">
        <v>95</v>
      </c>
      <c r="AE572">
        <v>83</v>
      </c>
      <c r="AF572">
        <v>540</v>
      </c>
      <c r="AG572">
        <v>0</v>
      </c>
      <c r="AH572">
        <v>0</v>
      </c>
      <c r="AI572">
        <v>0</v>
      </c>
      <c r="AJ572">
        <v>3</v>
      </c>
      <c r="AK572">
        <v>0</v>
      </c>
      <c r="AL572">
        <v>0</v>
      </c>
    </row>
    <row r="573" spans="1:38" x14ac:dyDescent="0.25">
      <c r="A573" t="s">
        <v>1409</v>
      </c>
      <c r="B573" t="s">
        <v>1409</v>
      </c>
      <c r="C573" s="1">
        <v>468</v>
      </c>
      <c r="D573" s="1" t="s">
        <v>1408</v>
      </c>
      <c r="E573">
        <v>4</v>
      </c>
      <c r="F573">
        <v>1.5</v>
      </c>
      <c r="G573">
        <v>38</v>
      </c>
      <c r="H573" t="s">
        <v>157</v>
      </c>
      <c r="I573" t="s">
        <v>66</v>
      </c>
      <c r="J573" t="s">
        <v>130</v>
      </c>
      <c r="K573" t="s">
        <v>491</v>
      </c>
      <c r="L573" t="s">
        <v>669</v>
      </c>
      <c r="M573" t="s">
        <v>100</v>
      </c>
      <c r="N573">
        <v>87.5</v>
      </c>
      <c r="O573">
        <v>12.5</v>
      </c>
      <c r="P573">
        <v>0</v>
      </c>
      <c r="Q573">
        <v>10</v>
      </c>
      <c r="R573" t="s">
        <v>66</v>
      </c>
      <c r="S573" t="s">
        <v>157</v>
      </c>
      <c r="T573">
        <v>30</v>
      </c>
      <c r="U573">
        <v>273</v>
      </c>
      <c r="V573">
        <v>800000</v>
      </c>
      <c r="W573" t="s">
        <v>46</v>
      </c>
      <c r="Z573">
        <v>85</v>
      </c>
      <c r="AA573">
        <v>50</v>
      </c>
      <c r="AB573">
        <v>95</v>
      </c>
      <c r="AC573">
        <v>120</v>
      </c>
      <c r="AD573">
        <v>115</v>
      </c>
      <c r="AE573">
        <v>80</v>
      </c>
      <c r="AF573">
        <v>545</v>
      </c>
      <c r="AG573">
        <v>0</v>
      </c>
      <c r="AH573">
        <v>0</v>
      </c>
      <c r="AI573">
        <v>0</v>
      </c>
      <c r="AJ573">
        <v>2</v>
      </c>
      <c r="AK573">
        <v>1</v>
      </c>
      <c r="AL573">
        <v>0</v>
      </c>
    </row>
    <row r="574" spans="1:38" x14ac:dyDescent="0.25">
      <c r="A574" t="s">
        <v>1411</v>
      </c>
      <c r="B574" t="s">
        <v>1411</v>
      </c>
      <c r="C574" s="1">
        <v>469</v>
      </c>
      <c r="D574" s="1" t="s">
        <v>1410</v>
      </c>
      <c r="E574">
        <v>4</v>
      </c>
      <c r="F574">
        <v>1.9</v>
      </c>
      <c r="G574">
        <v>51.5</v>
      </c>
      <c r="H574" t="s">
        <v>90</v>
      </c>
      <c r="I574" t="s">
        <v>66</v>
      </c>
      <c r="J574" t="s">
        <v>713</v>
      </c>
      <c r="K574" t="s">
        <v>99</v>
      </c>
      <c r="L574" t="s">
        <v>218</v>
      </c>
      <c r="M574" t="s">
        <v>44</v>
      </c>
      <c r="N574">
        <v>50</v>
      </c>
      <c r="O574">
        <v>50</v>
      </c>
      <c r="P574">
        <v>0</v>
      </c>
      <c r="Q574">
        <v>20</v>
      </c>
      <c r="R574" t="s">
        <v>90</v>
      </c>
      <c r="T574">
        <v>30</v>
      </c>
      <c r="U574">
        <v>180</v>
      </c>
      <c r="V574">
        <v>1000000</v>
      </c>
      <c r="W574" t="s">
        <v>46</v>
      </c>
      <c r="Z574">
        <v>86</v>
      </c>
      <c r="AA574">
        <v>76</v>
      </c>
      <c r="AB574">
        <v>86</v>
      </c>
      <c r="AC574">
        <v>116</v>
      </c>
      <c r="AD574">
        <v>56</v>
      </c>
      <c r="AE574">
        <v>95</v>
      </c>
      <c r="AF574">
        <v>515</v>
      </c>
      <c r="AG574">
        <v>0</v>
      </c>
      <c r="AH574">
        <v>2</v>
      </c>
      <c r="AI574">
        <v>0</v>
      </c>
      <c r="AJ574">
        <v>0</v>
      </c>
      <c r="AK574">
        <v>0</v>
      </c>
      <c r="AL574">
        <v>0</v>
      </c>
    </row>
    <row r="575" spans="1:38" x14ac:dyDescent="0.25">
      <c r="A575" t="s">
        <v>1413</v>
      </c>
      <c r="B575" t="s">
        <v>1413</v>
      </c>
      <c r="C575" s="1">
        <v>470</v>
      </c>
      <c r="D575" s="1" t="s">
        <v>1412</v>
      </c>
      <c r="E575">
        <v>4</v>
      </c>
      <c r="F575">
        <v>1</v>
      </c>
      <c r="G575">
        <v>25.5</v>
      </c>
      <c r="H575" t="s">
        <v>40</v>
      </c>
      <c r="J575" t="s">
        <v>495</v>
      </c>
      <c r="L575" t="s">
        <v>43</v>
      </c>
      <c r="M575" t="s">
        <v>44</v>
      </c>
      <c r="N575">
        <v>87.5</v>
      </c>
      <c r="O575">
        <v>12.5</v>
      </c>
      <c r="P575">
        <v>0</v>
      </c>
      <c r="Q575">
        <v>35</v>
      </c>
      <c r="R575" t="s">
        <v>132</v>
      </c>
      <c r="T575">
        <v>45</v>
      </c>
      <c r="U575">
        <v>184</v>
      </c>
      <c r="V575">
        <v>1000000</v>
      </c>
      <c r="W575" t="s">
        <v>46</v>
      </c>
      <c r="Z575">
        <v>65</v>
      </c>
      <c r="AA575">
        <v>110</v>
      </c>
      <c r="AB575">
        <v>130</v>
      </c>
      <c r="AC575">
        <v>60</v>
      </c>
      <c r="AD575">
        <v>65</v>
      </c>
      <c r="AE575">
        <v>95</v>
      </c>
      <c r="AF575">
        <v>525</v>
      </c>
      <c r="AG575">
        <v>0</v>
      </c>
      <c r="AH575">
        <v>0</v>
      </c>
      <c r="AI575">
        <v>2</v>
      </c>
      <c r="AJ575">
        <v>0</v>
      </c>
      <c r="AK575">
        <v>0</v>
      </c>
      <c r="AL575">
        <v>0</v>
      </c>
    </row>
    <row r="576" spans="1:38" x14ac:dyDescent="0.25">
      <c r="A576" t="s">
        <v>1415</v>
      </c>
      <c r="B576" t="s">
        <v>1415</v>
      </c>
      <c r="C576" s="1">
        <v>471</v>
      </c>
      <c r="D576" s="1" t="s">
        <v>1414</v>
      </c>
      <c r="E576">
        <v>4</v>
      </c>
      <c r="F576">
        <v>0.8</v>
      </c>
      <c r="G576">
        <v>25.9</v>
      </c>
      <c r="H576" t="s">
        <v>170</v>
      </c>
      <c r="J576" t="s">
        <v>172</v>
      </c>
      <c r="L576" t="s">
        <v>396</v>
      </c>
      <c r="M576" t="s">
        <v>79</v>
      </c>
      <c r="N576">
        <v>87.5</v>
      </c>
      <c r="O576">
        <v>12.5</v>
      </c>
      <c r="P576">
        <v>0</v>
      </c>
      <c r="Q576">
        <v>35</v>
      </c>
      <c r="R576" t="s">
        <v>132</v>
      </c>
      <c r="T576">
        <v>45</v>
      </c>
      <c r="U576">
        <v>184</v>
      </c>
      <c r="V576">
        <v>1000000</v>
      </c>
      <c r="W576" t="s">
        <v>46</v>
      </c>
      <c r="Z576">
        <v>65</v>
      </c>
      <c r="AA576">
        <v>60</v>
      </c>
      <c r="AB576">
        <v>110</v>
      </c>
      <c r="AC576">
        <v>130</v>
      </c>
      <c r="AD576">
        <v>95</v>
      </c>
      <c r="AE576">
        <v>65</v>
      </c>
      <c r="AF576">
        <v>525</v>
      </c>
      <c r="AG576">
        <v>0</v>
      </c>
      <c r="AH576">
        <v>0</v>
      </c>
      <c r="AI576">
        <v>0</v>
      </c>
      <c r="AJ576">
        <v>2</v>
      </c>
      <c r="AK576">
        <v>0</v>
      </c>
      <c r="AL576">
        <v>0</v>
      </c>
    </row>
    <row r="577" spans="1:38" x14ac:dyDescent="0.25">
      <c r="A577" t="s">
        <v>1417</v>
      </c>
      <c r="B577" t="s">
        <v>1417</v>
      </c>
      <c r="C577" s="1">
        <v>472</v>
      </c>
      <c r="D577" s="1" t="s">
        <v>1416</v>
      </c>
      <c r="E577">
        <v>4</v>
      </c>
      <c r="F577">
        <v>2</v>
      </c>
      <c r="G577">
        <v>42.5</v>
      </c>
      <c r="H577" t="s">
        <v>132</v>
      </c>
      <c r="I577" t="s">
        <v>66</v>
      </c>
      <c r="J577" t="s">
        <v>440</v>
      </c>
      <c r="K577" t="s">
        <v>166</v>
      </c>
      <c r="L577" t="s">
        <v>942</v>
      </c>
      <c r="M577" t="s">
        <v>131</v>
      </c>
      <c r="N577">
        <v>50</v>
      </c>
      <c r="O577">
        <v>50</v>
      </c>
      <c r="P577">
        <v>0</v>
      </c>
      <c r="Q577">
        <v>20</v>
      </c>
      <c r="R577" t="s">
        <v>90</v>
      </c>
      <c r="T577">
        <v>30</v>
      </c>
      <c r="U577">
        <v>179</v>
      </c>
      <c r="V577">
        <v>1059860</v>
      </c>
      <c r="W577" t="s">
        <v>46</v>
      </c>
      <c r="Z577">
        <v>75</v>
      </c>
      <c r="AA577">
        <v>95</v>
      </c>
      <c r="AB577">
        <v>125</v>
      </c>
      <c r="AC577">
        <v>45</v>
      </c>
      <c r="AD577">
        <v>75</v>
      </c>
      <c r="AE577">
        <v>95</v>
      </c>
      <c r="AF577">
        <v>510</v>
      </c>
      <c r="AG577">
        <v>0</v>
      </c>
      <c r="AH577">
        <v>0</v>
      </c>
      <c r="AI577">
        <v>2</v>
      </c>
      <c r="AJ577">
        <v>0</v>
      </c>
      <c r="AK577">
        <v>0</v>
      </c>
      <c r="AL577">
        <v>0</v>
      </c>
    </row>
    <row r="578" spans="1:38" x14ac:dyDescent="0.25">
      <c r="A578" t="s">
        <v>1419</v>
      </c>
      <c r="B578" t="s">
        <v>1419</v>
      </c>
      <c r="C578" s="1">
        <v>473</v>
      </c>
      <c r="D578" s="1" t="s">
        <v>1418</v>
      </c>
      <c r="E578">
        <v>4</v>
      </c>
      <c r="F578">
        <v>2.5</v>
      </c>
      <c r="G578">
        <v>291</v>
      </c>
      <c r="H578" t="s">
        <v>170</v>
      </c>
      <c r="I578" t="s">
        <v>132</v>
      </c>
      <c r="J578" t="s">
        <v>365</v>
      </c>
      <c r="K578" t="s">
        <v>172</v>
      </c>
      <c r="L578" t="s">
        <v>53</v>
      </c>
      <c r="M578" t="s">
        <v>103</v>
      </c>
      <c r="N578">
        <v>50</v>
      </c>
      <c r="O578">
        <v>50</v>
      </c>
      <c r="P578">
        <v>0</v>
      </c>
      <c r="Q578">
        <v>20</v>
      </c>
      <c r="R578" t="s">
        <v>132</v>
      </c>
      <c r="T578">
        <v>50</v>
      </c>
      <c r="U578">
        <v>265</v>
      </c>
      <c r="V578">
        <v>1250000</v>
      </c>
      <c r="W578" t="s">
        <v>46</v>
      </c>
      <c r="Z578">
        <v>110</v>
      </c>
      <c r="AA578">
        <v>130</v>
      </c>
      <c r="AB578">
        <v>80</v>
      </c>
      <c r="AC578">
        <v>70</v>
      </c>
      <c r="AD578">
        <v>60</v>
      </c>
      <c r="AE578">
        <v>80</v>
      </c>
      <c r="AF578">
        <v>530</v>
      </c>
      <c r="AG578">
        <v>0</v>
      </c>
      <c r="AH578">
        <v>3</v>
      </c>
      <c r="AI578">
        <v>0</v>
      </c>
      <c r="AJ578">
        <v>0</v>
      </c>
      <c r="AK578">
        <v>0</v>
      </c>
      <c r="AL578">
        <v>0</v>
      </c>
    </row>
    <row r="579" spans="1:38" x14ac:dyDescent="0.25">
      <c r="A579" t="s">
        <v>1421</v>
      </c>
      <c r="B579" t="s">
        <v>1421</v>
      </c>
      <c r="C579" s="1">
        <v>474</v>
      </c>
      <c r="D579" s="1" t="s">
        <v>1420</v>
      </c>
      <c r="E579">
        <v>4</v>
      </c>
      <c r="F579">
        <v>0.9</v>
      </c>
      <c r="G579">
        <v>34</v>
      </c>
      <c r="H579" t="s">
        <v>116</v>
      </c>
      <c r="J579" t="s">
        <v>113</v>
      </c>
      <c r="K579" t="s">
        <v>570</v>
      </c>
      <c r="L579" t="s">
        <v>380</v>
      </c>
      <c r="M579" t="s">
        <v>60</v>
      </c>
      <c r="N579">
        <v>0</v>
      </c>
      <c r="O579">
        <v>0</v>
      </c>
      <c r="P579">
        <v>100</v>
      </c>
      <c r="Q579">
        <v>20</v>
      </c>
      <c r="R579" t="s">
        <v>339</v>
      </c>
      <c r="T579">
        <v>30</v>
      </c>
      <c r="U579">
        <v>268</v>
      </c>
      <c r="V579">
        <v>1000000</v>
      </c>
      <c r="W579" t="s">
        <v>46</v>
      </c>
      <c r="Z579">
        <v>85</v>
      </c>
      <c r="AA579">
        <v>80</v>
      </c>
      <c r="AB579">
        <v>70</v>
      </c>
      <c r="AC579">
        <v>135</v>
      </c>
      <c r="AD579">
        <v>75</v>
      </c>
      <c r="AE579">
        <v>90</v>
      </c>
      <c r="AF579">
        <v>535</v>
      </c>
      <c r="AG579">
        <v>0</v>
      </c>
      <c r="AH579">
        <v>0</v>
      </c>
      <c r="AI579">
        <v>0</v>
      </c>
      <c r="AJ579">
        <v>3</v>
      </c>
      <c r="AK579">
        <v>0</v>
      </c>
      <c r="AL579">
        <v>0</v>
      </c>
    </row>
    <row r="580" spans="1:38" x14ac:dyDescent="0.25">
      <c r="A580" t="s">
        <v>1423</v>
      </c>
      <c r="B580" t="s">
        <v>1423</v>
      </c>
      <c r="C580" s="1">
        <v>475</v>
      </c>
      <c r="D580" s="1" t="s">
        <v>1422</v>
      </c>
      <c r="E580">
        <v>4</v>
      </c>
      <c r="F580">
        <v>1.6</v>
      </c>
      <c r="G580">
        <v>52</v>
      </c>
      <c r="H580" t="s">
        <v>162</v>
      </c>
      <c r="I580" t="s">
        <v>279</v>
      </c>
      <c r="J580" t="s">
        <v>317</v>
      </c>
      <c r="K580" t="s">
        <v>1424</v>
      </c>
      <c r="L580" t="s">
        <v>287</v>
      </c>
      <c r="M580" t="s">
        <v>100</v>
      </c>
      <c r="N580">
        <v>100</v>
      </c>
      <c r="O580">
        <v>0</v>
      </c>
      <c r="P580">
        <v>0</v>
      </c>
      <c r="Q580">
        <v>20</v>
      </c>
      <c r="R580" t="s">
        <v>307</v>
      </c>
      <c r="S580" t="s">
        <v>403</v>
      </c>
      <c r="T580">
        <v>45</v>
      </c>
      <c r="U580">
        <v>259</v>
      </c>
      <c r="V580">
        <v>1250000</v>
      </c>
      <c r="W580" t="s">
        <v>46</v>
      </c>
      <c r="Z580">
        <v>68</v>
      </c>
      <c r="AA580">
        <v>125</v>
      </c>
      <c r="AB580">
        <v>65</v>
      </c>
      <c r="AC580">
        <v>65</v>
      </c>
      <c r="AD580">
        <v>115</v>
      </c>
      <c r="AE580">
        <v>80</v>
      </c>
      <c r="AF580">
        <v>518</v>
      </c>
      <c r="AG580">
        <v>0</v>
      </c>
      <c r="AH580">
        <v>3</v>
      </c>
      <c r="AI580">
        <v>0</v>
      </c>
      <c r="AJ580">
        <v>0</v>
      </c>
      <c r="AK580">
        <v>0</v>
      </c>
      <c r="AL580">
        <v>0</v>
      </c>
    </row>
    <row r="581" spans="1:38" x14ac:dyDescent="0.25">
      <c r="A581" t="s">
        <v>1423</v>
      </c>
      <c r="B581" t="s">
        <v>1426</v>
      </c>
      <c r="C581" s="1">
        <v>475</v>
      </c>
      <c r="D581" s="1" t="s">
        <v>1425</v>
      </c>
      <c r="E581">
        <v>4</v>
      </c>
      <c r="F581">
        <v>1.6</v>
      </c>
      <c r="G581">
        <v>56.4</v>
      </c>
      <c r="H581" t="s">
        <v>162</v>
      </c>
      <c r="I581" t="s">
        <v>279</v>
      </c>
      <c r="J581" t="s">
        <v>221</v>
      </c>
      <c r="M581" t="s">
        <v>100</v>
      </c>
      <c r="N581">
        <v>100</v>
      </c>
      <c r="O581">
        <v>0</v>
      </c>
      <c r="P581">
        <v>0</v>
      </c>
      <c r="Q581">
        <v>20</v>
      </c>
      <c r="R581" t="s">
        <v>403</v>
      </c>
      <c r="T581">
        <v>45</v>
      </c>
      <c r="U581">
        <v>278</v>
      </c>
      <c r="V581">
        <v>1250000</v>
      </c>
      <c r="W581" t="s">
        <v>46</v>
      </c>
      <c r="X581" t="s">
        <v>54</v>
      </c>
      <c r="Z581">
        <v>68</v>
      </c>
      <c r="AA581">
        <v>165</v>
      </c>
      <c r="AB581">
        <v>95</v>
      </c>
      <c r="AC581">
        <v>65</v>
      </c>
      <c r="AD581">
        <v>115</v>
      </c>
      <c r="AE581">
        <v>110</v>
      </c>
      <c r="AF581">
        <v>618</v>
      </c>
      <c r="AG581">
        <v>0</v>
      </c>
      <c r="AH581">
        <v>3</v>
      </c>
      <c r="AI581">
        <v>0</v>
      </c>
      <c r="AJ581">
        <v>0</v>
      </c>
      <c r="AK581">
        <v>0</v>
      </c>
      <c r="AL581">
        <v>0</v>
      </c>
    </row>
    <row r="582" spans="1:38" x14ac:dyDescent="0.25">
      <c r="A582" t="s">
        <v>1428</v>
      </c>
      <c r="B582" t="s">
        <v>1428</v>
      </c>
      <c r="C582" s="1">
        <v>476</v>
      </c>
      <c r="D582" s="1" t="s">
        <v>1427</v>
      </c>
      <c r="E582">
        <v>4</v>
      </c>
      <c r="F582">
        <v>1.4</v>
      </c>
      <c r="G582">
        <v>340</v>
      </c>
      <c r="H582" t="s">
        <v>290</v>
      </c>
      <c r="I582" t="s">
        <v>171</v>
      </c>
      <c r="J582" t="s">
        <v>338</v>
      </c>
      <c r="K582" t="s">
        <v>342</v>
      </c>
      <c r="L582" t="s">
        <v>247</v>
      </c>
      <c r="M582" t="s">
        <v>318</v>
      </c>
      <c r="N582">
        <v>50</v>
      </c>
      <c r="O582">
        <v>50</v>
      </c>
      <c r="P582">
        <v>0</v>
      </c>
      <c r="Q582">
        <v>20</v>
      </c>
      <c r="R582" t="s">
        <v>339</v>
      </c>
      <c r="T582">
        <v>60</v>
      </c>
      <c r="U582">
        <v>184</v>
      </c>
      <c r="V582">
        <v>1000000</v>
      </c>
      <c r="W582" t="s">
        <v>46</v>
      </c>
      <c r="Z582">
        <v>60</v>
      </c>
      <c r="AA582">
        <v>55</v>
      </c>
      <c r="AB582">
        <v>145</v>
      </c>
      <c r="AC582">
        <v>75</v>
      </c>
      <c r="AD582">
        <v>150</v>
      </c>
      <c r="AE582">
        <v>40</v>
      </c>
      <c r="AF582">
        <v>525</v>
      </c>
      <c r="AG582">
        <v>0</v>
      </c>
      <c r="AH582">
        <v>0</v>
      </c>
      <c r="AI582">
        <v>1</v>
      </c>
      <c r="AJ582">
        <v>0</v>
      </c>
      <c r="AK582">
        <v>2</v>
      </c>
      <c r="AL582">
        <v>0</v>
      </c>
    </row>
    <row r="583" spans="1:38" x14ac:dyDescent="0.25">
      <c r="A583" t="s">
        <v>1430</v>
      </c>
      <c r="B583" t="s">
        <v>1430</v>
      </c>
      <c r="C583" s="1">
        <v>477</v>
      </c>
      <c r="D583" s="1" t="s">
        <v>1429</v>
      </c>
      <c r="E583">
        <v>4</v>
      </c>
      <c r="F583">
        <v>2.2000000000000002</v>
      </c>
      <c r="G583">
        <v>106.6</v>
      </c>
      <c r="H583" t="s">
        <v>419</v>
      </c>
      <c r="J583" t="s">
        <v>581</v>
      </c>
      <c r="L583" t="s">
        <v>218</v>
      </c>
      <c r="M583" t="s">
        <v>70</v>
      </c>
      <c r="N583">
        <v>50</v>
      </c>
      <c r="O583">
        <v>50</v>
      </c>
      <c r="P583">
        <v>0</v>
      </c>
      <c r="Q583">
        <v>25</v>
      </c>
      <c r="R583" t="s">
        <v>403</v>
      </c>
      <c r="T583">
        <v>45</v>
      </c>
      <c r="U583">
        <v>263</v>
      </c>
      <c r="V583">
        <v>800000</v>
      </c>
      <c r="W583" t="s">
        <v>46</v>
      </c>
      <c r="Z583">
        <v>45</v>
      </c>
      <c r="AA583">
        <v>100</v>
      </c>
      <c r="AB583">
        <v>135</v>
      </c>
      <c r="AC583">
        <v>65</v>
      </c>
      <c r="AD583">
        <v>135</v>
      </c>
      <c r="AE583">
        <v>45</v>
      </c>
      <c r="AF583">
        <v>525</v>
      </c>
      <c r="AG583">
        <v>0</v>
      </c>
      <c r="AH583">
        <v>0</v>
      </c>
      <c r="AI583">
        <v>1</v>
      </c>
      <c r="AJ583">
        <v>0</v>
      </c>
      <c r="AK583">
        <v>2</v>
      </c>
      <c r="AL583">
        <v>0</v>
      </c>
    </row>
    <row r="584" spans="1:38" x14ac:dyDescent="0.25">
      <c r="A584" t="s">
        <v>1432</v>
      </c>
      <c r="B584" t="s">
        <v>1432</v>
      </c>
      <c r="C584" s="1">
        <v>478</v>
      </c>
      <c r="D584" s="1" t="s">
        <v>1431</v>
      </c>
      <c r="E584">
        <v>4</v>
      </c>
      <c r="F584">
        <v>1.3</v>
      </c>
      <c r="G584">
        <v>26.6</v>
      </c>
      <c r="H584" t="s">
        <v>170</v>
      </c>
      <c r="I584" t="s">
        <v>419</v>
      </c>
      <c r="J584" t="s">
        <v>172</v>
      </c>
      <c r="L584" t="s">
        <v>425</v>
      </c>
      <c r="M584" t="s">
        <v>100</v>
      </c>
      <c r="N584">
        <v>0</v>
      </c>
      <c r="O584">
        <v>100</v>
      </c>
      <c r="P584">
        <v>0</v>
      </c>
      <c r="Q584">
        <v>20</v>
      </c>
      <c r="R584" t="s">
        <v>157</v>
      </c>
      <c r="S584" t="s">
        <v>339</v>
      </c>
      <c r="T584">
        <v>75</v>
      </c>
      <c r="U584">
        <v>168</v>
      </c>
      <c r="V584">
        <v>1000000</v>
      </c>
      <c r="W584" t="s">
        <v>46</v>
      </c>
      <c r="Z584">
        <v>70</v>
      </c>
      <c r="AA584">
        <v>80</v>
      </c>
      <c r="AB584">
        <v>70</v>
      </c>
      <c r="AC584">
        <v>80</v>
      </c>
      <c r="AD584">
        <v>70</v>
      </c>
      <c r="AE584">
        <v>110</v>
      </c>
      <c r="AF584">
        <v>480</v>
      </c>
      <c r="AG584">
        <v>0</v>
      </c>
      <c r="AH584">
        <v>0</v>
      </c>
      <c r="AI584">
        <v>0</v>
      </c>
      <c r="AJ584">
        <v>0</v>
      </c>
      <c r="AK584">
        <v>0</v>
      </c>
      <c r="AL584">
        <v>2</v>
      </c>
    </row>
    <row r="585" spans="1:38" x14ac:dyDescent="0.25">
      <c r="A585" t="s">
        <v>1434</v>
      </c>
      <c r="B585" t="s">
        <v>1434</v>
      </c>
      <c r="C585" s="1">
        <v>479</v>
      </c>
      <c r="D585" s="1" t="s">
        <v>1433</v>
      </c>
      <c r="E585">
        <v>4</v>
      </c>
      <c r="F585">
        <v>0.3</v>
      </c>
      <c r="G585">
        <v>0.3</v>
      </c>
      <c r="H585" t="s">
        <v>154</v>
      </c>
      <c r="I585" t="s">
        <v>419</v>
      </c>
      <c r="J585" t="s">
        <v>420</v>
      </c>
      <c r="M585" t="s">
        <v>60</v>
      </c>
      <c r="N585">
        <v>0</v>
      </c>
      <c r="O585">
        <v>0</v>
      </c>
      <c r="P585">
        <v>100</v>
      </c>
      <c r="Q585">
        <v>20</v>
      </c>
      <c r="R585" t="s">
        <v>403</v>
      </c>
      <c r="T585">
        <v>45</v>
      </c>
      <c r="U585">
        <v>154</v>
      </c>
      <c r="V585">
        <v>1000000</v>
      </c>
      <c r="W585" t="s">
        <v>46</v>
      </c>
      <c r="Z585">
        <v>50</v>
      </c>
      <c r="AA585">
        <v>50</v>
      </c>
      <c r="AB585">
        <v>77</v>
      </c>
      <c r="AC585">
        <v>95</v>
      </c>
      <c r="AD585">
        <v>77</v>
      </c>
      <c r="AE585">
        <v>91</v>
      </c>
      <c r="AF585">
        <v>440</v>
      </c>
      <c r="AG585">
        <v>0</v>
      </c>
      <c r="AH585">
        <v>0</v>
      </c>
      <c r="AI585">
        <v>0</v>
      </c>
      <c r="AJ585">
        <v>1</v>
      </c>
      <c r="AK585">
        <v>0</v>
      </c>
      <c r="AL585">
        <v>1</v>
      </c>
    </row>
    <row r="586" spans="1:38" x14ac:dyDescent="0.25">
      <c r="A586" t="s">
        <v>1434</v>
      </c>
      <c r="B586" t="s">
        <v>1436</v>
      </c>
      <c r="C586" s="1">
        <v>479</v>
      </c>
      <c r="D586" s="1" t="s">
        <v>1435</v>
      </c>
      <c r="E586">
        <v>4</v>
      </c>
      <c r="F586">
        <v>0.3</v>
      </c>
      <c r="G586">
        <v>0.3</v>
      </c>
      <c r="H586" t="s">
        <v>154</v>
      </c>
      <c r="I586" t="s">
        <v>57</v>
      </c>
      <c r="J586" t="s">
        <v>420</v>
      </c>
      <c r="M586" t="s">
        <v>60</v>
      </c>
      <c r="N586">
        <v>0</v>
      </c>
      <c r="O586">
        <v>0</v>
      </c>
      <c r="P586">
        <v>100</v>
      </c>
      <c r="Q586">
        <v>20</v>
      </c>
      <c r="R586" t="s">
        <v>403</v>
      </c>
      <c r="T586">
        <v>45</v>
      </c>
      <c r="U586">
        <v>182</v>
      </c>
      <c r="V586">
        <v>1000000</v>
      </c>
      <c r="W586" t="s">
        <v>46</v>
      </c>
      <c r="Z586">
        <v>50</v>
      </c>
      <c r="AA586">
        <v>65</v>
      </c>
      <c r="AB586">
        <v>107</v>
      </c>
      <c r="AC586">
        <v>105</v>
      </c>
      <c r="AD586">
        <v>107</v>
      </c>
      <c r="AE586">
        <v>86</v>
      </c>
      <c r="AF586">
        <v>520</v>
      </c>
      <c r="AG586">
        <v>0</v>
      </c>
      <c r="AH586">
        <v>0</v>
      </c>
      <c r="AI586">
        <v>0</v>
      </c>
      <c r="AJ586">
        <v>1</v>
      </c>
      <c r="AK586">
        <v>0</v>
      </c>
      <c r="AL586">
        <v>1</v>
      </c>
    </row>
    <row r="587" spans="1:38" x14ac:dyDescent="0.25">
      <c r="A587" t="s">
        <v>1434</v>
      </c>
      <c r="B587" t="s">
        <v>1438</v>
      </c>
      <c r="C587" s="1">
        <v>479</v>
      </c>
      <c r="D587" s="1" t="s">
        <v>1437</v>
      </c>
      <c r="E587">
        <v>4</v>
      </c>
      <c r="F587">
        <v>0.3</v>
      </c>
      <c r="G587">
        <v>0.3</v>
      </c>
      <c r="H587" t="s">
        <v>154</v>
      </c>
      <c r="I587" t="s">
        <v>76</v>
      </c>
      <c r="J587" t="s">
        <v>420</v>
      </c>
      <c r="M587" t="s">
        <v>60</v>
      </c>
      <c r="N587">
        <v>0</v>
      </c>
      <c r="O587">
        <v>0</v>
      </c>
      <c r="P587">
        <v>100</v>
      </c>
      <c r="Q587">
        <v>20</v>
      </c>
      <c r="R587" t="s">
        <v>403</v>
      </c>
      <c r="T587">
        <v>45</v>
      </c>
      <c r="U587">
        <v>182</v>
      </c>
      <c r="V587">
        <v>1000000</v>
      </c>
      <c r="W587" t="s">
        <v>46</v>
      </c>
      <c r="Z587">
        <v>50</v>
      </c>
      <c r="AA587">
        <v>65</v>
      </c>
      <c r="AB587">
        <v>107</v>
      </c>
      <c r="AC587">
        <v>105</v>
      </c>
      <c r="AD587">
        <v>107</v>
      </c>
      <c r="AE587">
        <v>86</v>
      </c>
      <c r="AF587">
        <v>520</v>
      </c>
      <c r="AG587">
        <v>0</v>
      </c>
      <c r="AH587">
        <v>0</v>
      </c>
      <c r="AI587">
        <v>0</v>
      </c>
      <c r="AJ587">
        <v>1</v>
      </c>
      <c r="AK587">
        <v>0</v>
      </c>
      <c r="AL587">
        <v>1</v>
      </c>
    </row>
    <row r="588" spans="1:38" x14ac:dyDescent="0.25">
      <c r="A588" t="s">
        <v>1434</v>
      </c>
      <c r="B588" t="s">
        <v>1440</v>
      </c>
      <c r="C588" s="1">
        <v>479</v>
      </c>
      <c r="D588" s="1" t="s">
        <v>1439</v>
      </c>
      <c r="E588">
        <v>4</v>
      </c>
      <c r="F588">
        <v>0.3</v>
      </c>
      <c r="G588">
        <v>0.3</v>
      </c>
      <c r="H588" t="s">
        <v>154</v>
      </c>
      <c r="I588" t="s">
        <v>170</v>
      </c>
      <c r="J588" t="s">
        <v>420</v>
      </c>
      <c r="M588" t="s">
        <v>60</v>
      </c>
      <c r="N588">
        <v>0</v>
      </c>
      <c r="O588">
        <v>0</v>
      </c>
      <c r="P588">
        <v>100</v>
      </c>
      <c r="Q588">
        <v>20</v>
      </c>
      <c r="R588" t="s">
        <v>403</v>
      </c>
      <c r="T588">
        <v>45</v>
      </c>
      <c r="U588">
        <v>182</v>
      </c>
      <c r="V588">
        <v>1000000</v>
      </c>
      <c r="W588" t="s">
        <v>46</v>
      </c>
      <c r="Z588">
        <v>50</v>
      </c>
      <c r="AA588">
        <v>65</v>
      </c>
      <c r="AB588">
        <v>107</v>
      </c>
      <c r="AC588">
        <v>105</v>
      </c>
      <c r="AD588">
        <v>107</v>
      </c>
      <c r="AE588">
        <v>86</v>
      </c>
      <c r="AF588">
        <v>520</v>
      </c>
      <c r="AG588">
        <v>0</v>
      </c>
      <c r="AH588">
        <v>0</v>
      </c>
      <c r="AI588">
        <v>0</v>
      </c>
      <c r="AJ588">
        <v>1</v>
      </c>
      <c r="AK588">
        <v>0</v>
      </c>
      <c r="AL588">
        <v>1</v>
      </c>
    </row>
    <row r="589" spans="1:38" x14ac:dyDescent="0.25">
      <c r="A589" t="s">
        <v>1434</v>
      </c>
      <c r="B589" t="s">
        <v>1442</v>
      </c>
      <c r="C589" s="1">
        <v>479</v>
      </c>
      <c r="D589" s="1" t="s">
        <v>1441</v>
      </c>
      <c r="E589">
        <v>4</v>
      </c>
      <c r="F589">
        <v>0.3</v>
      </c>
      <c r="G589">
        <v>0.3</v>
      </c>
      <c r="H589" t="s">
        <v>154</v>
      </c>
      <c r="I589" t="s">
        <v>66</v>
      </c>
      <c r="J589" t="s">
        <v>420</v>
      </c>
      <c r="M589" t="s">
        <v>60</v>
      </c>
      <c r="N589">
        <v>0</v>
      </c>
      <c r="O589">
        <v>0</v>
      </c>
      <c r="P589">
        <v>100</v>
      </c>
      <c r="Q589">
        <v>20</v>
      </c>
      <c r="R589" t="s">
        <v>403</v>
      </c>
      <c r="T589">
        <v>45</v>
      </c>
      <c r="U589">
        <v>182</v>
      </c>
      <c r="V589">
        <v>1000000</v>
      </c>
      <c r="W589" t="s">
        <v>46</v>
      </c>
      <c r="Z589">
        <v>50</v>
      </c>
      <c r="AA589">
        <v>65</v>
      </c>
      <c r="AB589">
        <v>107</v>
      </c>
      <c r="AC589">
        <v>105</v>
      </c>
      <c r="AD589">
        <v>107</v>
      </c>
      <c r="AE589">
        <v>86</v>
      </c>
      <c r="AF589">
        <v>520</v>
      </c>
      <c r="AG589">
        <v>0</v>
      </c>
      <c r="AH589">
        <v>0</v>
      </c>
      <c r="AI589">
        <v>0</v>
      </c>
      <c r="AJ589">
        <v>1</v>
      </c>
      <c r="AK589">
        <v>0</v>
      </c>
      <c r="AL589">
        <v>1</v>
      </c>
    </row>
    <row r="590" spans="1:38" x14ac:dyDescent="0.25">
      <c r="A590" t="s">
        <v>1434</v>
      </c>
      <c r="B590" t="s">
        <v>1444</v>
      </c>
      <c r="C590" s="1">
        <v>479</v>
      </c>
      <c r="D590" s="1" t="s">
        <v>1443</v>
      </c>
      <c r="E590">
        <v>4</v>
      </c>
      <c r="F590">
        <v>0.3</v>
      </c>
      <c r="G590">
        <v>0.3</v>
      </c>
      <c r="H590" t="s">
        <v>154</v>
      </c>
      <c r="I590" t="s">
        <v>40</v>
      </c>
      <c r="J590" t="s">
        <v>420</v>
      </c>
      <c r="M590" t="s">
        <v>60</v>
      </c>
      <c r="N590">
        <v>0</v>
      </c>
      <c r="O590">
        <v>0</v>
      </c>
      <c r="P590">
        <v>100</v>
      </c>
      <c r="Q590">
        <v>20</v>
      </c>
      <c r="R590" t="s">
        <v>403</v>
      </c>
      <c r="T590">
        <v>45</v>
      </c>
      <c r="U590">
        <v>182</v>
      </c>
      <c r="V590">
        <v>1000000</v>
      </c>
      <c r="W590" t="s">
        <v>46</v>
      </c>
      <c r="Z590">
        <v>50</v>
      </c>
      <c r="AA590">
        <v>65</v>
      </c>
      <c r="AB590">
        <v>107</v>
      </c>
      <c r="AC590">
        <v>105</v>
      </c>
      <c r="AD590">
        <v>107</v>
      </c>
      <c r="AE590">
        <v>86</v>
      </c>
      <c r="AF590">
        <v>520</v>
      </c>
      <c r="AG590">
        <v>0</v>
      </c>
      <c r="AH590">
        <v>0</v>
      </c>
      <c r="AI590">
        <v>0</v>
      </c>
      <c r="AJ590">
        <v>1</v>
      </c>
      <c r="AK590">
        <v>0</v>
      </c>
      <c r="AL590">
        <v>1</v>
      </c>
    </row>
    <row r="591" spans="1:38" x14ac:dyDescent="0.25">
      <c r="A591" t="s">
        <v>1446</v>
      </c>
      <c r="B591" t="s">
        <v>1446</v>
      </c>
      <c r="C591" s="1">
        <v>480</v>
      </c>
      <c r="D591" s="1" t="s">
        <v>1445</v>
      </c>
      <c r="E591">
        <v>4</v>
      </c>
      <c r="F591">
        <v>0.3</v>
      </c>
      <c r="G591">
        <v>0.3</v>
      </c>
      <c r="H591" t="s">
        <v>162</v>
      </c>
      <c r="J591" t="s">
        <v>420</v>
      </c>
      <c r="M591" t="s">
        <v>106</v>
      </c>
      <c r="N591">
        <v>0</v>
      </c>
      <c r="O591">
        <v>0</v>
      </c>
      <c r="P591">
        <v>100</v>
      </c>
      <c r="Q591">
        <v>80</v>
      </c>
      <c r="R591" t="s">
        <v>184</v>
      </c>
      <c r="T591">
        <v>3</v>
      </c>
      <c r="U591">
        <v>290</v>
      </c>
      <c r="V591">
        <v>1250000</v>
      </c>
      <c r="W591" t="s">
        <v>589</v>
      </c>
      <c r="Z591">
        <v>75</v>
      </c>
      <c r="AA591">
        <v>75</v>
      </c>
      <c r="AB591">
        <v>130</v>
      </c>
      <c r="AC591">
        <v>75</v>
      </c>
      <c r="AD591">
        <v>130</v>
      </c>
      <c r="AE591">
        <v>95</v>
      </c>
      <c r="AF591">
        <v>580</v>
      </c>
      <c r="AG591">
        <v>0</v>
      </c>
      <c r="AH591">
        <v>0</v>
      </c>
      <c r="AI591">
        <v>2</v>
      </c>
      <c r="AJ591">
        <v>0</v>
      </c>
      <c r="AK591">
        <v>1</v>
      </c>
      <c r="AL591">
        <v>0</v>
      </c>
    </row>
    <row r="592" spans="1:38" x14ac:dyDescent="0.25">
      <c r="A592" t="s">
        <v>1448</v>
      </c>
      <c r="B592" t="s">
        <v>1448</v>
      </c>
      <c r="C592" s="1">
        <v>481</v>
      </c>
      <c r="D592" s="1" t="s">
        <v>1447</v>
      </c>
      <c r="E592">
        <v>4</v>
      </c>
      <c r="F592">
        <v>0.3</v>
      </c>
      <c r="G592">
        <v>0.3</v>
      </c>
      <c r="H592" t="s">
        <v>162</v>
      </c>
      <c r="J592" t="s">
        <v>420</v>
      </c>
      <c r="M592" t="s">
        <v>199</v>
      </c>
      <c r="N592">
        <v>0</v>
      </c>
      <c r="O592">
        <v>0</v>
      </c>
      <c r="P592">
        <v>100</v>
      </c>
      <c r="Q592">
        <v>80</v>
      </c>
      <c r="R592" t="s">
        <v>184</v>
      </c>
      <c r="T592">
        <v>3</v>
      </c>
      <c r="U592">
        <v>290</v>
      </c>
      <c r="V592">
        <v>1250000</v>
      </c>
      <c r="W592" t="s">
        <v>589</v>
      </c>
      <c r="Z592">
        <v>80</v>
      </c>
      <c r="AA592">
        <v>105</v>
      </c>
      <c r="AB592">
        <v>105</v>
      </c>
      <c r="AC592">
        <v>105</v>
      </c>
      <c r="AD592">
        <v>105</v>
      </c>
      <c r="AE592">
        <v>80</v>
      </c>
      <c r="AF592">
        <v>580</v>
      </c>
      <c r="AG592">
        <v>0</v>
      </c>
      <c r="AH592">
        <v>1</v>
      </c>
      <c r="AI592">
        <v>0</v>
      </c>
      <c r="AJ592">
        <v>1</v>
      </c>
      <c r="AK592">
        <v>1</v>
      </c>
      <c r="AL592">
        <v>0</v>
      </c>
    </row>
    <row r="593" spans="1:38" x14ac:dyDescent="0.25">
      <c r="A593" t="s">
        <v>1450</v>
      </c>
      <c r="B593" t="s">
        <v>1450</v>
      </c>
      <c r="C593" s="1">
        <v>482</v>
      </c>
      <c r="D593" s="1" t="s">
        <v>1449</v>
      </c>
      <c r="E593">
        <v>4</v>
      </c>
      <c r="F593">
        <v>0.3</v>
      </c>
      <c r="G593">
        <v>0.3</v>
      </c>
      <c r="H593" t="s">
        <v>162</v>
      </c>
      <c r="J593" t="s">
        <v>420</v>
      </c>
      <c r="M593" t="s">
        <v>79</v>
      </c>
      <c r="N593">
        <v>0</v>
      </c>
      <c r="O593">
        <v>0</v>
      </c>
      <c r="P593">
        <v>100</v>
      </c>
      <c r="Q593">
        <v>80</v>
      </c>
      <c r="R593" t="s">
        <v>184</v>
      </c>
      <c r="T593">
        <v>3</v>
      </c>
      <c r="U593">
        <v>290</v>
      </c>
      <c r="V593">
        <v>1250000</v>
      </c>
      <c r="W593" t="s">
        <v>589</v>
      </c>
      <c r="Z593">
        <v>75</v>
      </c>
      <c r="AA593">
        <v>125</v>
      </c>
      <c r="AB593">
        <v>70</v>
      </c>
      <c r="AC593">
        <v>125</v>
      </c>
      <c r="AD593">
        <v>70</v>
      </c>
      <c r="AE593">
        <v>115</v>
      </c>
      <c r="AF593">
        <v>580</v>
      </c>
      <c r="AG593">
        <v>0</v>
      </c>
      <c r="AH593">
        <v>2</v>
      </c>
      <c r="AI593">
        <v>0</v>
      </c>
      <c r="AJ593">
        <v>1</v>
      </c>
      <c r="AK593">
        <v>0</v>
      </c>
      <c r="AL593">
        <v>0</v>
      </c>
    </row>
    <row r="594" spans="1:38" x14ac:dyDescent="0.25">
      <c r="A594" t="s">
        <v>1452</v>
      </c>
      <c r="B594" t="s">
        <v>1452</v>
      </c>
      <c r="C594" s="1">
        <v>483</v>
      </c>
      <c r="D594" s="1" t="s">
        <v>1451</v>
      </c>
      <c r="E594">
        <v>4</v>
      </c>
      <c r="F594">
        <v>5.4</v>
      </c>
      <c r="G594">
        <v>683</v>
      </c>
      <c r="H594" t="s">
        <v>171</v>
      </c>
      <c r="I594" t="s">
        <v>61</v>
      </c>
      <c r="J594" t="s">
        <v>581</v>
      </c>
      <c r="L594" t="s">
        <v>738</v>
      </c>
      <c r="M594" t="s">
        <v>100</v>
      </c>
      <c r="N594">
        <v>0</v>
      </c>
      <c r="O594">
        <v>0</v>
      </c>
      <c r="P594">
        <v>100</v>
      </c>
      <c r="Q594">
        <v>120</v>
      </c>
      <c r="R594" t="s">
        <v>184</v>
      </c>
      <c r="T594">
        <v>3</v>
      </c>
      <c r="U594">
        <v>340</v>
      </c>
      <c r="V594">
        <v>1250000</v>
      </c>
      <c r="W594" t="s">
        <v>611</v>
      </c>
      <c r="Z594">
        <v>100</v>
      </c>
      <c r="AA594">
        <v>120</v>
      </c>
      <c r="AB594">
        <v>120</v>
      </c>
      <c r="AC594">
        <v>150</v>
      </c>
      <c r="AD594">
        <v>100</v>
      </c>
      <c r="AE594">
        <v>90</v>
      </c>
      <c r="AF594">
        <v>680</v>
      </c>
      <c r="AG594">
        <v>0</v>
      </c>
      <c r="AH594">
        <v>0</v>
      </c>
      <c r="AI594">
        <v>0</v>
      </c>
      <c r="AJ594">
        <v>3</v>
      </c>
      <c r="AK594">
        <v>0</v>
      </c>
      <c r="AL594">
        <v>0</v>
      </c>
    </row>
    <row r="595" spans="1:38" x14ac:dyDescent="0.25">
      <c r="A595" t="s">
        <v>1452</v>
      </c>
      <c r="B595" t="s">
        <v>1454</v>
      </c>
      <c r="C595" s="1">
        <v>483</v>
      </c>
      <c r="D595" s="1" t="s">
        <v>1453</v>
      </c>
      <c r="E595">
        <v>4</v>
      </c>
      <c r="F595">
        <v>7</v>
      </c>
      <c r="G595">
        <v>850</v>
      </c>
      <c r="H595" t="s">
        <v>171</v>
      </c>
      <c r="I595" t="s">
        <v>61</v>
      </c>
      <c r="J595" t="s">
        <v>581</v>
      </c>
      <c r="L595" t="s">
        <v>738</v>
      </c>
      <c r="M595" t="s">
        <v>100</v>
      </c>
      <c r="N595">
        <v>0</v>
      </c>
      <c r="O595">
        <v>0</v>
      </c>
      <c r="P595">
        <v>100</v>
      </c>
      <c r="Q595">
        <v>120</v>
      </c>
      <c r="R595" t="s">
        <v>184</v>
      </c>
      <c r="T595">
        <v>3</v>
      </c>
      <c r="U595">
        <v>340</v>
      </c>
      <c r="V595">
        <v>1250000</v>
      </c>
      <c r="W595" t="s">
        <v>611</v>
      </c>
      <c r="Z595">
        <v>100</v>
      </c>
      <c r="AA595">
        <v>100</v>
      </c>
      <c r="AB595">
        <v>120</v>
      </c>
      <c r="AC595">
        <v>150</v>
      </c>
      <c r="AD595">
        <v>120</v>
      </c>
      <c r="AE595">
        <v>90</v>
      </c>
      <c r="AF595">
        <v>680</v>
      </c>
      <c r="AG595">
        <v>0</v>
      </c>
      <c r="AH595">
        <v>0</v>
      </c>
      <c r="AI595">
        <v>0</v>
      </c>
      <c r="AJ595">
        <v>3</v>
      </c>
      <c r="AK595">
        <v>0</v>
      </c>
      <c r="AL595">
        <v>0</v>
      </c>
    </row>
    <row r="596" spans="1:38" x14ac:dyDescent="0.25">
      <c r="A596" t="s">
        <v>1456</v>
      </c>
      <c r="B596" t="s">
        <v>1456</v>
      </c>
      <c r="C596" s="1">
        <v>484</v>
      </c>
      <c r="D596" s="1" t="s">
        <v>1455</v>
      </c>
      <c r="E596">
        <v>4</v>
      </c>
      <c r="F596">
        <v>4.2</v>
      </c>
      <c r="G596">
        <v>336</v>
      </c>
      <c r="H596" t="s">
        <v>76</v>
      </c>
      <c r="I596" t="s">
        <v>61</v>
      </c>
      <c r="J596" t="s">
        <v>581</v>
      </c>
      <c r="L596" t="s">
        <v>738</v>
      </c>
      <c r="M596" t="s">
        <v>131</v>
      </c>
      <c r="N596">
        <v>0</v>
      </c>
      <c r="O596">
        <v>0</v>
      </c>
      <c r="P596">
        <v>100</v>
      </c>
      <c r="Q596">
        <v>120</v>
      </c>
      <c r="R596" t="s">
        <v>184</v>
      </c>
      <c r="T596">
        <v>3</v>
      </c>
      <c r="U596">
        <v>340</v>
      </c>
      <c r="V596">
        <v>1250000</v>
      </c>
      <c r="W596" t="s">
        <v>611</v>
      </c>
      <c r="Z596">
        <v>90</v>
      </c>
      <c r="AA596">
        <v>120</v>
      </c>
      <c r="AB596">
        <v>100</v>
      </c>
      <c r="AC596">
        <v>150</v>
      </c>
      <c r="AD596">
        <v>120</v>
      </c>
      <c r="AE596">
        <v>100</v>
      </c>
      <c r="AF596">
        <v>680</v>
      </c>
      <c r="AG596">
        <v>0</v>
      </c>
      <c r="AH596">
        <v>0</v>
      </c>
      <c r="AI596">
        <v>0</v>
      </c>
      <c r="AJ596">
        <v>3</v>
      </c>
      <c r="AK596">
        <v>0</v>
      </c>
      <c r="AL596">
        <v>0</v>
      </c>
    </row>
    <row r="597" spans="1:38" x14ac:dyDescent="0.25">
      <c r="A597" t="s">
        <v>1456</v>
      </c>
      <c r="B597" t="s">
        <v>1458</v>
      </c>
      <c r="C597" s="1">
        <v>484</v>
      </c>
      <c r="D597" s="1" t="s">
        <v>1457</v>
      </c>
      <c r="E597">
        <v>4</v>
      </c>
      <c r="F597">
        <v>6.3</v>
      </c>
      <c r="G597">
        <v>660</v>
      </c>
      <c r="H597" t="s">
        <v>76</v>
      </c>
      <c r="I597" t="s">
        <v>61</v>
      </c>
      <c r="J597" t="s">
        <v>581</v>
      </c>
      <c r="L597" t="s">
        <v>738</v>
      </c>
      <c r="M597" t="s">
        <v>131</v>
      </c>
      <c r="N597">
        <v>0</v>
      </c>
      <c r="O597">
        <v>0</v>
      </c>
      <c r="P597">
        <v>100</v>
      </c>
      <c r="Q597">
        <v>120</v>
      </c>
      <c r="R597" t="s">
        <v>184</v>
      </c>
      <c r="T597">
        <v>3</v>
      </c>
      <c r="U597">
        <v>340</v>
      </c>
      <c r="V597">
        <v>1250000</v>
      </c>
      <c r="W597" t="s">
        <v>611</v>
      </c>
      <c r="Z597">
        <v>90</v>
      </c>
      <c r="AA597">
        <v>100</v>
      </c>
      <c r="AB597">
        <v>100</v>
      </c>
      <c r="AC597">
        <v>150</v>
      </c>
      <c r="AD597">
        <v>120</v>
      </c>
      <c r="AE597">
        <v>120</v>
      </c>
      <c r="AF597">
        <v>680</v>
      </c>
      <c r="AG597">
        <v>0</v>
      </c>
      <c r="AH597">
        <v>0</v>
      </c>
      <c r="AI597">
        <v>0</v>
      </c>
      <c r="AJ597">
        <v>3</v>
      </c>
      <c r="AK597">
        <v>0</v>
      </c>
      <c r="AL597">
        <v>0</v>
      </c>
    </row>
    <row r="598" spans="1:38" x14ac:dyDescent="0.25">
      <c r="A598" t="s">
        <v>1460</v>
      </c>
      <c r="B598" t="s">
        <v>1460</v>
      </c>
      <c r="C598" s="1">
        <v>485</v>
      </c>
      <c r="D598" s="1" t="s">
        <v>1459</v>
      </c>
      <c r="E598">
        <v>4</v>
      </c>
      <c r="F598">
        <v>1.7</v>
      </c>
      <c r="G598">
        <v>430</v>
      </c>
      <c r="H598" t="s">
        <v>57</v>
      </c>
      <c r="I598" t="s">
        <v>171</v>
      </c>
      <c r="J598" t="s">
        <v>205</v>
      </c>
      <c r="L598" t="s">
        <v>354</v>
      </c>
      <c r="M598" t="s">
        <v>103</v>
      </c>
      <c r="N598">
        <v>50</v>
      </c>
      <c r="O598">
        <v>50</v>
      </c>
      <c r="P598">
        <v>0</v>
      </c>
      <c r="Q598">
        <v>10</v>
      </c>
      <c r="R598" t="s">
        <v>184</v>
      </c>
      <c r="T598">
        <v>3</v>
      </c>
      <c r="U598">
        <v>300</v>
      </c>
      <c r="V598">
        <v>1250000</v>
      </c>
      <c r="W598" t="s">
        <v>589</v>
      </c>
      <c r="Z598">
        <v>91</v>
      </c>
      <c r="AA598">
        <v>90</v>
      </c>
      <c r="AB598">
        <v>106</v>
      </c>
      <c r="AC598">
        <v>130</v>
      </c>
      <c r="AD598">
        <v>106</v>
      </c>
      <c r="AE598">
        <v>77</v>
      </c>
      <c r="AF598">
        <v>600</v>
      </c>
      <c r="AG598">
        <v>0</v>
      </c>
      <c r="AH598">
        <v>0</v>
      </c>
      <c r="AI598">
        <v>0</v>
      </c>
      <c r="AJ598">
        <v>3</v>
      </c>
      <c r="AK598">
        <v>0</v>
      </c>
      <c r="AL598">
        <v>0</v>
      </c>
    </row>
    <row r="599" spans="1:38" x14ac:dyDescent="0.25">
      <c r="A599" t="s">
        <v>1462</v>
      </c>
      <c r="B599" t="s">
        <v>1462</v>
      </c>
      <c r="C599" s="1">
        <v>486</v>
      </c>
      <c r="D599" s="1" t="s">
        <v>1461</v>
      </c>
      <c r="E599">
        <v>4</v>
      </c>
      <c r="F599">
        <v>3.7</v>
      </c>
      <c r="G599">
        <v>420</v>
      </c>
      <c r="H599" t="s">
        <v>116</v>
      </c>
      <c r="J599" t="s">
        <v>1463</v>
      </c>
      <c r="M599" t="s">
        <v>100</v>
      </c>
      <c r="N599">
        <v>0</v>
      </c>
      <c r="O599">
        <v>0</v>
      </c>
      <c r="P599">
        <v>100</v>
      </c>
      <c r="Q599">
        <v>120</v>
      </c>
      <c r="R599" t="s">
        <v>184</v>
      </c>
      <c r="T599">
        <v>3</v>
      </c>
      <c r="U599">
        <v>335</v>
      </c>
      <c r="V599">
        <v>1250000</v>
      </c>
      <c r="W599" t="s">
        <v>589</v>
      </c>
      <c r="Z599">
        <v>110</v>
      </c>
      <c r="AA599">
        <v>160</v>
      </c>
      <c r="AB599">
        <v>110</v>
      </c>
      <c r="AC599">
        <v>80</v>
      </c>
      <c r="AD599">
        <v>110</v>
      </c>
      <c r="AE599">
        <v>100</v>
      </c>
      <c r="AF599">
        <v>670</v>
      </c>
      <c r="AG599">
        <v>0</v>
      </c>
      <c r="AH599">
        <v>3</v>
      </c>
      <c r="AI599">
        <v>0</v>
      </c>
      <c r="AJ599">
        <v>0</v>
      </c>
      <c r="AK599">
        <v>0</v>
      </c>
      <c r="AL599">
        <v>0</v>
      </c>
    </row>
    <row r="600" spans="1:38" x14ac:dyDescent="0.25">
      <c r="A600" t="s">
        <v>1465</v>
      </c>
      <c r="B600" t="s">
        <v>1465</v>
      </c>
      <c r="C600" s="1">
        <v>487</v>
      </c>
      <c r="D600" s="1" t="s">
        <v>1464</v>
      </c>
      <c r="E600">
        <v>4</v>
      </c>
      <c r="F600">
        <v>4.5</v>
      </c>
      <c r="G600">
        <v>750</v>
      </c>
      <c r="H600" t="s">
        <v>419</v>
      </c>
      <c r="I600" t="s">
        <v>61</v>
      </c>
      <c r="J600" t="s">
        <v>581</v>
      </c>
      <c r="L600" t="s">
        <v>738</v>
      </c>
      <c r="M600" t="s">
        <v>70</v>
      </c>
      <c r="N600">
        <v>0</v>
      </c>
      <c r="O600">
        <v>0</v>
      </c>
      <c r="P600">
        <v>100</v>
      </c>
      <c r="Q600">
        <v>120</v>
      </c>
      <c r="R600" t="s">
        <v>184</v>
      </c>
      <c r="T600">
        <v>3</v>
      </c>
      <c r="U600">
        <v>340</v>
      </c>
      <c r="V600">
        <v>1250000</v>
      </c>
      <c r="W600" t="s">
        <v>611</v>
      </c>
      <c r="Z600">
        <v>150</v>
      </c>
      <c r="AA600">
        <v>100</v>
      </c>
      <c r="AB600">
        <v>120</v>
      </c>
      <c r="AC600">
        <v>100</v>
      </c>
      <c r="AD600">
        <v>120</v>
      </c>
      <c r="AE600">
        <v>90</v>
      </c>
      <c r="AF600">
        <v>680</v>
      </c>
      <c r="AG600">
        <v>3</v>
      </c>
      <c r="AH600">
        <v>0</v>
      </c>
      <c r="AI600">
        <v>0</v>
      </c>
      <c r="AJ600">
        <v>0</v>
      </c>
      <c r="AK600">
        <v>0</v>
      </c>
      <c r="AL600">
        <v>0</v>
      </c>
    </row>
    <row r="601" spans="1:38" x14ac:dyDescent="0.25">
      <c r="A601" t="s">
        <v>1465</v>
      </c>
      <c r="B601" t="s">
        <v>1467</v>
      </c>
      <c r="C601" s="1">
        <v>487</v>
      </c>
      <c r="D601" s="1" t="s">
        <v>1466</v>
      </c>
      <c r="E601">
        <v>4</v>
      </c>
      <c r="F601">
        <v>6.9</v>
      </c>
      <c r="G601">
        <v>650</v>
      </c>
      <c r="H601" t="s">
        <v>419</v>
      </c>
      <c r="I601" t="s">
        <v>61</v>
      </c>
      <c r="J601" t="s">
        <v>420</v>
      </c>
      <c r="M601" t="s">
        <v>70</v>
      </c>
      <c r="N601">
        <v>0</v>
      </c>
      <c r="O601">
        <v>0</v>
      </c>
      <c r="P601">
        <v>100</v>
      </c>
      <c r="Q601">
        <v>120</v>
      </c>
      <c r="R601" t="s">
        <v>184</v>
      </c>
      <c r="T601">
        <v>3</v>
      </c>
      <c r="U601">
        <v>340</v>
      </c>
      <c r="V601">
        <v>1250000</v>
      </c>
      <c r="W601" t="s">
        <v>611</v>
      </c>
      <c r="Z601">
        <v>150</v>
      </c>
      <c r="AA601">
        <v>120</v>
      </c>
      <c r="AB601">
        <v>100</v>
      </c>
      <c r="AC601">
        <v>120</v>
      </c>
      <c r="AD601">
        <v>100</v>
      </c>
      <c r="AE601">
        <v>90</v>
      </c>
      <c r="AF601">
        <v>680</v>
      </c>
      <c r="AG601">
        <v>3</v>
      </c>
      <c r="AH601">
        <v>0</v>
      </c>
      <c r="AI601">
        <v>0</v>
      </c>
      <c r="AJ601">
        <v>0</v>
      </c>
      <c r="AK601">
        <v>0</v>
      </c>
      <c r="AL601">
        <v>0</v>
      </c>
    </row>
    <row r="602" spans="1:38" x14ac:dyDescent="0.25">
      <c r="A602" t="s">
        <v>1469</v>
      </c>
      <c r="B602" t="s">
        <v>1469</v>
      </c>
      <c r="C602" s="1">
        <v>488</v>
      </c>
      <c r="D602" s="1" t="s">
        <v>1468</v>
      </c>
      <c r="E602">
        <v>4</v>
      </c>
      <c r="F602">
        <v>1.5</v>
      </c>
      <c r="G602">
        <v>85.6</v>
      </c>
      <c r="H602" t="s">
        <v>162</v>
      </c>
      <c r="J602" t="s">
        <v>420</v>
      </c>
      <c r="M602" t="s">
        <v>106</v>
      </c>
      <c r="N602">
        <v>0</v>
      </c>
      <c r="O602">
        <v>100</v>
      </c>
      <c r="P602">
        <v>0</v>
      </c>
      <c r="Q602">
        <v>120</v>
      </c>
      <c r="R602" t="s">
        <v>184</v>
      </c>
      <c r="T602">
        <v>3</v>
      </c>
      <c r="U602">
        <v>290</v>
      </c>
      <c r="V602">
        <v>1250000</v>
      </c>
      <c r="W602" t="s">
        <v>589</v>
      </c>
      <c r="Z602">
        <v>120</v>
      </c>
      <c r="AA602">
        <v>70</v>
      </c>
      <c r="AB602">
        <v>110</v>
      </c>
      <c r="AC602">
        <v>75</v>
      </c>
      <c r="AD602">
        <v>120</v>
      </c>
      <c r="AE602">
        <v>85</v>
      </c>
      <c r="AF602">
        <v>580</v>
      </c>
      <c r="AG602">
        <v>0</v>
      </c>
      <c r="AH602">
        <v>0</v>
      </c>
      <c r="AI602">
        <v>0</v>
      </c>
      <c r="AJ602">
        <v>0</v>
      </c>
      <c r="AK602">
        <v>3</v>
      </c>
      <c r="AL602">
        <v>0</v>
      </c>
    </row>
    <row r="603" spans="1:38" x14ac:dyDescent="0.25">
      <c r="A603" t="s">
        <v>1471</v>
      </c>
      <c r="B603" t="s">
        <v>1471</v>
      </c>
      <c r="C603" s="1">
        <v>489</v>
      </c>
      <c r="D603" s="1" t="s">
        <v>1470</v>
      </c>
      <c r="E603">
        <v>4</v>
      </c>
      <c r="F603">
        <v>0.4</v>
      </c>
      <c r="G603">
        <v>3.1</v>
      </c>
      <c r="H603" t="s">
        <v>76</v>
      </c>
      <c r="J603" t="s">
        <v>395</v>
      </c>
      <c r="M603" t="s">
        <v>79</v>
      </c>
      <c r="N603">
        <v>0</v>
      </c>
      <c r="O603">
        <v>0</v>
      </c>
      <c r="P603">
        <v>100</v>
      </c>
      <c r="Q603">
        <v>40</v>
      </c>
      <c r="R603" t="s">
        <v>80</v>
      </c>
      <c r="S603" t="s">
        <v>157</v>
      </c>
      <c r="T603">
        <v>30</v>
      </c>
      <c r="U603">
        <v>216</v>
      </c>
      <c r="V603">
        <v>1250000</v>
      </c>
      <c r="W603" t="s">
        <v>618</v>
      </c>
      <c r="Z603">
        <v>80</v>
      </c>
      <c r="AA603">
        <v>80</v>
      </c>
      <c r="AB603">
        <v>80</v>
      </c>
      <c r="AC603">
        <v>80</v>
      </c>
      <c r="AD603">
        <v>80</v>
      </c>
      <c r="AE603">
        <v>80</v>
      </c>
      <c r="AF603">
        <v>480</v>
      </c>
      <c r="AG603">
        <v>1</v>
      </c>
      <c r="AH603">
        <v>0</v>
      </c>
      <c r="AI603">
        <v>0</v>
      </c>
      <c r="AJ603">
        <v>0</v>
      </c>
      <c r="AK603">
        <v>0</v>
      </c>
      <c r="AL603">
        <v>0</v>
      </c>
    </row>
    <row r="604" spans="1:38" x14ac:dyDescent="0.25">
      <c r="A604" t="s">
        <v>1473</v>
      </c>
      <c r="B604" t="s">
        <v>1473</v>
      </c>
      <c r="C604" s="1">
        <v>490</v>
      </c>
      <c r="D604" s="1" t="s">
        <v>1472</v>
      </c>
      <c r="E604">
        <v>4</v>
      </c>
      <c r="F604">
        <v>0.3</v>
      </c>
      <c r="G604">
        <v>1.4</v>
      </c>
      <c r="H604" t="s">
        <v>76</v>
      </c>
      <c r="J604" t="s">
        <v>395</v>
      </c>
      <c r="M604" t="s">
        <v>79</v>
      </c>
      <c r="N604">
        <v>0</v>
      </c>
      <c r="O604">
        <v>0</v>
      </c>
      <c r="P604">
        <v>100</v>
      </c>
      <c r="Q604">
        <v>10</v>
      </c>
      <c r="R604" t="s">
        <v>80</v>
      </c>
      <c r="S604" t="s">
        <v>157</v>
      </c>
      <c r="T604">
        <v>3</v>
      </c>
      <c r="U604">
        <v>270</v>
      </c>
      <c r="V604">
        <v>1250000</v>
      </c>
      <c r="W604" t="s">
        <v>618</v>
      </c>
      <c r="Z604">
        <v>100</v>
      </c>
      <c r="AA604">
        <v>100</v>
      </c>
      <c r="AB604">
        <v>100</v>
      </c>
      <c r="AC604">
        <v>100</v>
      </c>
      <c r="AD604">
        <v>100</v>
      </c>
      <c r="AE604">
        <v>100</v>
      </c>
      <c r="AF604">
        <v>600</v>
      </c>
      <c r="AG604">
        <v>3</v>
      </c>
      <c r="AH604">
        <v>0</v>
      </c>
      <c r="AI604">
        <v>0</v>
      </c>
      <c r="AJ604">
        <v>0</v>
      </c>
      <c r="AK604">
        <v>0</v>
      </c>
      <c r="AL604">
        <v>0</v>
      </c>
    </row>
    <row r="605" spans="1:38" x14ac:dyDescent="0.25">
      <c r="A605" t="s">
        <v>1475</v>
      </c>
      <c r="B605" t="s">
        <v>1475</v>
      </c>
      <c r="C605" s="1">
        <v>491</v>
      </c>
      <c r="D605" s="1" t="s">
        <v>1474</v>
      </c>
      <c r="E605">
        <v>4</v>
      </c>
      <c r="F605">
        <v>1.5</v>
      </c>
      <c r="G605">
        <v>50.5</v>
      </c>
      <c r="H605" t="s">
        <v>135</v>
      </c>
      <c r="J605" t="s">
        <v>1476</v>
      </c>
      <c r="M605" t="s">
        <v>70</v>
      </c>
      <c r="N605">
        <v>0</v>
      </c>
      <c r="O605">
        <v>0</v>
      </c>
      <c r="P605">
        <v>100</v>
      </c>
      <c r="Q605">
        <v>120</v>
      </c>
      <c r="R605" t="s">
        <v>184</v>
      </c>
      <c r="T605">
        <v>3</v>
      </c>
      <c r="U605">
        <v>270</v>
      </c>
      <c r="V605">
        <v>1250000</v>
      </c>
      <c r="W605" t="s">
        <v>618</v>
      </c>
      <c r="Z605">
        <v>70</v>
      </c>
      <c r="AA605">
        <v>90</v>
      </c>
      <c r="AB605">
        <v>90</v>
      </c>
      <c r="AC605">
        <v>135</v>
      </c>
      <c r="AD605">
        <v>90</v>
      </c>
      <c r="AE605">
        <v>125</v>
      </c>
      <c r="AF605">
        <v>600</v>
      </c>
      <c r="AG605">
        <v>0</v>
      </c>
      <c r="AH605">
        <v>0</v>
      </c>
      <c r="AI605">
        <v>0</v>
      </c>
      <c r="AJ605">
        <v>2</v>
      </c>
      <c r="AK605">
        <v>0</v>
      </c>
      <c r="AL605">
        <v>1</v>
      </c>
    </row>
    <row r="606" spans="1:38" x14ac:dyDescent="0.25">
      <c r="A606" t="s">
        <v>1478</v>
      </c>
      <c r="B606" t="s">
        <v>1479</v>
      </c>
      <c r="C606" s="1">
        <v>492</v>
      </c>
      <c r="D606" s="1" t="s">
        <v>1477</v>
      </c>
      <c r="E606">
        <v>4</v>
      </c>
      <c r="F606">
        <v>0.2</v>
      </c>
      <c r="G606">
        <v>2.1</v>
      </c>
      <c r="H606" t="s">
        <v>40</v>
      </c>
      <c r="J606" t="s">
        <v>490</v>
      </c>
      <c r="M606" t="s">
        <v>44</v>
      </c>
      <c r="N606">
        <v>0</v>
      </c>
      <c r="O606">
        <v>0</v>
      </c>
      <c r="P606">
        <v>100</v>
      </c>
      <c r="Q606">
        <v>120</v>
      </c>
      <c r="R606" t="s">
        <v>184</v>
      </c>
      <c r="T606">
        <v>45</v>
      </c>
      <c r="U606">
        <v>270</v>
      </c>
      <c r="V606">
        <v>1059860</v>
      </c>
      <c r="W606" t="s">
        <v>618</v>
      </c>
      <c r="Z606">
        <v>100</v>
      </c>
      <c r="AA606">
        <v>100</v>
      </c>
      <c r="AB606">
        <v>100</v>
      </c>
      <c r="AC606">
        <v>100</v>
      </c>
      <c r="AD606">
        <v>100</v>
      </c>
      <c r="AE606">
        <v>100</v>
      </c>
      <c r="AF606">
        <v>600</v>
      </c>
      <c r="AG606">
        <v>3</v>
      </c>
      <c r="AH606">
        <v>0</v>
      </c>
      <c r="AI606">
        <v>0</v>
      </c>
      <c r="AJ606">
        <v>0</v>
      </c>
      <c r="AK606">
        <v>0</v>
      </c>
      <c r="AL606">
        <v>0</v>
      </c>
    </row>
    <row r="607" spans="1:38" x14ac:dyDescent="0.25">
      <c r="A607" t="s">
        <v>1478</v>
      </c>
      <c r="B607" t="s">
        <v>1481</v>
      </c>
      <c r="C607" s="1">
        <v>492</v>
      </c>
      <c r="D607" s="1" t="s">
        <v>1480</v>
      </c>
      <c r="E607">
        <v>4</v>
      </c>
      <c r="F607">
        <v>0.4</v>
      </c>
      <c r="G607">
        <v>5.2</v>
      </c>
      <c r="H607" t="s">
        <v>40</v>
      </c>
      <c r="I607" t="s">
        <v>66</v>
      </c>
      <c r="J607" t="s">
        <v>491</v>
      </c>
      <c r="M607" t="s">
        <v>44</v>
      </c>
      <c r="N607">
        <v>0</v>
      </c>
      <c r="O607">
        <v>0</v>
      </c>
      <c r="P607">
        <v>100</v>
      </c>
      <c r="Q607">
        <v>120</v>
      </c>
      <c r="R607" t="s">
        <v>184</v>
      </c>
      <c r="T607">
        <v>45</v>
      </c>
      <c r="U607">
        <v>270</v>
      </c>
      <c r="V607">
        <v>1059860</v>
      </c>
      <c r="W607" t="s">
        <v>618</v>
      </c>
      <c r="Z607">
        <v>100</v>
      </c>
      <c r="AA607">
        <v>103</v>
      </c>
      <c r="AB607">
        <v>75</v>
      </c>
      <c r="AC607">
        <v>120</v>
      </c>
      <c r="AD607">
        <v>75</v>
      </c>
      <c r="AE607">
        <v>127</v>
      </c>
      <c r="AF607">
        <v>600</v>
      </c>
      <c r="AG607">
        <v>0</v>
      </c>
      <c r="AH607">
        <v>0</v>
      </c>
      <c r="AI607">
        <v>0</v>
      </c>
      <c r="AJ607">
        <v>0</v>
      </c>
      <c r="AK607">
        <v>0</v>
      </c>
      <c r="AL607">
        <v>3</v>
      </c>
    </row>
    <row r="608" spans="1:38" x14ac:dyDescent="0.25">
      <c r="A608" t="s">
        <v>1483</v>
      </c>
      <c r="B608" t="s">
        <v>1483</v>
      </c>
      <c r="C608" s="1">
        <v>493</v>
      </c>
      <c r="D608" s="1" t="s">
        <v>1482</v>
      </c>
      <c r="E608">
        <v>4</v>
      </c>
      <c r="F608">
        <v>3.2</v>
      </c>
      <c r="G608">
        <v>320</v>
      </c>
      <c r="H608" t="s">
        <v>116</v>
      </c>
      <c r="J608" t="s">
        <v>1484</v>
      </c>
      <c r="M608" t="s">
        <v>100</v>
      </c>
      <c r="N608">
        <v>0</v>
      </c>
      <c r="O608">
        <v>0</v>
      </c>
      <c r="P608">
        <v>100</v>
      </c>
      <c r="Q608">
        <v>120</v>
      </c>
      <c r="R608" t="s">
        <v>184</v>
      </c>
      <c r="T608">
        <v>3</v>
      </c>
      <c r="U608">
        <v>360</v>
      </c>
      <c r="V608">
        <v>1250000</v>
      </c>
      <c r="W608" t="s">
        <v>618</v>
      </c>
      <c r="Z608">
        <v>120</v>
      </c>
      <c r="AA608">
        <v>120</v>
      </c>
      <c r="AB608">
        <v>120</v>
      </c>
      <c r="AC608">
        <v>120</v>
      </c>
      <c r="AD608">
        <v>120</v>
      </c>
      <c r="AE608">
        <v>120</v>
      </c>
      <c r="AF608">
        <v>720</v>
      </c>
      <c r="AG608">
        <v>3</v>
      </c>
      <c r="AH608">
        <v>0</v>
      </c>
      <c r="AI608">
        <v>0</v>
      </c>
      <c r="AJ608">
        <v>0</v>
      </c>
      <c r="AK608">
        <v>0</v>
      </c>
      <c r="AL608">
        <v>0</v>
      </c>
    </row>
    <row r="609" spans="1:38" x14ac:dyDescent="0.25">
      <c r="A609" t="s">
        <v>1486</v>
      </c>
      <c r="B609" t="s">
        <v>1486</v>
      </c>
      <c r="C609" s="1">
        <v>494</v>
      </c>
      <c r="D609" s="1" t="s">
        <v>1485</v>
      </c>
      <c r="E609">
        <v>5</v>
      </c>
      <c r="F609">
        <v>0.4</v>
      </c>
      <c r="G609">
        <v>4</v>
      </c>
      <c r="H609" t="s">
        <v>162</v>
      </c>
      <c r="I609" t="s">
        <v>57</v>
      </c>
      <c r="J609" t="s">
        <v>1487</v>
      </c>
      <c r="M609" t="s">
        <v>106</v>
      </c>
      <c r="N609">
        <v>0</v>
      </c>
      <c r="O609">
        <v>0</v>
      </c>
      <c r="P609">
        <v>100</v>
      </c>
      <c r="Q609">
        <v>120</v>
      </c>
      <c r="R609" t="s">
        <v>184</v>
      </c>
      <c r="T609">
        <v>3</v>
      </c>
      <c r="U609">
        <v>300</v>
      </c>
      <c r="V609">
        <v>1250000</v>
      </c>
      <c r="W609" t="s">
        <v>618</v>
      </c>
      <c r="Z609">
        <v>100</v>
      </c>
      <c r="AA609">
        <v>100</v>
      </c>
      <c r="AB609">
        <v>100</v>
      </c>
      <c r="AC609">
        <v>100</v>
      </c>
      <c r="AD609">
        <v>100</v>
      </c>
      <c r="AE609">
        <v>100</v>
      </c>
      <c r="AF609">
        <v>600</v>
      </c>
      <c r="AG609">
        <v>3</v>
      </c>
      <c r="AH609">
        <v>0</v>
      </c>
      <c r="AI609">
        <v>0</v>
      </c>
      <c r="AJ609">
        <v>0</v>
      </c>
      <c r="AK609">
        <v>0</v>
      </c>
      <c r="AL609">
        <v>0</v>
      </c>
    </row>
    <row r="610" spans="1:38" x14ac:dyDescent="0.25">
      <c r="A610" t="s">
        <v>1489</v>
      </c>
      <c r="B610" t="s">
        <v>1489</v>
      </c>
      <c r="C610" s="1">
        <v>495</v>
      </c>
      <c r="D610" s="1" t="s">
        <v>1488</v>
      </c>
      <c r="E610">
        <v>5</v>
      </c>
      <c r="F610">
        <v>0.6</v>
      </c>
      <c r="G610">
        <v>8.1</v>
      </c>
      <c r="H610" t="s">
        <v>40</v>
      </c>
      <c r="J610" t="s">
        <v>42</v>
      </c>
      <c r="L610" t="s">
        <v>768</v>
      </c>
      <c r="M610" t="s">
        <v>44</v>
      </c>
      <c r="N610">
        <v>87.5</v>
      </c>
      <c r="O610">
        <v>12.5</v>
      </c>
      <c r="P610">
        <v>0</v>
      </c>
      <c r="Q610">
        <v>20</v>
      </c>
      <c r="R610" t="s">
        <v>132</v>
      </c>
      <c r="S610" t="s">
        <v>40</v>
      </c>
      <c r="T610">
        <v>45</v>
      </c>
      <c r="U610">
        <v>62</v>
      </c>
      <c r="V610">
        <v>1059860</v>
      </c>
      <c r="W610" t="s">
        <v>46</v>
      </c>
      <c r="Z610">
        <v>45</v>
      </c>
      <c r="AA610">
        <v>45</v>
      </c>
      <c r="AB610">
        <v>55</v>
      </c>
      <c r="AC610">
        <v>45</v>
      </c>
      <c r="AD610">
        <v>55</v>
      </c>
      <c r="AE610">
        <v>63</v>
      </c>
      <c r="AF610">
        <v>308</v>
      </c>
      <c r="AG610">
        <v>0</v>
      </c>
      <c r="AH610">
        <v>0</v>
      </c>
      <c r="AI610">
        <v>0</v>
      </c>
      <c r="AJ610">
        <v>0</v>
      </c>
      <c r="AK610">
        <v>0</v>
      </c>
      <c r="AL610">
        <v>1</v>
      </c>
    </row>
    <row r="611" spans="1:38" x14ac:dyDescent="0.25">
      <c r="A611" t="s">
        <v>1491</v>
      </c>
      <c r="B611" t="s">
        <v>1491</v>
      </c>
      <c r="C611" s="1">
        <v>496</v>
      </c>
      <c r="D611" s="1" t="s">
        <v>1490</v>
      </c>
      <c r="E611">
        <v>5</v>
      </c>
      <c r="F611">
        <v>0.8</v>
      </c>
      <c r="G611">
        <v>16</v>
      </c>
      <c r="H611" t="s">
        <v>40</v>
      </c>
      <c r="J611" t="s">
        <v>42</v>
      </c>
      <c r="L611" t="s">
        <v>768</v>
      </c>
      <c r="M611" t="s">
        <v>44</v>
      </c>
      <c r="N611">
        <v>87.5</v>
      </c>
      <c r="O611">
        <v>12.5</v>
      </c>
      <c r="P611">
        <v>0</v>
      </c>
      <c r="Q611">
        <v>20</v>
      </c>
      <c r="R611" t="s">
        <v>132</v>
      </c>
      <c r="S611" t="s">
        <v>40</v>
      </c>
      <c r="T611">
        <v>45</v>
      </c>
      <c r="U611">
        <v>145</v>
      </c>
      <c r="V611">
        <v>1059860</v>
      </c>
      <c r="W611" t="s">
        <v>46</v>
      </c>
      <c r="Z611">
        <v>60</v>
      </c>
      <c r="AA611">
        <v>60</v>
      </c>
      <c r="AB611">
        <v>75</v>
      </c>
      <c r="AC611">
        <v>60</v>
      </c>
      <c r="AD611">
        <v>75</v>
      </c>
      <c r="AE611">
        <v>83</v>
      </c>
      <c r="AF611">
        <v>413</v>
      </c>
      <c r="AG611">
        <v>0</v>
      </c>
      <c r="AH611">
        <v>0</v>
      </c>
      <c r="AI611">
        <v>0</v>
      </c>
      <c r="AJ611">
        <v>0</v>
      </c>
      <c r="AK611">
        <v>0</v>
      </c>
      <c r="AL611">
        <v>2</v>
      </c>
    </row>
    <row r="612" spans="1:38" x14ac:dyDescent="0.25">
      <c r="A612" t="s">
        <v>1493</v>
      </c>
      <c r="B612" t="s">
        <v>1493</v>
      </c>
      <c r="C612" s="1">
        <v>497</v>
      </c>
      <c r="D612" s="1" t="s">
        <v>1492</v>
      </c>
      <c r="E612">
        <v>5</v>
      </c>
      <c r="F612">
        <v>3.3</v>
      </c>
      <c r="G612">
        <v>63</v>
      </c>
      <c r="H612" t="s">
        <v>40</v>
      </c>
      <c r="J612" t="s">
        <v>42</v>
      </c>
      <c r="L612" t="s">
        <v>768</v>
      </c>
      <c r="M612" t="s">
        <v>44</v>
      </c>
      <c r="N612">
        <v>87.5</v>
      </c>
      <c r="O612">
        <v>12.5</v>
      </c>
      <c r="P612">
        <v>0</v>
      </c>
      <c r="Q612">
        <v>20</v>
      </c>
      <c r="R612" t="s">
        <v>132</v>
      </c>
      <c r="S612" t="s">
        <v>40</v>
      </c>
      <c r="T612">
        <v>45</v>
      </c>
      <c r="U612">
        <v>238</v>
      </c>
      <c r="V612">
        <v>1059860</v>
      </c>
      <c r="W612" t="s">
        <v>46</v>
      </c>
      <c r="Z612">
        <v>75</v>
      </c>
      <c r="AA612">
        <v>75</v>
      </c>
      <c r="AB612">
        <v>95</v>
      </c>
      <c r="AC612">
        <v>75</v>
      </c>
      <c r="AD612">
        <v>95</v>
      </c>
      <c r="AE612">
        <v>113</v>
      </c>
      <c r="AF612">
        <v>528</v>
      </c>
      <c r="AG612">
        <v>0</v>
      </c>
      <c r="AH612">
        <v>0</v>
      </c>
      <c r="AI612">
        <v>0</v>
      </c>
      <c r="AJ612">
        <v>0</v>
      </c>
      <c r="AK612">
        <v>0</v>
      </c>
      <c r="AL612">
        <v>3</v>
      </c>
    </row>
    <row r="613" spans="1:38" x14ac:dyDescent="0.25">
      <c r="A613" t="s">
        <v>1495</v>
      </c>
      <c r="B613" t="s">
        <v>1495</v>
      </c>
      <c r="C613" s="1">
        <v>498</v>
      </c>
      <c r="D613" s="1" t="s">
        <v>1494</v>
      </c>
      <c r="E613">
        <v>5</v>
      </c>
      <c r="F613">
        <v>0.5</v>
      </c>
      <c r="G613">
        <v>9.9</v>
      </c>
      <c r="H613" t="s">
        <v>57</v>
      </c>
      <c r="J613" t="s">
        <v>58</v>
      </c>
      <c r="L613" t="s">
        <v>53</v>
      </c>
      <c r="M613" t="s">
        <v>60</v>
      </c>
      <c r="N613">
        <v>87.5</v>
      </c>
      <c r="O613">
        <v>12.5</v>
      </c>
      <c r="P613">
        <v>0</v>
      </c>
      <c r="Q613">
        <v>20</v>
      </c>
      <c r="R613" t="s">
        <v>132</v>
      </c>
      <c r="T613">
        <v>45</v>
      </c>
      <c r="U613">
        <v>62</v>
      </c>
      <c r="V613">
        <v>1059860</v>
      </c>
      <c r="W613" t="s">
        <v>46</v>
      </c>
      <c r="Z613">
        <v>65</v>
      </c>
      <c r="AA613">
        <v>63</v>
      </c>
      <c r="AB613">
        <v>45</v>
      </c>
      <c r="AC613">
        <v>45</v>
      </c>
      <c r="AD613">
        <v>45</v>
      </c>
      <c r="AE613">
        <v>45</v>
      </c>
      <c r="AF613">
        <v>308</v>
      </c>
      <c r="AG613">
        <v>1</v>
      </c>
      <c r="AH613">
        <v>0</v>
      </c>
      <c r="AI613">
        <v>0</v>
      </c>
      <c r="AJ613">
        <v>0</v>
      </c>
      <c r="AK613">
        <v>0</v>
      </c>
      <c r="AL613">
        <v>0</v>
      </c>
    </row>
    <row r="614" spans="1:38" x14ac:dyDescent="0.25">
      <c r="A614" t="s">
        <v>1497</v>
      </c>
      <c r="B614" t="s">
        <v>1497</v>
      </c>
      <c r="C614" s="1">
        <v>499</v>
      </c>
      <c r="D614" s="1" t="s">
        <v>1496</v>
      </c>
      <c r="E614">
        <v>5</v>
      </c>
      <c r="F614">
        <v>1</v>
      </c>
      <c r="G614">
        <v>55.5</v>
      </c>
      <c r="H614" t="s">
        <v>57</v>
      </c>
      <c r="I614" t="s">
        <v>279</v>
      </c>
      <c r="J614" t="s">
        <v>58</v>
      </c>
      <c r="L614" t="s">
        <v>53</v>
      </c>
      <c r="M614" t="s">
        <v>60</v>
      </c>
      <c r="N614">
        <v>87.5</v>
      </c>
      <c r="O614">
        <v>12.5</v>
      </c>
      <c r="P614">
        <v>0</v>
      </c>
      <c r="Q614">
        <v>20</v>
      </c>
      <c r="R614" t="s">
        <v>132</v>
      </c>
      <c r="T614">
        <v>45</v>
      </c>
      <c r="U614">
        <v>146</v>
      </c>
      <c r="V614">
        <v>1059860</v>
      </c>
      <c r="W614" t="s">
        <v>46</v>
      </c>
      <c r="Z614">
        <v>90</v>
      </c>
      <c r="AA614">
        <v>93</v>
      </c>
      <c r="AB614">
        <v>55</v>
      </c>
      <c r="AC614">
        <v>70</v>
      </c>
      <c r="AD614">
        <v>55</v>
      </c>
      <c r="AE614">
        <v>55</v>
      </c>
      <c r="AF614">
        <v>418</v>
      </c>
      <c r="AG614">
        <v>0</v>
      </c>
      <c r="AH614">
        <v>2</v>
      </c>
      <c r="AI614">
        <v>0</v>
      </c>
      <c r="AJ614">
        <v>0</v>
      </c>
      <c r="AK614">
        <v>0</v>
      </c>
      <c r="AL614">
        <v>0</v>
      </c>
    </row>
    <row r="615" spans="1:38" x14ac:dyDescent="0.25">
      <c r="A615" t="s">
        <v>1499</v>
      </c>
      <c r="B615" t="s">
        <v>1499</v>
      </c>
      <c r="C615" s="1">
        <v>500</v>
      </c>
      <c r="D615" s="1" t="s">
        <v>1498</v>
      </c>
      <c r="E615">
        <v>5</v>
      </c>
      <c r="F615">
        <v>1.6</v>
      </c>
      <c r="G615">
        <v>150</v>
      </c>
      <c r="H615" t="s">
        <v>57</v>
      </c>
      <c r="I615" t="s">
        <v>279</v>
      </c>
      <c r="J615" t="s">
        <v>58</v>
      </c>
      <c r="L615" t="s">
        <v>469</v>
      </c>
      <c r="M615" t="s">
        <v>60</v>
      </c>
      <c r="N615">
        <v>87.5</v>
      </c>
      <c r="O615">
        <v>12.5</v>
      </c>
      <c r="P615">
        <v>0</v>
      </c>
      <c r="Q615">
        <v>20</v>
      </c>
      <c r="R615" t="s">
        <v>132</v>
      </c>
      <c r="T615">
        <v>45</v>
      </c>
      <c r="U615">
        <v>238</v>
      </c>
      <c r="V615">
        <v>1059860</v>
      </c>
      <c r="W615" t="s">
        <v>46</v>
      </c>
      <c r="Z615">
        <v>110</v>
      </c>
      <c r="AA615">
        <v>123</v>
      </c>
      <c r="AB615">
        <v>65</v>
      </c>
      <c r="AC615">
        <v>100</v>
      </c>
      <c r="AD615">
        <v>65</v>
      </c>
      <c r="AE615">
        <v>65</v>
      </c>
      <c r="AF615">
        <v>528</v>
      </c>
      <c r="AG615">
        <v>0</v>
      </c>
      <c r="AH615">
        <v>3</v>
      </c>
      <c r="AI615">
        <v>0</v>
      </c>
      <c r="AJ615">
        <v>0</v>
      </c>
      <c r="AK615">
        <v>0</v>
      </c>
      <c r="AL615">
        <v>0</v>
      </c>
    </row>
    <row r="616" spans="1:38" x14ac:dyDescent="0.25">
      <c r="A616" t="s">
        <v>1501</v>
      </c>
      <c r="B616" t="s">
        <v>1501</v>
      </c>
      <c r="C616" s="1">
        <v>501</v>
      </c>
      <c r="D616" s="1" t="s">
        <v>1500</v>
      </c>
      <c r="E616">
        <v>5</v>
      </c>
      <c r="F616">
        <v>0.5</v>
      </c>
      <c r="G616">
        <v>5.9</v>
      </c>
      <c r="H616" t="s">
        <v>76</v>
      </c>
      <c r="J616" t="s">
        <v>77</v>
      </c>
      <c r="L616" t="s">
        <v>377</v>
      </c>
      <c r="M616" t="s">
        <v>79</v>
      </c>
      <c r="N616">
        <v>87.5</v>
      </c>
      <c r="O616">
        <v>12.5</v>
      </c>
      <c r="P616">
        <v>0</v>
      </c>
      <c r="Q616">
        <v>20</v>
      </c>
      <c r="R616" t="s">
        <v>132</v>
      </c>
      <c r="T616">
        <v>45</v>
      </c>
      <c r="U616">
        <v>62</v>
      </c>
      <c r="V616">
        <v>1059860</v>
      </c>
      <c r="W616" t="s">
        <v>46</v>
      </c>
      <c r="Z616">
        <v>55</v>
      </c>
      <c r="AA616">
        <v>55</v>
      </c>
      <c r="AB616">
        <v>45</v>
      </c>
      <c r="AC616">
        <v>63</v>
      </c>
      <c r="AD616">
        <v>45</v>
      </c>
      <c r="AE616">
        <v>45</v>
      </c>
      <c r="AF616">
        <v>308</v>
      </c>
      <c r="AG616">
        <v>0</v>
      </c>
      <c r="AH616">
        <v>0</v>
      </c>
      <c r="AI616">
        <v>0</v>
      </c>
      <c r="AJ616">
        <v>1</v>
      </c>
      <c r="AK616">
        <v>0</v>
      </c>
      <c r="AL616">
        <v>0</v>
      </c>
    </row>
    <row r="617" spans="1:38" x14ac:dyDescent="0.25">
      <c r="A617" t="s">
        <v>1503</v>
      </c>
      <c r="B617" t="s">
        <v>1503</v>
      </c>
      <c r="C617" s="1">
        <v>502</v>
      </c>
      <c r="D617" s="1" t="s">
        <v>1502</v>
      </c>
      <c r="E617">
        <v>5</v>
      </c>
      <c r="F617">
        <v>0.8</v>
      </c>
      <c r="G617">
        <v>24.5</v>
      </c>
      <c r="H617" t="s">
        <v>76</v>
      </c>
      <c r="J617" t="s">
        <v>77</v>
      </c>
      <c r="L617" t="s">
        <v>377</v>
      </c>
      <c r="M617" t="s">
        <v>79</v>
      </c>
      <c r="N617">
        <v>87.5</v>
      </c>
      <c r="O617">
        <v>12.5</v>
      </c>
      <c r="P617">
        <v>0</v>
      </c>
      <c r="Q617">
        <v>20</v>
      </c>
      <c r="R617" t="s">
        <v>132</v>
      </c>
      <c r="T617">
        <v>45</v>
      </c>
      <c r="U617">
        <v>145</v>
      </c>
      <c r="V617">
        <v>1059860</v>
      </c>
      <c r="W617" t="s">
        <v>46</v>
      </c>
      <c r="Z617">
        <v>75</v>
      </c>
      <c r="AA617">
        <v>75</v>
      </c>
      <c r="AB617">
        <v>60</v>
      </c>
      <c r="AC617">
        <v>83</v>
      </c>
      <c r="AD617">
        <v>60</v>
      </c>
      <c r="AE617">
        <v>60</v>
      </c>
      <c r="AF617">
        <v>413</v>
      </c>
      <c r="AG617">
        <v>0</v>
      </c>
      <c r="AH617">
        <v>0</v>
      </c>
      <c r="AI617">
        <v>0</v>
      </c>
      <c r="AJ617">
        <v>2</v>
      </c>
      <c r="AK617">
        <v>0</v>
      </c>
      <c r="AL617">
        <v>0</v>
      </c>
    </row>
    <row r="618" spans="1:38" x14ac:dyDescent="0.25">
      <c r="A618" t="s">
        <v>1505</v>
      </c>
      <c r="B618" t="s">
        <v>1505</v>
      </c>
      <c r="C618" s="1">
        <v>503</v>
      </c>
      <c r="D618" s="1" t="s">
        <v>1504</v>
      </c>
      <c r="E618">
        <v>5</v>
      </c>
      <c r="F618">
        <v>1.5</v>
      </c>
      <c r="G618">
        <v>94.6</v>
      </c>
      <c r="H618" t="s">
        <v>76</v>
      </c>
      <c r="J618" t="s">
        <v>77</v>
      </c>
      <c r="L618" t="s">
        <v>377</v>
      </c>
      <c r="M618" t="s">
        <v>79</v>
      </c>
      <c r="N618">
        <v>87.5</v>
      </c>
      <c r="O618">
        <v>12.5</v>
      </c>
      <c r="P618">
        <v>0</v>
      </c>
      <c r="Q618">
        <v>20</v>
      </c>
      <c r="R618" t="s">
        <v>132</v>
      </c>
      <c r="T618">
        <v>45</v>
      </c>
      <c r="U618">
        <v>264</v>
      </c>
      <c r="V618">
        <v>1059860</v>
      </c>
      <c r="W618" t="s">
        <v>46</v>
      </c>
      <c r="Z618">
        <v>95</v>
      </c>
      <c r="AA618">
        <v>100</v>
      </c>
      <c r="AB618">
        <v>85</v>
      </c>
      <c r="AC618">
        <v>108</v>
      </c>
      <c r="AD618">
        <v>70</v>
      </c>
      <c r="AE618">
        <v>70</v>
      </c>
      <c r="AF618">
        <v>528</v>
      </c>
      <c r="AG618">
        <v>0</v>
      </c>
      <c r="AH618">
        <v>0</v>
      </c>
      <c r="AI618">
        <v>0</v>
      </c>
      <c r="AJ618">
        <v>3</v>
      </c>
      <c r="AK618">
        <v>0</v>
      </c>
      <c r="AL618">
        <v>0</v>
      </c>
    </row>
    <row r="619" spans="1:38" x14ac:dyDescent="0.25">
      <c r="A619" t="s">
        <v>1505</v>
      </c>
      <c r="B619" t="s">
        <v>1507</v>
      </c>
      <c r="C619" s="1">
        <v>503</v>
      </c>
      <c r="D619" s="1" t="s">
        <v>1506</v>
      </c>
      <c r="E619">
        <v>8</v>
      </c>
      <c r="F619">
        <v>1.5</v>
      </c>
      <c r="G619">
        <v>58.2</v>
      </c>
      <c r="H619" t="s">
        <v>76</v>
      </c>
      <c r="I619" t="s">
        <v>135</v>
      </c>
      <c r="J619" t="s">
        <v>77</v>
      </c>
      <c r="L619" t="s">
        <v>1424</v>
      </c>
      <c r="M619" t="s">
        <v>79</v>
      </c>
      <c r="N619">
        <v>87.5</v>
      </c>
      <c r="O619">
        <v>12.5</v>
      </c>
      <c r="P619">
        <v>0</v>
      </c>
      <c r="Q619">
        <v>20</v>
      </c>
      <c r="R619" t="s">
        <v>132</v>
      </c>
      <c r="T619">
        <v>45</v>
      </c>
      <c r="U619">
        <v>264</v>
      </c>
      <c r="V619">
        <v>1059860</v>
      </c>
      <c r="W619" t="s">
        <v>46</v>
      </c>
      <c r="Y619" t="s">
        <v>292</v>
      </c>
      <c r="Z619">
        <v>90</v>
      </c>
      <c r="AA619">
        <v>108</v>
      </c>
      <c r="AB619">
        <v>80</v>
      </c>
      <c r="AC619">
        <v>100</v>
      </c>
      <c r="AD619">
        <v>65</v>
      </c>
      <c r="AE619">
        <v>85</v>
      </c>
      <c r="AF619">
        <v>528</v>
      </c>
      <c r="AG619">
        <v>0</v>
      </c>
      <c r="AH619">
        <v>3</v>
      </c>
      <c r="AI619">
        <v>0</v>
      </c>
      <c r="AJ619">
        <v>0</v>
      </c>
      <c r="AK619">
        <v>0</v>
      </c>
      <c r="AL619">
        <v>0</v>
      </c>
    </row>
    <row r="620" spans="1:38" x14ac:dyDescent="0.25">
      <c r="A620" t="s">
        <v>1509</v>
      </c>
      <c r="B620" t="s">
        <v>1509</v>
      </c>
      <c r="C620" s="1">
        <v>504</v>
      </c>
      <c r="D620" s="1" t="s">
        <v>1508</v>
      </c>
      <c r="E620">
        <v>5</v>
      </c>
      <c r="F620">
        <v>0.5</v>
      </c>
      <c r="G620">
        <v>11.6</v>
      </c>
      <c r="H620" t="s">
        <v>116</v>
      </c>
      <c r="J620" t="s">
        <v>92</v>
      </c>
      <c r="K620" t="s">
        <v>117</v>
      </c>
      <c r="L620" t="s">
        <v>380</v>
      </c>
      <c r="M620" t="s">
        <v>103</v>
      </c>
      <c r="N620">
        <v>50</v>
      </c>
      <c r="O620">
        <v>50</v>
      </c>
      <c r="P620">
        <v>0</v>
      </c>
      <c r="Q620">
        <v>15</v>
      </c>
      <c r="R620" t="s">
        <v>132</v>
      </c>
      <c r="T620">
        <v>255</v>
      </c>
      <c r="U620">
        <v>51</v>
      </c>
      <c r="V620">
        <v>1000000</v>
      </c>
      <c r="W620" t="s">
        <v>46</v>
      </c>
      <c r="Z620">
        <v>45</v>
      </c>
      <c r="AA620">
        <v>55</v>
      </c>
      <c r="AB620">
        <v>39</v>
      </c>
      <c r="AC620">
        <v>35</v>
      </c>
      <c r="AD620">
        <v>39</v>
      </c>
      <c r="AE620">
        <v>42</v>
      </c>
      <c r="AF620">
        <v>255</v>
      </c>
      <c r="AG620">
        <v>0</v>
      </c>
      <c r="AH620">
        <v>1</v>
      </c>
      <c r="AI620">
        <v>0</v>
      </c>
      <c r="AJ620">
        <v>0</v>
      </c>
      <c r="AK620">
        <v>0</v>
      </c>
      <c r="AL620">
        <v>0</v>
      </c>
    </row>
    <row r="621" spans="1:38" x14ac:dyDescent="0.25">
      <c r="A621" t="s">
        <v>1511</v>
      </c>
      <c r="B621" t="s">
        <v>1511</v>
      </c>
      <c r="C621" s="1">
        <v>505</v>
      </c>
      <c r="D621" s="1" t="s">
        <v>1510</v>
      </c>
      <c r="E621">
        <v>5</v>
      </c>
      <c r="F621">
        <v>1.1000000000000001</v>
      </c>
      <c r="G621">
        <v>27</v>
      </c>
      <c r="H621" t="s">
        <v>116</v>
      </c>
      <c r="J621" t="s">
        <v>513</v>
      </c>
      <c r="K621" t="s">
        <v>117</v>
      </c>
      <c r="L621" t="s">
        <v>380</v>
      </c>
      <c r="M621" t="s">
        <v>103</v>
      </c>
      <c r="N621">
        <v>50</v>
      </c>
      <c r="O621">
        <v>50</v>
      </c>
      <c r="P621">
        <v>0</v>
      </c>
      <c r="Q621">
        <v>20</v>
      </c>
      <c r="R621" t="s">
        <v>132</v>
      </c>
      <c r="T621">
        <v>255</v>
      </c>
      <c r="U621">
        <v>147</v>
      </c>
      <c r="V621">
        <v>1000000</v>
      </c>
      <c r="W621" t="s">
        <v>46</v>
      </c>
      <c r="Z621">
        <v>60</v>
      </c>
      <c r="AA621">
        <v>85</v>
      </c>
      <c r="AB621">
        <v>69</v>
      </c>
      <c r="AC621">
        <v>60</v>
      </c>
      <c r="AD621">
        <v>69</v>
      </c>
      <c r="AE621">
        <v>77</v>
      </c>
      <c r="AF621">
        <v>420</v>
      </c>
      <c r="AG621">
        <v>0</v>
      </c>
      <c r="AH621">
        <v>2</v>
      </c>
      <c r="AI621">
        <v>0</v>
      </c>
      <c r="AJ621">
        <v>0</v>
      </c>
      <c r="AK621">
        <v>0</v>
      </c>
      <c r="AL621">
        <v>0</v>
      </c>
    </row>
    <row r="622" spans="1:38" x14ac:dyDescent="0.25">
      <c r="A622" t="s">
        <v>1513</v>
      </c>
      <c r="B622" t="s">
        <v>1513</v>
      </c>
      <c r="C622" s="1">
        <v>506</v>
      </c>
      <c r="D622" s="1" t="s">
        <v>1512</v>
      </c>
      <c r="E622">
        <v>5</v>
      </c>
      <c r="F622">
        <v>0.4</v>
      </c>
      <c r="G622">
        <v>4.0999999999999996</v>
      </c>
      <c r="H622" t="s">
        <v>116</v>
      </c>
      <c r="J622" t="s">
        <v>280</v>
      </c>
      <c r="K622" t="s">
        <v>257</v>
      </c>
      <c r="L622" t="s">
        <v>92</v>
      </c>
      <c r="M622" t="s">
        <v>103</v>
      </c>
      <c r="N622">
        <v>50</v>
      </c>
      <c r="O622">
        <v>50</v>
      </c>
      <c r="P622">
        <v>0</v>
      </c>
      <c r="Q622">
        <v>15</v>
      </c>
      <c r="R622" t="s">
        <v>132</v>
      </c>
      <c r="T622">
        <v>255</v>
      </c>
      <c r="U622">
        <v>55</v>
      </c>
      <c r="V622">
        <v>1059860</v>
      </c>
      <c r="W622" t="s">
        <v>46</v>
      </c>
      <c r="Z622">
        <v>45</v>
      </c>
      <c r="AA622">
        <v>60</v>
      </c>
      <c r="AB622">
        <v>45</v>
      </c>
      <c r="AC622">
        <v>25</v>
      </c>
      <c r="AD622">
        <v>45</v>
      </c>
      <c r="AE622">
        <v>55</v>
      </c>
      <c r="AF622">
        <v>275</v>
      </c>
      <c r="AG622">
        <v>0</v>
      </c>
      <c r="AH622">
        <v>1</v>
      </c>
      <c r="AI622">
        <v>0</v>
      </c>
      <c r="AJ622">
        <v>0</v>
      </c>
      <c r="AK622">
        <v>0</v>
      </c>
      <c r="AL622">
        <v>0</v>
      </c>
    </row>
    <row r="623" spans="1:38" x14ac:dyDescent="0.25">
      <c r="A623" t="s">
        <v>1515</v>
      </c>
      <c r="B623" t="s">
        <v>1515</v>
      </c>
      <c r="C623" s="1">
        <v>507</v>
      </c>
      <c r="D623" s="1" t="s">
        <v>1514</v>
      </c>
      <c r="E623">
        <v>5</v>
      </c>
      <c r="F623">
        <v>0.9</v>
      </c>
      <c r="G623">
        <v>14.7</v>
      </c>
      <c r="H623" t="s">
        <v>116</v>
      </c>
      <c r="J623" t="s">
        <v>148</v>
      </c>
      <c r="K623" t="s">
        <v>167</v>
      </c>
      <c r="L623" t="s">
        <v>387</v>
      </c>
      <c r="M623" t="s">
        <v>318</v>
      </c>
      <c r="N623">
        <v>50</v>
      </c>
      <c r="O623">
        <v>50</v>
      </c>
      <c r="P623">
        <v>0</v>
      </c>
      <c r="Q623">
        <v>15</v>
      </c>
      <c r="R623" t="s">
        <v>132</v>
      </c>
      <c r="T623">
        <v>120</v>
      </c>
      <c r="U623">
        <v>130</v>
      </c>
      <c r="V623">
        <v>1059860</v>
      </c>
      <c r="W623" t="s">
        <v>46</v>
      </c>
      <c r="Z623">
        <v>65</v>
      </c>
      <c r="AA623">
        <v>80</v>
      </c>
      <c r="AB623">
        <v>65</v>
      </c>
      <c r="AC623">
        <v>35</v>
      </c>
      <c r="AD623">
        <v>65</v>
      </c>
      <c r="AE623">
        <v>60</v>
      </c>
      <c r="AF623">
        <v>370</v>
      </c>
      <c r="AG623">
        <v>0</v>
      </c>
      <c r="AH623">
        <v>2</v>
      </c>
      <c r="AI623">
        <v>0</v>
      </c>
      <c r="AJ623">
        <v>0</v>
      </c>
      <c r="AK623">
        <v>0</v>
      </c>
      <c r="AL623">
        <v>0</v>
      </c>
    </row>
    <row r="624" spans="1:38" x14ac:dyDescent="0.25">
      <c r="A624" t="s">
        <v>1517</v>
      </c>
      <c r="B624" t="s">
        <v>1517</v>
      </c>
      <c r="C624" s="1">
        <v>508</v>
      </c>
      <c r="D624" s="1" t="s">
        <v>1516</v>
      </c>
      <c r="E624">
        <v>5</v>
      </c>
      <c r="F624">
        <v>1.2</v>
      </c>
      <c r="G624">
        <v>61</v>
      </c>
      <c r="H624" t="s">
        <v>116</v>
      </c>
      <c r="J624" t="s">
        <v>148</v>
      </c>
      <c r="K624" t="s">
        <v>167</v>
      </c>
      <c r="L624" t="s">
        <v>387</v>
      </c>
      <c r="M624" t="s">
        <v>318</v>
      </c>
      <c r="N624">
        <v>50</v>
      </c>
      <c r="O624">
        <v>50</v>
      </c>
      <c r="P624">
        <v>0</v>
      </c>
      <c r="Q624">
        <v>15</v>
      </c>
      <c r="R624" t="s">
        <v>132</v>
      </c>
      <c r="T624">
        <v>45</v>
      </c>
      <c r="U624">
        <v>250</v>
      </c>
      <c r="V624">
        <v>1059860</v>
      </c>
      <c r="W624" t="s">
        <v>46</v>
      </c>
      <c r="Z624">
        <v>85</v>
      </c>
      <c r="AA624">
        <v>110</v>
      </c>
      <c r="AB624">
        <v>90</v>
      </c>
      <c r="AC624">
        <v>45</v>
      </c>
      <c r="AD624">
        <v>90</v>
      </c>
      <c r="AE624">
        <v>80</v>
      </c>
      <c r="AF624">
        <v>500</v>
      </c>
      <c r="AG624">
        <v>0</v>
      </c>
      <c r="AH624">
        <v>3</v>
      </c>
      <c r="AI624">
        <v>0</v>
      </c>
      <c r="AJ624">
        <v>0</v>
      </c>
      <c r="AK624">
        <v>0</v>
      </c>
      <c r="AL624">
        <v>0</v>
      </c>
    </row>
    <row r="625" spans="1:38" x14ac:dyDescent="0.25">
      <c r="A625" t="s">
        <v>1519</v>
      </c>
      <c r="B625" t="s">
        <v>1519</v>
      </c>
      <c r="C625" s="1">
        <v>509</v>
      </c>
      <c r="D625" s="1" t="s">
        <v>1518</v>
      </c>
      <c r="E625">
        <v>5</v>
      </c>
      <c r="F625">
        <v>0.4</v>
      </c>
      <c r="G625">
        <v>10.1</v>
      </c>
      <c r="H625" t="s">
        <v>135</v>
      </c>
      <c r="J625" t="s">
        <v>267</v>
      </c>
      <c r="K625" t="s">
        <v>470</v>
      </c>
      <c r="L625" t="s">
        <v>726</v>
      </c>
      <c r="M625" t="s">
        <v>131</v>
      </c>
      <c r="N625">
        <v>50</v>
      </c>
      <c r="O625">
        <v>50</v>
      </c>
      <c r="P625">
        <v>0</v>
      </c>
      <c r="Q625">
        <v>20</v>
      </c>
      <c r="R625" t="s">
        <v>132</v>
      </c>
      <c r="T625">
        <v>255</v>
      </c>
      <c r="U625">
        <v>56</v>
      </c>
      <c r="V625">
        <v>1000000</v>
      </c>
      <c r="W625" t="s">
        <v>46</v>
      </c>
      <c r="Z625">
        <v>41</v>
      </c>
      <c r="AA625">
        <v>50</v>
      </c>
      <c r="AB625">
        <v>37</v>
      </c>
      <c r="AC625">
        <v>50</v>
      </c>
      <c r="AD625">
        <v>37</v>
      </c>
      <c r="AE625">
        <v>66</v>
      </c>
      <c r="AF625">
        <v>281</v>
      </c>
      <c r="AG625">
        <v>0</v>
      </c>
      <c r="AH625">
        <v>0</v>
      </c>
      <c r="AI625">
        <v>0</v>
      </c>
      <c r="AJ625">
        <v>0</v>
      </c>
      <c r="AK625">
        <v>0</v>
      </c>
      <c r="AL625">
        <v>1</v>
      </c>
    </row>
    <row r="626" spans="1:38" x14ac:dyDescent="0.25">
      <c r="A626" t="s">
        <v>1521</v>
      </c>
      <c r="B626" t="s">
        <v>1521</v>
      </c>
      <c r="C626" s="1">
        <v>510</v>
      </c>
      <c r="D626" s="1" t="s">
        <v>1520</v>
      </c>
      <c r="E626">
        <v>5</v>
      </c>
      <c r="F626">
        <v>1.1000000000000001</v>
      </c>
      <c r="G626">
        <v>37.5</v>
      </c>
      <c r="H626" t="s">
        <v>135</v>
      </c>
      <c r="J626" t="s">
        <v>267</v>
      </c>
      <c r="K626" t="s">
        <v>470</v>
      </c>
      <c r="L626" t="s">
        <v>726</v>
      </c>
      <c r="M626" t="s">
        <v>131</v>
      </c>
      <c r="N626">
        <v>50</v>
      </c>
      <c r="O626">
        <v>50</v>
      </c>
      <c r="P626">
        <v>0</v>
      </c>
      <c r="Q626">
        <v>20</v>
      </c>
      <c r="R626" t="s">
        <v>132</v>
      </c>
      <c r="T626">
        <v>90</v>
      </c>
      <c r="U626">
        <v>156</v>
      </c>
      <c r="V626">
        <v>1000000</v>
      </c>
      <c r="W626" t="s">
        <v>46</v>
      </c>
      <c r="Z626">
        <v>64</v>
      </c>
      <c r="AA626">
        <v>88</v>
      </c>
      <c r="AB626">
        <v>50</v>
      </c>
      <c r="AC626">
        <v>88</v>
      </c>
      <c r="AD626">
        <v>50</v>
      </c>
      <c r="AE626">
        <v>106</v>
      </c>
      <c r="AF626">
        <v>446</v>
      </c>
      <c r="AG626">
        <v>0</v>
      </c>
      <c r="AH626">
        <v>0</v>
      </c>
      <c r="AI626">
        <v>0</v>
      </c>
      <c r="AJ626">
        <v>0</v>
      </c>
      <c r="AK626">
        <v>0</v>
      </c>
      <c r="AL626">
        <v>2</v>
      </c>
    </row>
    <row r="627" spans="1:38" x14ac:dyDescent="0.25">
      <c r="A627" t="s">
        <v>1523</v>
      </c>
      <c r="B627" t="s">
        <v>1523</v>
      </c>
      <c r="C627" s="1">
        <v>511</v>
      </c>
      <c r="D627" s="1" t="s">
        <v>1522</v>
      </c>
      <c r="E627">
        <v>5</v>
      </c>
      <c r="F627">
        <v>0.6</v>
      </c>
      <c r="G627">
        <v>10.5</v>
      </c>
      <c r="H627" t="s">
        <v>40</v>
      </c>
      <c r="J627" t="s">
        <v>136</v>
      </c>
      <c r="L627" t="s">
        <v>42</v>
      </c>
      <c r="M627" t="s">
        <v>44</v>
      </c>
      <c r="N627">
        <v>87.5</v>
      </c>
      <c r="O627">
        <v>12.5</v>
      </c>
      <c r="P627">
        <v>0</v>
      </c>
      <c r="Q627">
        <v>20</v>
      </c>
      <c r="R627" t="s">
        <v>132</v>
      </c>
      <c r="T627">
        <v>190</v>
      </c>
      <c r="U627">
        <v>63</v>
      </c>
      <c r="V627">
        <v>1000000</v>
      </c>
      <c r="W627" t="s">
        <v>46</v>
      </c>
      <c r="Z627">
        <v>50</v>
      </c>
      <c r="AA627">
        <v>53</v>
      </c>
      <c r="AB627">
        <v>48</v>
      </c>
      <c r="AC627">
        <v>53</v>
      </c>
      <c r="AD627">
        <v>48</v>
      </c>
      <c r="AE627">
        <v>64</v>
      </c>
      <c r="AF627">
        <v>316</v>
      </c>
      <c r="AG627">
        <v>0</v>
      </c>
      <c r="AH627">
        <v>0</v>
      </c>
      <c r="AI627">
        <v>0</v>
      </c>
      <c r="AJ627">
        <v>0</v>
      </c>
      <c r="AK627">
        <v>0</v>
      </c>
      <c r="AL627">
        <v>1</v>
      </c>
    </row>
    <row r="628" spans="1:38" x14ac:dyDescent="0.25">
      <c r="A628" t="s">
        <v>1525</v>
      </c>
      <c r="B628" t="s">
        <v>1525</v>
      </c>
      <c r="C628" s="1">
        <v>512</v>
      </c>
      <c r="D628" s="1" t="s">
        <v>1524</v>
      </c>
      <c r="E628">
        <v>5</v>
      </c>
      <c r="F628">
        <v>1.1000000000000001</v>
      </c>
      <c r="G628">
        <v>30.5</v>
      </c>
      <c r="H628" t="s">
        <v>40</v>
      </c>
      <c r="J628" t="s">
        <v>136</v>
      </c>
      <c r="L628" t="s">
        <v>42</v>
      </c>
      <c r="M628" t="s">
        <v>44</v>
      </c>
      <c r="N628">
        <v>87.5</v>
      </c>
      <c r="O628">
        <v>12.5</v>
      </c>
      <c r="P628">
        <v>0</v>
      </c>
      <c r="Q628">
        <v>20</v>
      </c>
      <c r="R628" t="s">
        <v>132</v>
      </c>
      <c r="T628">
        <v>75</v>
      </c>
      <c r="U628">
        <v>174</v>
      </c>
      <c r="V628">
        <v>1000000</v>
      </c>
      <c r="W628" t="s">
        <v>46</v>
      </c>
      <c r="Z628">
        <v>75</v>
      </c>
      <c r="AA628">
        <v>98</v>
      </c>
      <c r="AB628">
        <v>63</v>
      </c>
      <c r="AC628">
        <v>98</v>
      </c>
      <c r="AD628">
        <v>63</v>
      </c>
      <c r="AE628">
        <v>101</v>
      </c>
      <c r="AF628">
        <v>498</v>
      </c>
      <c r="AG628">
        <v>0</v>
      </c>
      <c r="AH628">
        <v>0</v>
      </c>
      <c r="AI628">
        <v>0</v>
      </c>
      <c r="AJ628">
        <v>0</v>
      </c>
      <c r="AK628">
        <v>0</v>
      </c>
      <c r="AL628">
        <v>2</v>
      </c>
    </row>
    <row r="629" spans="1:38" x14ac:dyDescent="0.25">
      <c r="A629" t="s">
        <v>1527</v>
      </c>
      <c r="B629" t="s">
        <v>1527</v>
      </c>
      <c r="C629" s="1">
        <v>513</v>
      </c>
      <c r="D629" s="1" t="s">
        <v>1526</v>
      </c>
      <c r="E629">
        <v>5</v>
      </c>
      <c r="F629">
        <v>0.6</v>
      </c>
      <c r="G629">
        <v>11</v>
      </c>
      <c r="H629" t="s">
        <v>57</v>
      </c>
      <c r="J629" t="s">
        <v>136</v>
      </c>
      <c r="L629" t="s">
        <v>58</v>
      </c>
      <c r="M629" t="s">
        <v>60</v>
      </c>
      <c r="N629">
        <v>87.5</v>
      </c>
      <c r="O629">
        <v>12.5</v>
      </c>
      <c r="P629">
        <v>0</v>
      </c>
      <c r="Q629">
        <v>20</v>
      </c>
      <c r="R629" t="s">
        <v>132</v>
      </c>
      <c r="T629">
        <v>190</v>
      </c>
      <c r="U629">
        <v>63</v>
      </c>
      <c r="V629">
        <v>1000000</v>
      </c>
      <c r="W629" t="s">
        <v>46</v>
      </c>
      <c r="Z629">
        <v>50</v>
      </c>
      <c r="AA629">
        <v>53</v>
      </c>
      <c r="AB629">
        <v>48</v>
      </c>
      <c r="AC629">
        <v>53</v>
      </c>
      <c r="AD629">
        <v>48</v>
      </c>
      <c r="AE629">
        <v>64</v>
      </c>
      <c r="AF629">
        <v>316</v>
      </c>
      <c r="AG629">
        <v>0</v>
      </c>
      <c r="AH629">
        <v>0</v>
      </c>
      <c r="AI629">
        <v>0</v>
      </c>
      <c r="AJ629">
        <v>0</v>
      </c>
      <c r="AK629">
        <v>0</v>
      </c>
      <c r="AL629">
        <v>1</v>
      </c>
    </row>
    <row r="630" spans="1:38" x14ac:dyDescent="0.25">
      <c r="A630" t="s">
        <v>1529</v>
      </c>
      <c r="B630" t="s">
        <v>1529</v>
      </c>
      <c r="C630" s="1">
        <v>514</v>
      </c>
      <c r="D630" s="1" t="s">
        <v>1528</v>
      </c>
      <c r="E630">
        <v>5</v>
      </c>
      <c r="F630">
        <v>1</v>
      </c>
      <c r="G630">
        <v>28</v>
      </c>
      <c r="H630" t="s">
        <v>57</v>
      </c>
      <c r="J630" t="s">
        <v>136</v>
      </c>
      <c r="L630" t="s">
        <v>58</v>
      </c>
      <c r="M630" t="s">
        <v>60</v>
      </c>
      <c r="N630">
        <v>87.5</v>
      </c>
      <c r="O630">
        <v>12.5</v>
      </c>
      <c r="P630">
        <v>0</v>
      </c>
      <c r="Q630">
        <v>20</v>
      </c>
      <c r="R630" t="s">
        <v>132</v>
      </c>
      <c r="T630">
        <v>75</v>
      </c>
      <c r="U630">
        <v>174</v>
      </c>
      <c r="V630">
        <v>1000000</v>
      </c>
      <c r="W630" t="s">
        <v>46</v>
      </c>
      <c r="Z630">
        <v>75</v>
      </c>
      <c r="AA630">
        <v>98</v>
      </c>
      <c r="AB630">
        <v>63</v>
      </c>
      <c r="AC630">
        <v>98</v>
      </c>
      <c r="AD630">
        <v>63</v>
      </c>
      <c r="AE630">
        <v>101</v>
      </c>
      <c r="AF630">
        <v>498</v>
      </c>
      <c r="AG630">
        <v>0</v>
      </c>
      <c r="AH630">
        <v>0</v>
      </c>
      <c r="AI630">
        <v>0</v>
      </c>
      <c r="AJ630">
        <v>0</v>
      </c>
      <c r="AK630">
        <v>0</v>
      </c>
      <c r="AL630">
        <v>2</v>
      </c>
    </row>
    <row r="631" spans="1:38" x14ac:dyDescent="0.25">
      <c r="A631" t="s">
        <v>1531</v>
      </c>
      <c r="B631" t="s">
        <v>1531</v>
      </c>
      <c r="C631" s="1">
        <v>515</v>
      </c>
      <c r="D631" s="1" t="s">
        <v>1530</v>
      </c>
      <c r="E631">
        <v>5</v>
      </c>
      <c r="F631">
        <v>0.6</v>
      </c>
      <c r="G631">
        <v>13.5</v>
      </c>
      <c r="H631" t="s">
        <v>76</v>
      </c>
      <c r="J631" t="s">
        <v>136</v>
      </c>
      <c r="L631" t="s">
        <v>77</v>
      </c>
      <c r="M631" t="s">
        <v>79</v>
      </c>
      <c r="N631">
        <v>87.5</v>
      </c>
      <c r="O631">
        <v>12.5</v>
      </c>
      <c r="P631">
        <v>0</v>
      </c>
      <c r="Q631">
        <v>20</v>
      </c>
      <c r="R631" t="s">
        <v>132</v>
      </c>
      <c r="T631">
        <v>190</v>
      </c>
      <c r="U631">
        <v>63</v>
      </c>
      <c r="V631">
        <v>1000000</v>
      </c>
      <c r="W631" t="s">
        <v>46</v>
      </c>
      <c r="Z631">
        <v>50</v>
      </c>
      <c r="AA631">
        <v>53</v>
      </c>
      <c r="AB631">
        <v>48</v>
      </c>
      <c r="AC631">
        <v>53</v>
      </c>
      <c r="AD631">
        <v>48</v>
      </c>
      <c r="AE631">
        <v>64</v>
      </c>
      <c r="AF631">
        <v>316</v>
      </c>
      <c r="AG631">
        <v>0</v>
      </c>
      <c r="AH631">
        <v>0</v>
      </c>
      <c r="AI631">
        <v>0</v>
      </c>
      <c r="AJ631">
        <v>0</v>
      </c>
      <c r="AK631">
        <v>0</v>
      </c>
      <c r="AL631">
        <v>1</v>
      </c>
    </row>
    <row r="632" spans="1:38" x14ac:dyDescent="0.25">
      <c r="A632" t="s">
        <v>1533</v>
      </c>
      <c r="B632" t="s">
        <v>1533</v>
      </c>
      <c r="C632" s="1">
        <v>516</v>
      </c>
      <c r="D632" s="1" t="s">
        <v>1532</v>
      </c>
      <c r="E632">
        <v>5</v>
      </c>
      <c r="F632">
        <v>1</v>
      </c>
      <c r="G632">
        <v>29</v>
      </c>
      <c r="H632" t="s">
        <v>76</v>
      </c>
      <c r="J632" t="s">
        <v>136</v>
      </c>
      <c r="L632" t="s">
        <v>77</v>
      </c>
      <c r="M632" t="s">
        <v>79</v>
      </c>
      <c r="N632">
        <v>87.5</v>
      </c>
      <c r="O632">
        <v>12.5</v>
      </c>
      <c r="P632">
        <v>0</v>
      </c>
      <c r="Q632">
        <v>20</v>
      </c>
      <c r="R632" t="s">
        <v>132</v>
      </c>
      <c r="T632">
        <v>75</v>
      </c>
      <c r="U632">
        <v>174</v>
      </c>
      <c r="V632">
        <v>1000000</v>
      </c>
      <c r="W632" t="s">
        <v>46</v>
      </c>
      <c r="Z632">
        <v>75</v>
      </c>
      <c r="AA632">
        <v>98</v>
      </c>
      <c r="AB632">
        <v>63</v>
      </c>
      <c r="AC632">
        <v>98</v>
      </c>
      <c r="AD632">
        <v>63</v>
      </c>
      <c r="AE632">
        <v>101</v>
      </c>
      <c r="AF632">
        <v>498</v>
      </c>
      <c r="AG632">
        <v>0</v>
      </c>
      <c r="AH632">
        <v>0</v>
      </c>
      <c r="AI632">
        <v>0</v>
      </c>
      <c r="AJ632">
        <v>0</v>
      </c>
      <c r="AK632">
        <v>0</v>
      </c>
      <c r="AL632">
        <v>2</v>
      </c>
    </row>
    <row r="633" spans="1:38" x14ac:dyDescent="0.25">
      <c r="A633" t="s">
        <v>1535</v>
      </c>
      <c r="B633" t="s">
        <v>1535</v>
      </c>
      <c r="C633" s="1">
        <v>517</v>
      </c>
      <c r="D633" s="1" t="s">
        <v>1534</v>
      </c>
      <c r="E633">
        <v>5</v>
      </c>
      <c r="F633">
        <v>0.6</v>
      </c>
      <c r="G633">
        <v>23.3</v>
      </c>
      <c r="H633" t="s">
        <v>162</v>
      </c>
      <c r="J633" t="s">
        <v>435</v>
      </c>
      <c r="K633" t="s">
        <v>306</v>
      </c>
      <c r="L633" t="s">
        <v>738</v>
      </c>
      <c r="M633" t="s">
        <v>199</v>
      </c>
      <c r="N633">
        <v>50</v>
      </c>
      <c r="O633">
        <v>50</v>
      </c>
      <c r="P633">
        <v>0</v>
      </c>
      <c r="Q633">
        <v>10</v>
      </c>
      <c r="R633" t="s">
        <v>132</v>
      </c>
      <c r="T633">
        <v>190</v>
      </c>
      <c r="U633">
        <v>58</v>
      </c>
      <c r="V633">
        <v>800000</v>
      </c>
      <c r="W633" t="s">
        <v>46</v>
      </c>
      <c r="Z633">
        <v>76</v>
      </c>
      <c r="AA633">
        <v>25</v>
      </c>
      <c r="AB633">
        <v>45</v>
      </c>
      <c r="AC633">
        <v>67</v>
      </c>
      <c r="AD633">
        <v>55</v>
      </c>
      <c r="AE633">
        <v>24</v>
      </c>
      <c r="AF633">
        <v>292</v>
      </c>
      <c r="AG633">
        <v>1</v>
      </c>
      <c r="AH633">
        <v>0</v>
      </c>
      <c r="AI633">
        <v>0</v>
      </c>
      <c r="AJ633">
        <v>0</v>
      </c>
      <c r="AK633">
        <v>0</v>
      </c>
      <c r="AL633">
        <v>0</v>
      </c>
    </row>
    <row r="634" spans="1:38" x14ac:dyDescent="0.25">
      <c r="A634" t="s">
        <v>1537</v>
      </c>
      <c r="B634" t="s">
        <v>1537</v>
      </c>
      <c r="C634" s="1">
        <v>518</v>
      </c>
      <c r="D634" s="1" t="s">
        <v>1536</v>
      </c>
      <c r="E634">
        <v>5</v>
      </c>
      <c r="F634">
        <v>1.1000000000000001</v>
      </c>
      <c r="G634">
        <v>60.5</v>
      </c>
      <c r="H634" t="s">
        <v>162</v>
      </c>
      <c r="J634" t="s">
        <v>435</v>
      </c>
      <c r="K634" t="s">
        <v>306</v>
      </c>
      <c r="L634" t="s">
        <v>738</v>
      </c>
      <c r="M634" t="s">
        <v>199</v>
      </c>
      <c r="N634">
        <v>50</v>
      </c>
      <c r="O634">
        <v>50</v>
      </c>
      <c r="P634">
        <v>0</v>
      </c>
      <c r="Q634">
        <v>10</v>
      </c>
      <c r="R634" t="s">
        <v>132</v>
      </c>
      <c r="T634">
        <v>75</v>
      </c>
      <c r="U634">
        <v>170</v>
      </c>
      <c r="V634">
        <v>800000</v>
      </c>
      <c r="W634" t="s">
        <v>46</v>
      </c>
      <c r="Z634">
        <v>116</v>
      </c>
      <c r="AA634">
        <v>55</v>
      </c>
      <c r="AB634">
        <v>85</v>
      </c>
      <c r="AC634">
        <v>107</v>
      </c>
      <c r="AD634">
        <v>95</v>
      </c>
      <c r="AE634">
        <v>29</v>
      </c>
      <c r="AF634">
        <v>487</v>
      </c>
      <c r="AG634">
        <v>2</v>
      </c>
      <c r="AH634">
        <v>0</v>
      </c>
      <c r="AI634">
        <v>0</v>
      </c>
      <c r="AJ634">
        <v>0</v>
      </c>
      <c r="AK634">
        <v>0</v>
      </c>
      <c r="AL634">
        <v>0</v>
      </c>
    </row>
    <row r="635" spans="1:38" x14ac:dyDescent="0.25">
      <c r="A635" t="s">
        <v>1539</v>
      </c>
      <c r="B635" t="s">
        <v>1539</v>
      </c>
      <c r="C635" s="1">
        <v>519</v>
      </c>
      <c r="D635" s="1" t="s">
        <v>1538</v>
      </c>
      <c r="E635">
        <v>5</v>
      </c>
      <c r="F635">
        <v>0.3</v>
      </c>
      <c r="G635">
        <v>2.1</v>
      </c>
      <c r="H635" t="s">
        <v>116</v>
      </c>
      <c r="I635" t="s">
        <v>66</v>
      </c>
      <c r="J635" t="s">
        <v>119</v>
      </c>
      <c r="K635" t="s">
        <v>669</v>
      </c>
      <c r="L635" t="s">
        <v>181</v>
      </c>
      <c r="M635" t="s">
        <v>318</v>
      </c>
      <c r="N635">
        <v>50</v>
      </c>
      <c r="O635">
        <v>50</v>
      </c>
      <c r="P635">
        <v>0</v>
      </c>
      <c r="Q635">
        <v>15</v>
      </c>
      <c r="R635" t="s">
        <v>66</v>
      </c>
      <c r="T635">
        <v>255</v>
      </c>
      <c r="U635">
        <v>53</v>
      </c>
      <c r="V635">
        <v>1059860</v>
      </c>
      <c r="W635" t="s">
        <v>46</v>
      </c>
      <c r="Z635">
        <v>50</v>
      </c>
      <c r="AA635">
        <v>55</v>
      </c>
      <c r="AB635">
        <v>50</v>
      </c>
      <c r="AC635">
        <v>36</v>
      </c>
      <c r="AD635">
        <v>30</v>
      </c>
      <c r="AE635">
        <v>43</v>
      </c>
      <c r="AF635">
        <v>264</v>
      </c>
      <c r="AG635">
        <v>0</v>
      </c>
      <c r="AH635">
        <v>1</v>
      </c>
      <c r="AI635">
        <v>0</v>
      </c>
      <c r="AJ635">
        <v>0</v>
      </c>
      <c r="AK635">
        <v>0</v>
      </c>
      <c r="AL635">
        <v>0</v>
      </c>
    </row>
    <row r="636" spans="1:38" x14ac:dyDescent="0.25">
      <c r="A636" t="s">
        <v>1541</v>
      </c>
      <c r="B636" t="s">
        <v>1541</v>
      </c>
      <c r="C636" s="1">
        <v>520</v>
      </c>
      <c r="D636" s="1" t="s">
        <v>1540</v>
      </c>
      <c r="E636">
        <v>5</v>
      </c>
      <c r="F636">
        <v>0.6</v>
      </c>
      <c r="G636">
        <v>15</v>
      </c>
      <c r="H636" t="s">
        <v>116</v>
      </c>
      <c r="I636" t="s">
        <v>66</v>
      </c>
      <c r="J636" t="s">
        <v>119</v>
      </c>
      <c r="K636" t="s">
        <v>669</v>
      </c>
      <c r="L636" t="s">
        <v>181</v>
      </c>
      <c r="M636" t="s">
        <v>318</v>
      </c>
      <c r="N636">
        <v>50</v>
      </c>
      <c r="O636">
        <v>50</v>
      </c>
      <c r="P636">
        <v>0</v>
      </c>
      <c r="Q636">
        <v>15</v>
      </c>
      <c r="R636" t="s">
        <v>66</v>
      </c>
      <c r="T636">
        <v>120</v>
      </c>
      <c r="U636">
        <v>125</v>
      </c>
      <c r="V636">
        <v>1059860</v>
      </c>
      <c r="W636" t="s">
        <v>46</v>
      </c>
      <c r="Z636">
        <v>62</v>
      </c>
      <c r="AA636">
        <v>77</v>
      </c>
      <c r="AB636">
        <v>62</v>
      </c>
      <c r="AC636">
        <v>50</v>
      </c>
      <c r="AD636">
        <v>42</v>
      </c>
      <c r="AE636">
        <v>65</v>
      </c>
      <c r="AF636">
        <v>358</v>
      </c>
      <c r="AG636">
        <v>0</v>
      </c>
      <c r="AH636">
        <v>2</v>
      </c>
      <c r="AI636">
        <v>0</v>
      </c>
      <c r="AJ636">
        <v>0</v>
      </c>
      <c r="AK636">
        <v>0</v>
      </c>
      <c r="AL636">
        <v>0</v>
      </c>
    </row>
    <row r="637" spans="1:38" x14ac:dyDescent="0.25">
      <c r="A637" t="s">
        <v>1543</v>
      </c>
      <c r="B637" t="s">
        <v>1543</v>
      </c>
      <c r="C637" s="1">
        <v>521</v>
      </c>
      <c r="D637" s="1" t="s">
        <v>1542</v>
      </c>
      <c r="E637">
        <v>5</v>
      </c>
      <c r="F637">
        <v>1.2</v>
      </c>
      <c r="G637">
        <v>29</v>
      </c>
      <c r="H637" t="s">
        <v>116</v>
      </c>
      <c r="I637" t="s">
        <v>66</v>
      </c>
      <c r="J637" t="s">
        <v>119</v>
      </c>
      <c r="K637" t="s">
        <v>669</v>
      </c>
      <c r="L637" t="s">
        <v>181</v>
      </c>
      <c r="M637" t="s">
        <v>318</v>
      </c>
      <c r="N637">
        <v>50</v>
      </c>
      <c r="O637">
        <v>50</v>
      </c>
      <c r="P637">
        <v>0</v>
      </c>
      <c r="Q637">
        <v>15</v>
      </c>
      <c r="R637" t="s">
        <v>66</v>
      </c>
      <c r="T637">
        <v>45</v>
      </c>
      <c r="U637">
        <v>244</v>
      </c>
      <c r="V637">
        <v>1059860</v>
      </c>
      <c r="W637" t="s">
        <v>46</v>
      </c>
      <c r="Z637">
        <v>80</v>
      </c>
      <c r="AA637">
        <v>115</v>
      </c>
      <c r="AB637">
        <v>80</v>
      </c>
      <c r="AC637">
        <v>65</v>
      </c>
      <c r="AD637">
        <v>55</v>
      </c>
      <c r="AE637">
        <v>93</v>
      </c>
      <c r="AF637">
        <v>488</v>
      </c>
      <c r="AG637">
        <v>0</v>
      </c>
      <c r="AH637">
        <v>3</v>
      </c>
      <c r="AI637">
        <v>0</v>
      </c>
      <c r="AJ637">
        <v>0</v>
      </c>
      <c r="AK637">
        <v>0</v>
      </c>
      <c r="AL637">
        <v>0</v>
      </c>
    </row>
    <row r="638" spans="1:38" x14ac:dyDescent="0.25">
      <c r="A638" t="s">
        <v>1545</v>
      </c>
      <c r="B638" t="s">
        <v>1545</v>
      </c>
      <c r="C638" s="1">
        <v>522</v>
      </c>
      <c r="D638" s="1" t="s">
        <v>1544</v>
      </c>
      <c r="E638">
        <v>5</v>
      </c>
      <c r="F638">
        <v>0.8</v>
      </c>
      <c r="G638">
        <v>29.8</v>
      </c>
      <c r="H638" t="s">
        <v>154</v>
      </c>
      <c r="J638" t="s">
        <v>156</v>
      </c>
      <c r="K638" t="s">
        <v>1405</v>
      </c>
      <c r="L638" t="s">
        <v>691</v>
      </c>
      <c r="M638" t="s">
        <v>70</v>
      </c>
      <c r="N638">
        <v>50</v>
      </c>
      <c r="O638">
        <v>50</v>
      </c>
      <c r="P638">
        <v>0</v>
      </c>
      <c r="Q638">
        <v>20</v>
      </c>
      <c r="R638" t="s">
        <v>132</v>
      </c>
      <c r="T638">
        <v>190</v>
      </c>
      <c r="U638">
        <v>59</v>
      </c>
      <c r="V638">
        <v>1000000</v>
      </c>
      <c r="W638" t="s">
        <v>46</v>
      </c>
      <c r="Z638">
        <v>45</v>
      </c>
      <c r="AA638">
        <v>60</v>
      </c>
      <c r="AB638">
        <v>32</v>
      </c>
      <c r="AC638">
        <v>50</v>
      </c>
      <c r="AD638">
        <v>32</v>
      </c>
      <c r="AE638">
        <v>76</v>
      </c>
      <c r="AF638">
        <v>295</v>
      </c>
      <c r="AG638">
        <v>0</v>
      </c>
      <c r="AH638">
        <v>0</v>
      </c>
      <c r="AI638">
        <v>0</v>
      </c>
      <c r="AJ638">
        <v>0</v>
      </c>
      <c r="AK638">
        <v>0</v>
      </c>
      <c r="AL638">
        <v>1</v>
      </c>
    </row>
    <row r="639" spans="1:38" x14ac:dyDescent="0.25">
      <c r="A639" t="s">
        <v>1547</v>
      </c>
      <c r="B639" t="s">
        <v>1547</v>
      </c>
      <c r="C639" s="1">
        <v>523</v>
      </c>
      <c r="D639" s="1" t="s">
        <v>1546</v>
      </c>
      <c r="E639">
        <v>5</v>
      </c>
      <c r="F639">
        <v>1.6</v>
      </c>
      <c r="G639">
        <v>79.5</v>
      </c>
      <c r="H639" t="s">
        <v>154</v>
      </c>
      <c r="J639" t="s">
        <v>156</v>
      </c>
      <c r="K639" t="s">
        <v>1405</v>
      </c>
      <c r="L639" t="s">
        <v>691</v>
      </c>
      <c r="M639" t="s">
        <v>70</v>
      </c>
      <c r="N639">
        <v>50</v>
      </c>
      <c r="O639">
        <v>50</v>
      </c>
      <c r="P639">
        <v>0</v>
      </c>
      <c r="Q639">
        <v>20</v>
      </c>
      <c r="R639" t="s">
        <v>132</v>
      </c>
      <c r="T639">
        <v>75</v>
      </c>
      <c r="U639">
        <v>174</v>
      </c>
      <c r="V639">
        <v>1000000</v>
      </c>
      <c r="W639" t="s">
        <v>46</v>
      </c>
      <c r="Z639">
        <v>75</v>
      </c>
      <c r="AA639">
        <v>100</v>
      </c>
      <c r="AB639">
        <v>63</v>
      </c>
      <c r="AC639">
        <v>80</v>
      </c>
      <c r="AD639">
        <v>63</v>
      </c>
      <c r="AE639">
        <v>116</v>
      </c>
      <c r="AF639">
        <v>497</v>
      </c>
      <c r="AG639">
        <v>0</v>
      </c>
      <c r="AH639">
        <v>0</v>
      </c>
      <c r="AI639">
        <v>0</v>
      </c>
      <c r="AJ639">
        <v>0</v>
      </c>
      <c r="AK639">
        <v>0</v>
      </c>
      <c r="AL639">
        <v>2</v>
      </c>
    </row>
    <row r="640" spans="1:38" x14ac:dyDescent="0.25">
      <c r="A640" t="s">
        <v>1549</v>
      </c>
      <c r="B640" t="s">
        <v>1549</v>
      </c>
      <c r="C640" s="1">
        <v>524</v>
      </c>
      <c r="D640" s="1" t="s">
        <v>1548</v>
      </c>
      <c r="E640">
        <v>5</v>
      </c>
      <c r="F640">
        <v>0.4</v>
      </c>
      <c r="G640">
        <v>18</v>
      </c>
      <c r="H640" t="s">
        <v>290</v>
      </c>
      <c r="J640" t="s">
        <v>338</v>
      </c>
      <c r="K640" t="s">
        <v>431</v>
      </c>
      <c r="L640" t="s">
        <v>247</v>
      </c>
      <c r="M640" t="s">
        <v>79</v>
      </c>
      <c r="N640">
        <v>50</v>
      </c>
      <c r="O640">
        <v>50</v>
      </c>
      <c r="P640">
        <v>0</v>
      </c>
      <c r="Q640">
        <v>15</v>
      </c>
      <c r="R640" t="s">
        <v>339</v>
      </c>
      <c r="T640">
        <v>255</v>
      </c>
      <c r="U640">
        <v>56</v>
      </c>
      <c r="V640">
        <v>1059860</v>
      </c>
      <c r="W640" t="s">
        <v>46</v>
      </c>
      <c r="Z640">
        <v>55</v>
      </c>
      <c r="AA640">
        <v>75</v>
      </c>
      <c r="AB640">
        <v>85</v>
      </c>
      <c r="AC640">
        <v>25</v>
      </c>
      <c r="AD640">
        <v>25</v>
      </c>
      <c r="AE640">
        <v>15</v>
      </c>
      <c r="AF640">
        <v>280</v>
      </c>
      <c r="AG640">
        <v>0</v>
      </c>
      <c r="AH640">
        <v>0</v>
      </c>
      <c r="AI640">
        <v>1</v>
      </c>
      <c r="AJ640">
        <v>0</v>
      </c>
      <c r="AK640">
        <v>0</v>
      </c>
      <c r="AL640">
        <v>0</v>
      </c>
    </row>
    <row r="641" spans="1:38" x14ac:dyDescent="0.25">
      <c r="A641" t="s">
        <v>1551</v>
      </c>
      <c r="B641" t="s">
        <v>1551</v>
      </c>
      <c r="C641" s="1">
        <v>525</v>
      </c>
      <c r="D641" s="1" t="s">
        <v>1550</v>
      </c>
      <c r="E641">
        <v>5</v>
      </c>
      <c r="F641">
        <v>0.9</v>
      </c>
      <c r="G641">
        <v>102</v>
      </c>
      <c r="H641" t="s">
        <v>290</v>
      </c>
      <c r="J641" t="s">
        <v>338</v>
      </c>
      <c r="K641" t="s">
        <v>431</v>
      </c>
      <c r="L641" t="s">
        <v>247</v>
      </c>
      <c r="M641" t="s">
        <v>79</v>
      </c>
      <c r="N641">
        <v>50</v>
      </c>
      <c r="O641">
        <v>50</v>
      </c>
      <c r="P641">
        <v>0</v>
      </c>
      <c r="Q641">
        <v>15</v>
      </c>
      <c r="R641" t="s">
        <v>339</v>
      </c>
      <c r="T641">
        <v>120</v>
      </c>
      <c r="U641">
        <v>137</v>
      </c>
      <c r="V641">
        <v>1059860</v>
      </c>
      <c r="W641" t="s">
        <v>46</v>
      </c>
      <c r="Z641">
        <v>70</v>
      </c>
      <c r="AA641">
        <v>105</v>
      </c>
      <c r="AB641">
        <v>105</v>
      </c>
      <c r="AC641">
        <v>50</v>
      </c>
      <c r="AD641">
        <v>40</v>
      </c>
      <c r="AE641">
        <v>20</v>
      </c>
      <c r="AF641">
        <v>390</v>
      </c>
      <c r="AG641">
        <v>0</v>
      </c>
      <c r="AH641">
        <v>1</v>
      </c>
      <c r="AI641">
        <v>1</v>
      </c>
      <c r="AJ641">
        <v>0</v>
      </c>
      <c r="AK641">
        <v>0</v>
      </c>
      <c r="AL641">
        <v>0</v>
      </c>
    </row>
    <row r="642" spans="1:38" x14ac:dyDescent="0.25">
      <c r="A642" t="s">
        <v>1553</v>
      </c>
      <c r="B642" t="s">
        <v>1553</v>
      </c>
      <c r="C642" s="1">
        <v>526</v>
      </c>
      <c r="D642" s="1" t="s">
        <v>1552</v>
      </c>
      <c r="E642">
        <v>5</v>
      </c>
      <c r="F642">
        <v>1.7</v>
      </c>
      <c r="G642">
        <v>260</v>
      </c>
      <c r="H642" t="s">
        <v>290</v>
      </c>
      <c r="J642" t="s">
        <v>338</v>
      </c>
      <c r="K642" t="s">
        <v>852</v>
      </c>
      <c r="L642" t="s">
        <v>247</v>
      </c>
      <c r="M642" t="s">
        <v>79</v>
      </c>
      <c r="N642">
        <v>50</v>
      </c>
      <c r="O642">
        <v>50</v>
      </c>
      <c r="P642">
        <v>0</v>
      </c>
      <c r="Q642">
        <v>15</v>
      </c>
      <c r="R642" t="s">
        <v>339</v>
      </c>
      <c r="T642">
        <v>45</v>
      </c>
      <c r="U642">
        <v>258</v>
      </c>
      <c r="V642">
        <v>1059860</v>
      </c>
      <c r="W642" t="s">
        <v>46</v>
      </c>
      <c r="Z642">
        <v>85</v>
      </c>
      <c r="AA642">
        <v>135</v>
      </c>
      <c r="AB642">
        <v>130</v>
      </c>
      <c r="AC642">
        <v>60</v>
      </c>
      <c r="AD642">
        <v>80</v>
      </c>
      <c r="AE642">
        <v>25</v>
      </c>
      <c r="AF642">
        <v>515</v>
      </c>
      <c r="AG642">
        <v>0</v>
      </c>
      <c r="AH642">
        <v>3</v>
      </c>
      <c r="AI642">
        <v>0</v>
      </c>
      <c r="AJ642">
        <v>0</v>
      </c>
      <c r="AK642">
        <v>0</v>
      </c>
      <c r="AL642">
        <v>0</v>
      </c>
    </row>
    <row r="643" spans="1:38" x14ac:dyDescent="0.25">
      <c r="A643" t="s">
        <v>1555</v>
      </c>
      <c r="B643" t="s">
        <v>1555</v>
      </c>
      <c r="C643" s="1">
        <v>527</v>
      </c>
      <c r="D643" s="1" t="s">
        <v>1554</v>
      </c>
      <c r="E643">
        <v>5</v>
      </c>
      <c r="F643">
        <v>0.4</v>
      </c>
      <c r="G643">
        <v>2.1</v>
      </c>
      <c r="H643" t="s">
        <v>162</v>
      </c>
      <c r="I643" t="s">
        <v>66</v>
      </c>
      <c r="J643" t="s">
        <v>202</v>
      </c>
      <c r="K643" t="s">
        <v>1317</v>
      </c>
      <c r="L643" t="s">
        <v>1038</v>
      </c>
      <c r="M643" t="s">
        <v>79</v>
      </c>
      <c r="N643">
        <v>50</v>
      </c>
      <c r="O643">
        <v>50</v>
      </c>
      <c r="P643">
        <v>0</v>
      </c>
      <c r="Q643">
        <v>15</v>
      </c>
      <c r="R643" t="s">
        <v>132</v>
      </c>
      <c r="S643" t="s">
        <v>66</v>
      </c>
      <c r="T643">
        <v>190</v>
      </c>
      <c r="U643">
        <v>65</v>
      </c>
      <c r="V643">
        <v>1000000</v>
      </c>
      <c r="W643" t="s">
        <v>46</v>
      </c>
      <c r="Z643">
        <v>65</v>
      </c>
      <c r="AA643">
        <v>45</v>
      </c>
      <c r="AB643">
        <v>43</v>
      </c>
      <c r="AC643">
        <v>55</v>
      </c>
      <c r="AD643">
        <v>43</v>
      </c>
      <c r="AE643">
        <v>72</v>
      </c>
      <c r="AF643">
        <v>323</v>
      </c>
      <c r="AG643">
        <v>0</v>
      </c>
      <c r="AH643">
        <v>0</v>
      </c>
      <c r="AI643">
        <v>0</v>
      </c>
      <c r="AJ643">
        <v>0</v>
      </c>
      <c r="AK643">
        <v>0</v>
      </c>
      <c r="AL643">
        <v>1</v>
      </c>
    </row>
    <row r="644" spans="1:38" x14ac:dyDescent="0.25">
      <c r="A644" t="s">
        <v>1557</v>
      </c>
      <c r="B644" t="s">
        <v>1557</v>
      </c>
      <c r="C644" s="1">
        <v>528</v>
      </c>
      <c r="D644" s="1" t="s">
        <v>1556</v>
      </c>
      <c r="E644">
        <v>5</v>
      </c>
      <c r="F644">
        <v>0.9</v>
      </c>
      <c r="G644">
        <v>10.5</v>
      </c>
      <c r="H644" t="s">
        <v>162</v>
      </c>
      <c r="I644" t="s">
        <v>66</v>
      </c>
      <c r="J644" t="s">
        <v>202</v>
      </c>
      <c r="K644" t="s">
        <v>1317</v>
      </c>
      <c r="L644" t="s">
        <v>1038</v>
      </c>
      <c r="M644" t="s">
        <v>79</v>
      </c>
      <c r="N644">
        <v>50</v>
      </c>
      <c r="O644">
        <v>50</v>
      </c>
      <c r="P644">
        <v>0</v>
      </c>
      <c r="Q644">
        <v>15</v>
      </c>
      <c r="R644" t="s">
        <v>132</v>
      </c>
      <c r="S644" t="s">
        <v>66</v>
      </c>
      <c r="T644">
        <v>45</v>
      </c>
      <c r="U644">
        <v>149</v>
      </c>
      <c r="V644">
        <v>1000000</v>
      </c>
      <c r="W644" t="s">
        <v>46</v>
      </c>
      <c r="Z644">
        <v>67</v>
      </c>
      <c r="AA644">
        <v>57</v>
      </c>
      <c r="AB644">
        <v>55</v>
      </c>
      <c r="AC644">
        <v>77</v>
      </c>
      <c r="AD644">
        <v>55</v>
      </c>
      <c r="AE644">
        <v>114</v>
      </c>
      <c r="AF644">
        <v>425</v>
      </c>
      <c r="AG644">
        <v>0</v>
      </c>
      <c r="AH644">
        <v>0</v>
      </c>
      <c r="AI644">
        <v>0</v>
      </c>
      <c r="AJ644">
        <v>0</v>
      </c>
      <c r="AK644">
        <v>0</v>
      </c>
      <c r="AL644">
        <v>2</v>
      </c>
    </row>
    <row r="645" spans="1:38" x14ac:dyDescent="0.25">
      <c r="A645" t="s">
        <v>1559</v>
      </c>
      <c r="B645" t="s">
        <v>1559</v>
      </c>
      <c r="C645" s="1">
        <v>529</v>
      </c>
      <c r="D645" s="1" t="s">
        <v>1558</v>
      </c>
      <c r="E645">
        <v>5</v>
      </c>
      <c r="F645">
        <v>0.3</v>
      </c>
      <c r="G645">
        <v>8.5</v>
      </c>
      <c r="H645" t="s">
        <v>132</v>
      </c>
      <c r="J645" t="s">
        <v>167</v>
      </c>
      <c r="K645" t="s">
        <v>247</v>
      </c>
      <c r="L645" t="s">
        <v>532</v>
      </c>
      <c r="M645" t="s">
        <v>318</v>
      </c>
      <c r="N645">
        <v>50</v>
      </c>
      <c r="O645">
        <v>50</v>
      </c>
      <c r="P645">
        <v>0</v>
      </c>
      <c r="Q645">
        <v>20</v>
      </c>
      <c r="R645" t="s">
        <v>132</v>
      </c>
      <c r="T645">
        <v>120</v>
      </c>
      <c r="U645">
        <v>66</v>
      </c>
      <c r="V645">
        <v>1000000</v>
      </c>
      <c r="W645" t="s">
        <v>46</v>
      </c>
      <c r="Z645">
        <v>60</v>
      </c>
      <c r="AA645">
        <v>85</v>
      </c>
      <c r="AB645">
        <v>40</v>
      </c>
      <c r="AC645">
        <v>30</v>
      </c>
      <c r="AD645">
        <v>45</v>
      </c>
      <c r="AE645">
        <v>68</v>
      </c>
      <c r="AF645">
        <v>328</v>
      </c>
      <c r="AG645">
        <v>0</v>
      </c>
      <c r="AH645">
        <v>1</v>
      </c>
      <c r="AI645">
        <v>0</v>
      </c>
      <c r="AJ645">
        <v>0</v>
      </c>
      <c r="AK645">
        <v>0</v>
      </c>
      <c r="AL645">
        <v>0</v>
      </c>
    </row>
    <row r="646" spans="1:38" x14ac:dyDescent="0.25">
      <c r="A646" t="s">
        <v>1561</v>
      </c>
      <c r="B646" t="s">
        <v>1561</v>
      </c>
      <c r="C646" s="1">
        <v>530</v>
      </c>
      <c r="D646" s="1" t="s">
        <v>1560</v>
      </c>
      <c r="E646">
        <v>5</v>
      </c>
      <c r="F646">
        <v>0.7</v>
      </c>
      <c r="G646">
        <v>40.4</v>
      </c>
      <c r="H646" t="s">
        <v>132</v>
      </c>
      <c r="I646" t="s">
        <v>171</v>
      </c>
      <c r="J646" t="s">
        <v>167</v>
      </c>
      <c r="K646" t="s">
        <v>247</v>
      </c>
      <c r="L646" t="s">
        <v>532</v>
      </c>
      <c r="M646" t="s">
        <v>318</v>
      </c>
      <c r="N646">
        <v>50</v>
      </c>
      <c r="O646">
        <v>50</v>
      </c>
      <c r="P646">
        <v>0</v>
      </c>
      <c r="Q646">
        <v>20</v>
      </c>
      <c r="R646" t="s">
        <v>132</v>
      </c>
      <c r="T646">
        <v>60</v>
      </c>
      <c r="U646">
        <v>178</v>
      </c>
      <c r="V646">
        <v>1000000</v>
      </c>
      <c r="W646" t="s">
        <v>46</v>
      </c>
      <c r="Z646">
        <v>110</v>
      </c>
      <c r="AA646">
        <v>135</v>
      </c>
      <c r="AB646">
        <v>60</v>
      </c>
      <c r="AC646">
        <v>50</v>
      </c>
      <c r="AD646">
        <v>65</v>
      </c>
      <c r="AE646">
        <v>88</v>
      </c>
      <c r="AF646">
        <v>508</v>
      </c>
      <c r="AG646">
        <v>0</v>
      </c>
      <c r="AH646">
        <v>2</v>
      </c>
      <c r="AI646">
        <v>0</v>
      </c>
      <c r="AJ646">
        <v>0</v>
      </c>
      <c r="AK646">
        <v>0</v>
      </c>
      <c r="AL646">
        <v>0</v>
      </c>
    </row>
    <row r="647" spans="1:38" x14ac:dyDescent="0.25">
      <c r="A647" t="s">
        <v>1563</v>
      </c>
      <c r="B647" t="s">
        <v>1563</v>
      </c>
      <c r="C647" s="1">
        <v>531</v>
      </c>
      <c r="D647" s="1" t="s">
        <v>1562</v>
      </c>
      <c r="E647">
        <v>5</v>
      </c>
      <c r="F647">
        <v>1.1000000000000001</v>
      </c>
      <c r="G647">
        <v>31</v>
      </c>
      <c r="H647" t="s">
        <v>116</v>
      </c>
      <c r="J647" t="s">
        <v>492</v>
      </c>
      <c r="K647" t="s">
        <v>367</v>
      </c>
      <c r="L647" t="s">
        <v>1317</v>
      </c>
      <c r="M647" t="s">
        <v>199</v>
      </c>
      <c r="N647">
        <v>50</v>
      </c>
      <c r="O647">
        <v>50</v>
      </c>
      <c r="P647">
        <v>0</v>
      </c>
      <c r="Q647">
        <v>20</v>
      </c>
      <c r="R647" t="s">
        <v>157</v>
      </c>
      <c r="T647">
        <v>255</v>
      </c>
      <c r="U647">
        <v>390</v>
      </c>
      <c r="V647">
        <v>800000</v>
      </c>
      <c r="W647" t="s">
        <v>46</v>
      </c>
      <c r="Z647">
        <v>103</v>
      </c>
      <c r="AA647">
        <v>60</v>
      </c>
      <c r="AB647">
        <v>86</v>
      </c>
      <c r="AC647">
        <v>60</v>
      </c>
      <c r="AD647">
        <v>86</v>
      </c>
      <c r="AE647">
        <v>50</v>
      </c>
      <c r="AF647">
        <v>445</v>
      </c>
      <c r="AG647">
        <v>2</v>
      </c>
      <c r="AH647">
        <v>0</v>
      </c>
      <c r="AI647">
        <v>0</v>
      </c>
      <c r="AJ647">
        <v>0</v>
      </c>
      <c r="AK647">
        <v>0</v>
      </c>
      <c r="AL647">
        <v>0</v>
      </c>
    </row>
    <row r="648" spans="1:38" x14ac:dyDescent="0.25">
      <c r="A648" t="s">
        <v>1563</v>
      </c>
      <c r="B648" t="s">
        <v>1565</v>
      </c>
      <c r="C648" s="1">
        <v>531</v>
      </c>
      <c r="D648" s="1" t="s">
        <v>1564</v>
      </c>
      <c r="E648">
        <v>5</v>
      </c>
      <c r="F648">
        <v>1.5</v>
      </c>
      <c r="G648">
        <v>32</v>
      </c>
      <c r="H648" t="s">
        <v>116</v>
      </c>
      <c r="I648" t="s">
        <v>157</v>
      </c>
      <c r="J648" t="s">
        <v>492</v>
      </c>
      <c r="M648" t="s">
        <v>100</v>
      </c>
      <c r="N648">
        <v>50</v>
      </c>
      <c r="O648">
        <v>50</v>
      </c>
      <c r="P648">
        <v>0</v>
      </c>
      <c r="Q648">
        <v>20</v>
      </c>
      <c r="R648" t="s">
        <v>157</v>
      </c>
      <c r="T648">
        <v>255</v>
      </c>
      <c r="U648">
        <v>425</v>
      </c>
      <c r="V648">
        <v>800000</v>
      </c>
      <c r="W648" t="s">
        <v>46</v>
      </c>
      <c r="X648" t="s">
        <v>54</v>
      </c>
      <c r="Z648">
        <v>103</v>
      </c>
      <c r="AA648">
        <v>60</v>
      </c>
      <c r="AB648">
        <v>126</v>
      </c>
      <c r="AC648">
        <v>80</v>
      </c>
      <c r="AD648">
        <v>126</v>
      </c>
      <c r="AE648">
        <v>50</v>
      </c>
      <c r="AF648">
        <v>545</v>
      </c>
      <c r="AG648">
        <v>2</v>
      </c>
      <c r="AH648">
        <v>0</v>
      </c>
      <c r="AI648">
        <v>0</v>
      </c>
      <c r="AJ648">
        <v>0</v>
      </c>
      <c r="AK648">
        <v>0</v>
      </c>
      <c r="AL648">
        <v>0</v>
      </c>
    </row>
    <row r="649" spans="1:38" x14ac:dyDescent="0.25">
      <c r="A649" t="s">
        <v>1567</v>
      </c>
      <c r="B649" t="s">
        <v>1567</v>
      </c>
      <c r="C649" s="1">
        <v>532</v>
      </c>
      <c r="D649" s="1" t="s">
        <v>1566</v>
      </c>
      <c r="E649">
        <v>5</v>
      </c>
      <c r="F649">
        <v>0.6</v>
      </c>
      <c r="G649">
        <v>12.5</v>
      </c>
      <c r="H649" t="s">
        <v>279</v>
      </c>
      <c r="J649" t="s">
        <v>129</v>
      </c>
      <c r="K649" t="s">
        <v>187</v>
      </c>
      <c r="L649" t="s">
        <v>473</v>
      </c>
      <c r="M649" t="s">
        <v>318</v>
      </c>
      <c r="N649">
        <v>75</v>
      </c>
      <c r="O649">
        <v>25</v>
      </c>
      <c r="P649">
        <v>0</v>
      </c>
      <c r="Q649">
        <v>20</v>
      </c>
      <c r="R649" t="s">
        <v>307</v>
      </c>
      <c r="T649">
        <v>180</v>
      </c>
      <c r="U649">
        <v>61</v>
      </c>
      <c r="V649">
        <v>1059860</v>
      </c>
      <c r="W649" t="s">
        <v>46</v>
      </c>
      <c r="Z649">
        <v>75</v>
      </c>
      <c r="AA649">
        <v>80</v>
      </c>
      <c r="AB649">
        <v>55</v>
      </c>
      <c r="AC649">
        <v>25</v>
      </c>
      <c r="AD649">
        <v>35</v>
      </c>
      <c r="AE649">
        <v>35</v>
      </c>
      <c r="AF649">
        <v>305</v>
      </c>
      <c r="AG649">
        <v>0</v>
      </c>
      <c r="AH649">
        <v>1</v>
      </c>
      <c r="AI649">
        <v>0</v>
      </c>
      <c r="AJ649">
        <v>0</v>
      </c>
      <c r="AK649">
        <v>0</v>
      </c>
      <c r="AL649">
        <v>0</v>
      </c>
    </row>
    <row r="650" spans="1:38" x14ac:dyDescent="0.25">
      <c r="A650" t="s">
        <v>1569</v>
      </c>
      <c r="B650" t="s">
        <v>1569</v>
      </c>
      <c r="C650" s="1">
        <v>533</v>
      </c>
      <c r="D650" s="1" t="s">
        <v>1568</v>
      </c>
      <c r="E650">
        <v>5</v>
      </c>
      <c r="F650">
        <v>1.2</v>
      </c>
      <c r="G650">
        <v>40</v>
      </c>
      <c r="H650" t="s">
        <v>279</v>
      </c>
      <c r="J650" t="s">
        <v>129</v>
      </c>
      <c r="K650" t="s">
        <v>187</v>
      </c>
      <c r="L650" t="s">
        <v>473</v>
      </c>
      <c r="M650" t="s">
        <v>318</v>
      </c>
      <c r="N650">
        <v>75</v>
      </c>
      <c r="O650">
        <v>25</v>
      </c>
      <c r="P650">
        <v>0</v>
      </c>
      <c r="Q650">
        <v>20</v>
      </c>
      <c r="R650" t="s">
        <v>307</v>
      </c>
      <c r="T650">
        <v>90</v>
      </c>
      <c r="U650">
        <v>142</v>
      </c>
      <c r="V650">
        <v>1059860</v>
      </c>
      <c r="W650" t="s">
        <v>46</v>
      </c>
      <c r="Z650">
        <v>85</v>
      </c>
      <c r="AA650">
        <v>105</v>
      </c>
      <c r="AB650">
        <v>85</v>
      </c>
      <c r="AC650">
        <v>40</v>
      </c>
      <c r="AD650">
        <v>50</v>
      </c>
      <c r="AE650">
        <v>40</v>
      </c>
      <c r="AF650">
        <v>405</v>
      </c>
      <c r="AG650">
        <v>0</v>
      </c>
      <c r="AH650">
        <v>2</v>
      </c>
      <c r="AI650">
        <v>0</v>
      </c>
      <c r="AJ650">
        <v>0</v>
      </c>
      <c r="AK650">
        <v>0</v>
      </c>
      <c r="AL650">
        <v>0</v>
      </c>
    </row>
    <row r="651" spans="1:38" x14ac:dyDescent="0.25">
      <c r="A651" t="s">
        <v>1571</v>
      </c>
      <c r="B651" t="s">
        <v>1571</v>
      </c>
      <c r="C651" s="1">
        <v>534</v>
      </c>
      <c r="D651" s="1" t="s">
        <v>1570</v>
      </c>
      <c r="E651">
        <v>5</v>
      </c>
      <c r="F651">
        <v>1.4</v>
      </c>
      <c r="G651">
        <v>87</v>
      </c>
      <c r="H651" t="s">
        <v>279</v>
      </c>
      <c r="J651" t="s">
        <v>129</v>
      </c>
      <c r="K651" t="s">
        <v>187</v>
      </c>
      <c r="L651" t="s">
        <v>473</v>
      </c>
      <c r="M651" t="s">
        <v>103</v>
      </c>
      <c r="N651">
        <v>75</v>
      </c>
      <c r="O651">
        <v>25</v>
      </c>
      <c r="P651">
        <v>0</v>
      </c>
      <c r="Q651">
        <v>20</v>
      </c>
      <c r="R651" t="s">
        <v>307</v>
      </c>
      <c r="T651">
        <v>45</v>
      </c>
      <c r="U651">
        <v>253</v>
      </c>
      <c r="V651">
        <v>1059860</v>
      </c>
      <c r="W651" t="s">
        <v>46</v>
      </c>
      <c r="Z651">
        <v>105</v>
      </c>
      <c r="AA651">
        <v>140</v>
      </c>
      <c r="AB651">
        <v>95</v>
      </c>
      <c r="AC651">
        <v>55</v>
      </c>
      <c r="AD651">
        <v>65</v>
      </c>
      <c r="AE651">
        <v>45</v>
      </c>
      <c r="AF651">
        <v>505</v>
      </c>
      <c r="AG651">
        <v>0</v>
      </c>
      <c r="AH651">
        <v>3</v>
      </c>
      <c r="AI651">
        <v>0</v>
      </c>
      <c r="AJ651">
        <v>0</v>
      </c>
      <c r="AK651">
        <v>0</v>
      </c>
      <c r="AL651">
        <v>0</v>
      </c>
    </row>
    <row r="652" spans="1:38" x14ac:dyDescent="0.25">
      <c r="A652" t="s">
        <v>1573</v>
      </c>
      <c r="B652" t="s">
        <v>1573</v>
      </c>
      <c r="C652" s="1">
        <v>535</v>
      </c>
      <c r="D652" s="1" t="s">
        <v>1572</v>
      </c>
      <c r="E652">
        <v>5</v>
      </c>
      <c r="F652">
        <v>0.5</v>
      </c>
      <c r="G652">
        <v>4.5</v>
      </c>
      <c r="H652" t="s">
        <v>76</v>
      </c>
      <c r="J652" t="s">
        <v>274</v>
      </c>
      <c r="K652" t="s">
        <v>395</v>
      </c>
      <c r="L652" t="s">
        <v>299</v>
      </c>
      <c r="M652" t="s">
        <v>79</v>
      </c>
      <c r="N652">
        <v>50</v>
      </c>
      <c r="O652">
        <v>50</v>
      </c>
      <c r="P652">
        <v>0</v>
      </c>
      <c r="Q652">
        <v>20</v>
      </c>
      <c r="R652" t="s">
        <v>80</v>
      </c>
      <c r="T652">
        <v>255</v>
      </c>
      <c r="U652">
        <v>59</v>
      </c>
      <c r="V652">
        <v>1059860</v>
      </c>
      <c r="W652" t="s">
        <v>46</v>
      </c>
      <c r="Z652">
        <v>50</v>
      </c>
      <c r="AA652">
        <v>50</v>
      </c>
      <c r="AB652">
        <v>40</v>
      </c>
      <c r="AC652">
        <v>50</v>
      </c>
      <c r="AD652">
        <v>40</v>
      </c>
      <c r="AE652">
        <v>64</v>
      </c>
      <c r="AF652">
        <v>294</v>
      </c>
      <c r="AG652">
        <v>0</v>
      </c>
      <c r="AH652">
        <v>0</v>
      </c>
      <c r="AI652">
        <v>0</v>
      </c>
      <c r="AJ652">
        <v>0</v>
      </c>
      <c r="AK652">
        <v>0</v>
      </c>
      <c r="AL652">
        <v>1</v>
      </c>
    </row>
    <row r="653" spans="1:38" x14ac:dyDescent="0.25">
      <c r="A653" t="s">
        <v>1575</v>
      </c>
      <c r="B653" t="s">
        <v>1575</v>
      </c>
      <c r="C653" s="1">
        <v>536</v>
      </c>
      <c r="D653" s="1" t="s">
        <v>1574</v>
      </c>
      <c r="E653">
        <v>5</v>
      </c>
      <c r="F653">
        <v>0.8</v>
      </c>
      <c r="G653">
        <v>17</v>
      </c>
      <c r="H653" t="s">
        <v>76</v>
      </c>
      <c r="I653" t="s">
        <v>132</v>
      </c>
      <c r="J653" t="s">
        <v>274</v>
      </c>
      <c r="K653" t="s">
        <v>395</v>
      </c>
      <c r="L653" t="s">
        <v>299</v>
      </c>
      <c r="M653" t="s">
        <v>79</v>
      </c>
      <c r="N653">
        <v>50</v>
      </c>
      <c r="O653">
        <v>50</v>
      </c>
      <c r="P653">
        <v>0</v>
      </c>
      <c r="Q653">
        <v>20</v>
      </c>
      <c r="R653" t="s">
        <v>80</v>
      </c>
      <c r="T653">
        <v>120</v>
      </c>
      <c r="U653">
        <v>134</v>
      </c>
      <c r="V653">
        <v>1059860</v>
      </c>
      <c r="W653" t="s">
        <v>46</v>
      </c>
      <c r="Z653">
        <v>75</v>
      </c>
      <c r="AA653">
        <v>65</v>
      </c>
      <c r="AB653">
        <v>55</v>
      </c>
      <c r="AC653">
        <v>65</v>
      </c>
      <c r="AD653">
        <v>55</v>
      </c>
      <c r="AE653">
        <v>69</v>
      </c>
      <c r="AF653">
        <v>384</v>
      </c>
      <c r="AG653">
        <v>2</v>
      </c>
      <c r="AH653">
        <v>0</v>
      </c>
      <c r="AI653">
        <v>0</v>
      </c>
      <c r="AJ653">
        <v>0</v>
      </c>
      <c r="AK653">
        <v>0</v>
      </c>
      <c r="AL653">
        <v>0</v>
      </c>
    </row>
    <row r="654" spans="1:38" x14ac:dyDescent="0.25">
      <c r="A654" t="s">
        <v>1577</v>
      </c>
      <c r="B654" t="s">
        <v>1577</v>
      </c>
      <c r="C654" s="1">
        <v>537</v>
      </c>
      <c r="D654" s="1" t="s">
        <v>1576</v>
      </c>
      <c r="E654">
        <v>5</v>
      </c>
      <c r="F654">
        <v>1.5</v>
      </c>
      <c r="G654">
        <v>62</v>
      </c>
      <c r="H654" t="s">
        <v>76</v>
      </c>
      <c r="I654" t="s">
        <v>132</v>
      </c>
      <c r="J654" t="s">
        <v>274</v>
      </c>
      <c r="K654" t="s">
        <v>402</v>
      </c>
      <c r="L654" t="s">
        <v>299</v>
      </c>
      <c r="M654" t="s">
        <v>79</v>
      </c>
      <c r="N654">
        <v>50</v>
      </c>
      <c r="O654">
        <v>50</v>
      </c>
      <c r="P654">
        <v>0</v>
      </c>
      <c r="Q654">
        <v>20</v>
      </c>
      <c r="R654" t="s">
        <v>80</v>
      </c>
      <c r="T654">
        <v>45</v>
      </c>
      <c r="U654">
        <v>255</v>
      </c>
      <c r="V654">
        <v>1059860</v>
      </c>
      <c r="W654" t="s">
        <v>46</v>
      </c>
      <c r="Z654">
        <v>105</v>
      </c>
      <c r="AA654">
        <v>95</v>
      </c>
      <c r="AB654">
        <v>75</v>
      </c>
      <c r="AC654">
        <v>85</v>
      </c>
      <c r="AD654">
        <v>75</v>
      </c>
      <c r="AE654">
        <v>74</v>
      </c>
      <c r="AF654">
        <v>509</v>
      </c>
      <c r="AG654">
        <v>3</v>
      </c>
      <c r="AH654">
        <v>0</v>
      </c>
      <c r="AI654">
        <v>0</v>
      </c>
      <c r="AJ654">
        <v>0</v>
      </c>
      <c r="AK654">
        <v>0</v>
      </c>
      <c r="AL654">
        <v>0</v>
      </c>
    </row>
    <row r="655" spans="1:38" x14ac:dyDescent="0.25">
      <c r="A655" t="s">
        <v>1579</v>
      </c>
      <c r="B655" t="s">
        <v>1579</v>
      </c>
      <c r="C655" s="1">
        <v>538</v>
      </c>
      <c r="D655" s="1" t="s">
        <v>1578</v>
      </c>
      <c r="E655">
        <v>5</v>
      </c>
      <c r="F655">
        <v>1.3</v>
      </c>
      <c r="G655">
        <v>55.5</v>
      </c>
      <c r="H655" t="s">
        <v>279</v>
      </c>
      <c r="J655" t="s">
        <v>129</v>
      </c>
      <c r="K655" t="s">
        <v>221</v>
      </c>
      <c r="L655" t="s">
        <v>532</v>
      </c>
      <c r="M655" t="s">
        <v>60</v>
      </c>
      <c r="N655">
        <v>100</v>
      </c>
      <c r="O655">
        <v>0</v>
      </c>
      <c r="P655">
        <v>0</v>
      </c>
      <c r="Q655">
        <v>20</v>
      </c>
      <c r="R655" t="s">
        <v>307</v>
      </c>
      <c r="T655">
        <v>45</v>
      </c>
      <c r="U655">
        <v>163</v>
      </c>
      <c r="V655">
        <v>1000000</v>
      </c>
      <c r="W655" t="s">
        <v>46</v>
      </c>
      <c r="Z655">
        <v>120</v>
      </c>
      <c r="AA655">
        <v>100</v>
      </c>
      <c r="AB655">
        <v>85</v>
      </c>
      <c r="AC655">
        <v>30</v>
      </c>
      <c r="AD655">
        <v>85</v>
      </c>
      <c r="AE655">
        <v>45</v>
      </c>
      <c r="AF655">
        <v>465</v>
      </c>
      <c r="AG655">
        <v>2</v>
      </c>
      <c r="AH655">
        <v>0</v>
      </c>
      <c r="AI655">
        <v>0</v>
      </c>
      <c r="AJ655">
        <v>0</v>
      </c>
      <c r="AK655">
        <v>0</v>
      </c>
      <c r="AL655">
        <v>0</v>
      </c>
    </row>
    <row r="656" spans="1:38" x14ac:dyDescent="0.25">
      <c r="A656" t="s">
        <v>1581</v>
      </c>
      <c r="B656" t="s">
        <v>1581</v>
      </c>
      <c r="C656" s="1">
        <v>539</v>
      </c>
      <c r="D656" s="1" t="s">
        <v>1580</v>
      </c>
      <c r="E656">
        <v>5</v>
      </c>
      <c r="F656">
        <v>1.4</v>
      </c>
      <c r="G656">
        <v>51</v>
      </c>
      <c r="H656" t="s">
        <v>279</v>
      </c>
      <c r="J656" t="s">
        <v>338</v>
      </c>
      <c r="K656" t="s">
        <v>221</v>
      </c>
      <c r="L656" t="s">
        <v>532</v>
      </c>
      <c r="M656" t="s">
        <v>79</v>
      </c>
      <c r="N656">
        <v>100</v>
      </c>
      <c r="O656">
        <v>0</v>
      </c>
      <c r="P656">
        <v>0</v>
      </c>
      <c r="Q656">
        <v>20</v>
      </c>
      <c r="R656" t="s">
        <v>307</v>
      </c>
      <c r="T656">
        <v>45</v>
      </c>
      <c r="U656">
        <v>163</v>
      </c>
      <c r="V656">
        <v>1000000</v>
      </c>
      <c r="W656" t="s">
        <v>46</v>
      </c>
      <c r="Z656">
        <v>75</v>
      </c>
      <c r="AA656">
        <v>125</v>
      </c>
      <c r="AB656">
        <v>75</v>
      </c>
      <c r="AC656">
        <v>30</v>
      </c>
      <c r="AD656">
        <v>75</v>
      </c>
      <c r="AE656">
        <v>85</v>
      </c>
      <c r="AF656">
        <v>465</v>
      </c>
      <c r="AG656">
        <v>0</v>
      </c>
      <c r="AH656">
        <v>2</v>
      </c>
      <c r="AI656">
        <v>0</v>
      </c>
      <c r="AJ656">
        <v>0</v>
      </c>
      <c r="AK656">
        <v>0</v>
      </c>
      <c r="AL656">
        <v>0</v>
      </c>
    </row>
    <row r="657" spans="1:38" x14ac:dyDescent="0.25">
      <c r="A657" t="s">
        <v>1583</v>
      </c>
      <c r="B657" t="s">
        <v>1583</v>
      </c>
      <c r="C657" s="1">
        <v>540</v>
      </c>
      <c r="D657" s="1" t="s">
        <v>1582</v>
      </c>
      <c r="E657">
        <v>5</v>
      </c>
      <c r="F657">
        <v>0.3</v>
      </c>
      <c r="G657">
        <v>2.5</v>
      </c>
      <c r="H657" t="s">
        <v>90</v>
      </c>
      <c r="I657" t="s">
        <v>40</v>
      </c>
      <c r="J657" t="s">
        <v>109</v>
      </c>
      <c r="K657" t="s">
        <v>43</v>
      </c>
      <c r="L657" t="s">
        <v>414</v>
      </c>
      <c r="M657" t="s">
        <v>106</v>
      </c>
      <c r="N657">
        <v>50</v>
      </c>
      <c r="O657">
        <v>50</v>
      </c>
      <c r="P657">
        <v>0</v>
      </c>
      <c r="Q657">
        <v>15</v>
      </c>
      <c r="R657" t="s">
        <v>90</v>
      </c>
      <c r="T657">
        <v>255</v>
      </c>
      <c r="U657">
        <v>62</v>
      </c>
      <c r="V657">
        <v>1059860</v>
      </c>
      <c r="W657" t="s">
        <v>46</v>
      </c>
      <c r="Z657">
        <v>45</v>
      </c>
      <c r="AA657">
        <v>53</v>
      </c>
      <c r="AB657">
        <v>70</v>
      </c>
      <c r="AC657">
        <v>40</v>
      </c>
      <c r="AD657">
        <v>60</v>
      </c>
      <c r="AE657">
        <v>42</v>
      </c>
      <c r="AF657">
        <v>310</v>
      </c>
      <c r="AG657">
        <v>0</v>
      </c>
      <c r="AH657">
        <v>0</v>
      </c>
      <c r="AI657">
        <v>1</v>
      </c>
      <c r="AJ657">
        <v>0</v>
      </c>
      <c r="AK657">
        <v>0</v>
      </c>
      <c r="AL657">
        <v>0</v>
      </c>
    </row>
    <row r="658" spans="1:38" x14ac:dyDescent="0.25">
      <c r="A658" t="s">
        <v>1585</v>
      </c>
      <c r="B658" t="s">
        <v>1585</v>
      </c>
      <c r="C658" s="1">
        <v>541</v>
      </c>
      <c r="D658" s="1" t="s">
        <v>1584</v>
      </c>
      <c r="E658">
        <v>5</v>
      </c>
      <c r="F658">
        <v>0.5</v>
      </c>
      <c r="G658">
        <v>7.3</v>
      </c>
      <c r="H658" t="s">
        <v>90</v>
      </c>
      <c r="I658" t="s">
        <v>40</v>
      </c>
      <c r="J658" t="s">
        <v>495</v>
      </c>
      <c r="K658" t="s">
        <v>43</v>
      </c>
      <c r="L658" t="s">
        <v>414</v>
      </c>
      <c r="M658" t="s">
        <v>44</v>
      </c>
      <c r="N658">
        <v>50</v>
      </c>
      <c r="O658">
        <v>50</v>
      </c>
      <c r="P658">
        <v>0</v>
      </c>
      <c r="Q658">
        <v>15</v>
      </c>
      <c r="R658" t="s">
        <v>90</v>
      </c>
      <c r="T658">
        <v>120</v>
      </c>
      <c r="U658">
        <v>133</v>
      </c>
      <c r="V658">
        <v>1059860</v>
      </c>
      <c r="W658" t="s">
        <v>46</v>
      </c>
      <c r="Z658">
        <v>55</v>
      </c>
      <c r="AA658">
        <v>63</v>
      </c>
      <c r="AB658">
        <v>90</v>
      </c>
      <c r="AC658">
        <v>50</v>
      </c>
      <c r="AD658">
        <v>80</v>
      </c>
      <c r="AE658">
        <v>42</v>
      </c>
      <c r="AF658">
        <v>380</v>
      </c>
      <c r="AG658">
        <v>0</v>
      </c>
      <c r="AH658">
        <v>0</v>
      </c>
      <c r="AI658">
        <v>2</v>
      </c>
      <c r="AJ658">
        <v>0</v>
      </c>
      <c r="AK658">
        <v>0</v>
      </c>
      <c r="AL658">
        <v>0</v>
      </c>
    </row>
    <row r="659" spans="1:38" x14ac:dyDescent="0.25">
      <c r="A659" t="s">
        <v>1587</v>
      </c>
      <c r="B659" t="s">
        <v>1587</v>
      </c>
      <c r="C659" s="1">
        <v>542</v>
      </c>
      <c r="D659" s="1" t="s">
        <v>1586</v>
      </c>
      <c r="E659">
        <v>5</v>
      </c>
      <c r="F659">
        <v>1.2</v>
      </c>
      <c r="G659">
        <v>20.5</v>
      </c>
      <c r="H659" t="s">
        <v>90</v>
      </c>
      <c r="I659" t="s">
        <v>40</v>
      </c>
      <c r="J659" t="s">
        <v>109</v>
      </c>
      <c r="K659" t="s">
        <v>43</v>
      </c>
      <c r="L659" t="s">
        <v>414</v>
      </c>
      <c r="M659" t="s">
        <v>106</v>
      </c>
      <c r="N659">
        <v>50</v>
      </c>
      <c r="O659">
        <v>50</v>
      </c>
      <c r="P659">
        <v>0</v>
      </c>
      <c r="Q659">
        <v>15</v>
      </c>
      <c r="R659" t="s">
        <v>90</v>
      </c>
      <c r="T659">
        <v>45</v>
      </c>
      <c r="U659">
        <v>225</v>
      </c>
      <c r="V659">
        <v>1059860</v>
      </c>
      <c r="W659" t="s">
        <v>46</v>
      </c>
      <c r="Z659">
        <v>75</v>
      </c>
      <c r="AA659">
        <v>103</v>
      </c>
      <c r="AB659">
        <v>80</v>
      </c>
      <c r="AC659">
        <v>70</v>
      </c>
      <c r="AD659">
        <v>80</v>
      </c>
      <c r="AE659">
        <v>92</v>
      </c>
      <c r="AF659">
        <v>500</v>
      </c>
      <c r="AG659">
        <v>0</v>
      </c>
      <c r="AH659">
        <v>3</v>
      </c>
      <c r="AI659">
        <v>0</v>
      </c>
      <c r="AJ659">
        <v>0</v>
      </c>
      <c r="AK659">
        <v>0</v>
      </c>
      <c r="AL659">
        <v>0</v>
      </c>
    </row>
    <row r="660" spans="1:38" x14ac:dyDescent="0.25">
      <c r="A660" t="s">
        <v>1589</v>
      </c>
      <c r="B660" t="s">
        <v>1589</v>
      </c>
      <c r="C660" s="1">
        <v>543</v>
      </c>
      <c r="D660" s="1" t="s">
        <v>1588</v>
      </c>
      <c r="E660">
        <v>5</v>
      </c>
      <c r="F660">
        <v>0.4</v>
      </c>
      <c r="G660">
        <v>5.3</v>
      </c>
      <c r="H660" t="s">
        <v>90</v>
      </c>
      <c r="I660" t="s">
        <v>41</v>
      </c>
      <c r="J660" t="s">
        <v>180</v>
      </c>
      <c r="K660" t="s">
        <v>109</v>
      </c>
      <c r="L660" t="s">
        <v>713</v>
      </c>
      <c r="M660" t="s">
        <v>60</v>
      </c>
      <c r="N660">
        <v>50</v>
      </c>
      <c r="O660">
        <v>50</v>
      </c>
      <c r="P660">
        <v>0</v>
      </c>
      <c r="Q660">
        <v>15</v>
      </c>
      <c r="R660" t="s">
        <v>90</v>
      </c>
      <c r="T660">
        <v>255</v>
      </c>
      <c r="U660">
        <v>52</v>
      </c>
      <c r="V660">
        <v>1059860</v>
      </c>
      <c r="W660" t="s">
        <v>46</v>
      </c>
      <c r="Z660">
        <v>30</v>
      </c>
      <c r="AA660">
        <v>45</v>
      </c>
      <c r="AB660">
        <v>59</v>
      </c>
      <c r="AC660">
        <v>30</v>
      </c>
      <c r="AD660">
        <v>39</v>
      </c>
      <c r="AE660">
        <v>57</v>
      </c>
      <c r="AF660">
        <v>260</v>
      </c>
      <c r="AG660">
        <v>0</v>
      </c>
      <c r="AH660">
        <v>0</v>
      </c>
      <c r="AI660">
        <v>1</v>
      </c>
      <c r="AJ660">
        <v>0</v>
      </c>
      <c r="AK660">
        <v>0</v>
      </c>
      <c r="AL660">
        <v>0</v>
      </c>
    </row>
    <row r="661" spans="1:38" x14ac:dyDescent="0.25">
      <c r="A661" t="s">
        <v>1591</v>
      </c>
      <c r="B661" t="s">
        <v>1591</v>
      </c>
      <c r="C661" s="1">
        <v>544</v>
      </c>
      <c r="D661" s="1" t="s">
        <v>1590</v>
      </c>
      <c r="E661">
        <v>5</v>
      </c>
      <c r="F661">
        <v>1.2</v>
      </c>
      <c r="G661">
        <v>58.5</v>
      </c>
      <c r="H661" t="s">
        <v>90</v>
      </c>
      <c r="I661" t="s">
        <v>41</v>
      </c>
      <c r="J661" t="s">
        <v>180</v>
      </c>
      <c r="K661" t="s">
        <v>109</v>
      </c>
      <c r="L661" t="s">
        <v>713</v>
      </c>
      <c r="M661" t="s">
        <v>318</v>
      </c>
      <c r="N661">
        <v>50</v>
      </c>
      <c r="O661">
        <v>50</v>
      </c>
      <c r="P661">
        <v>0</v>
      </c>
      <c r="Q661">
        <v>15</v>
      </c>
      <c r="R661" t="s">
        <v>90</v>
      </c>
      <c r="T661">
        <v>120</v>
      </c>
      <c r="U661">
        <v>126</v>
      </c>
      <c r="V661">
        <v>1059860</v>
      </c>
      <c r="W661" t="s">
        <v>46</v>
      </c>
      <c r="Z661">
        <v>40</v>
      </c>
      <c r="AA661">
        <v>55</v>
      </c>
      <c r="AB661">
        <v>99</v>
      </c>
      <c r="AC661">
        <v>40</v>
      </c>
      <c r="AD661">
        <v>79</v>
      </c>
      <c r="AE661">
        <v>47</v>
      </c>
      <c r="AF661">
        <v>360</v>
      </c>
      <c r="AG661">
        <v>0</v>
      </c>
      <c r="AH661">
        <v>0</v>
      </c>
      <c r="AI661">
        <v>2</v>
      </c>
      <c r="AJ661">
        <v>0</v>
      </c>
      <c r="AK661">
        <v>0</v>
      </c>
      <c r="AL661">
        <v>0</v>
      </c>
    </row>
    <row r="662" spans="1:38" x14ac:dyDescent="0.25">
      <c r="A662" t="s">
        <v>1593</v>
      </c>
      <c r="B662" t="s">
        <v>1593</v>
      </c>
      <c r="C662" s="1">
        <v>545</v>
      </c>
      <c r="D662" s="1" t="s">
        <v>1592</v>
      </c>
      <c r="E662">
        <v>5</v>
      </c>
      <c r="F662">
        <v>2.5</v>
      </c>
      <c r="G662">
        <v>200.5</v>
      </c>
      <c r="H662" t="s">
        <v>90</v>
      </c>
      <c r="I662" t="s">
        <v>41</v>
      </c>
      <c r="J662" t="s">
        <v>180</v>
      </c>
      <c r="K662" t="s">
        <v>109</v>
      </c>
      <c r="L662" t="s">
        <v>713</v>
      </c>
      <c r="M662" t="s">
        <v>60</v>
      </c>
      <c r="N662">
        <v>50</v>
      </c>
      <c r="O662">
        <v>50</v>
      </c>
      <c r="P662">
        <v>0</v>
      </c>
      <c r="Q662">
        <v>20</v>
      </c>
      <c r="R662" t="s">
        <v>90</v>
      </c>
      <c r="T662">
        <v>45</v>
      </c>
      <c r="U662">
        <v>243</v>
      </c>
      <c r="V662">
        <v>1059860</v>
      </c>
      <c r="W662" t="s">
        <v>46</v>
      </c>
      <c r="Z662">
        <v>60</v>
      </c>
      <c r="AA662">
        <v>100</v>
      </c>
      <c r="AB662">
        <v>89</v>
      </c>
      <c r="AC662">
        <v>55</v>
      </c>
      <c r="AD662">
        <v>69</v>
      </c>
      <c r="AE662">
        <v>112</v>
      </c>
      <c r="AF662">
        <v>485</v>
      </c>
      <c r="AG662">
        <v>0</v>
      </c>
      <c r="AH662">
        <v>0</v>
      </c>
      <c r="AI662">
        <v>0</v>
      </c>
      <c r="AJ662">
        <v>0</v>
      </c>
      <c r="AK662">
        <v>0</v>
      </c>
      <c r="AL662">
        <v>3</v>
      </c>
    </row>
    <row r="663" spans="1:38" x14ac:dyDescent="0.25">
      <c r="A663" t="s">
        <v>1595</v>
      </c>
      <c r="B663" t="s">
        <v>1595</v>
      </c>
      <c r="C663" s="1">
        <v>546</v>
      </c>
      <c r="D663" s="1" t="s">
        <v>1594</v>
      </c>
      <c r="E663">
        <v>5</v>
      </c>
      <c r="F663">
        <v>0.3</v>
      </c>
      <c r="G663">
        <v>0.6</v>
      </c>
      <c r="H663" t="s">
        <v>40</v>
      </c>
      <c r="I663" t="s">
        <v>157</v>
      </c>
      <c r="J663" t="s">
        <v>726</v>
      </c>
      <c r="K663" t="s">
        <v>222</v>
      </c>
      <c r="L663" t="s">
        <v>43</v>
      </c>
      <c r="M663" t="s">
        <v>44</v>
      </c>
      <c r="N663">
        <v>50</v>
      </c>
      <c r="O663">
        <v>50</v>
      </c>
      <c r="P663">
        <v>0</v>
      </c>
      <c r="Q663">
        <v>20</v>
      </c>
      <c r="R663" t="s">
        <v>40</v>
      </c>
      <c r="S663" t="s">
        <v>157</v>
      </c>
      <c r="T663">
        <v>190</v>
      </c>
      <c r="U663">
        <v>56</v>
      </c>
      <c r="V663">
        <v>1000000</v>
      </c>
      <c r="W663" t="s">
        <v>46</v>
      </c>
      <c r="Z663">
        <v>40</v>
      </c>
      <c r="AA663">
        <v>27</v>
      </c>
      <c r="AB663">
        <v>60</v>
      </c>
      <c r="AC663">
        <v>37</v>
      </c>
      <c r="AD663">
        <v>50</v>
      </c>
      <c r="AE663">
        <v>66</v>
      </c>
      <c r="AF663">
        <v>280</v>
      </c>
      <c r="AG663">
        <v>0</v>
      </c>
      <c r="AH663">
        <v>0</v>
      </c>
      <c r="AI663">
        <v>0</v>
      </c>
      <c r="AJ663">
        <v>0</v>
      </c>
      <c r="AK663">
        <v>0</v>
      </c>
      <c r="AL663">
        <v>1</v>
      </c>
    </row>
    <row r="664" spans="1:38" x14ac:dyDescent="0.25">
      <c r="A664" t="s">
        <v>1597</v>
      </c>
      <c r="B664" t="s">
        <v>1597</v>
      </c>
      <c r="C664" s="1">
        <v>547</v>
      </c>
      <c r="D664" s="1" t="s">
        <v>1596</v>
      </c>
      <c r="E664">
        <v>5</v>
      </c>
      <c r="F664">
        <v>0.7</v>
      </c>
      <c r="G664">
        <v>6.6</v>
      </c>
      <c r="H664" t="s">
        <v>40</v>
      </c>
      <c r="I664" t="s">
        <v>157</v>
      </c>
      <c r="J664" t="s">
        <v>726</v>
      </c>
      <c r="K664" t="s">
        <v>222</v>
      </c>
      <c r="L664" t="s">
        <v>43</v>
      </c>
      <c r="M664" t="s">
        <v>44</v>
      </c>
      <c r="N664">
        <v>50</v>
      </c>
      <c r="O664">
        <v>50</v>
      </c>
      <c r="P664">
        <v>0</v>
      </c>
      <c r="Q664">
        <v>20</v>
      </c>
      <c r="R664" t="s">
        <v>40</v>
      </c>
      <c r="S664" t="s">
        <v>157</v>
      </c>
      <c r="T664">
        <v>75</v>
      </c>
      <c r="U664">
        <v>168</v>
      </c>
      <c r="V664">
        <v>1000000</v>
      </c>
      <c r="W664" t="s">
        <v>46</v>
      </c>
      <c r="Z664">
        <v>60</v>
      </c>
      <c r="AA664">
        <v>67</v>
      </c>
      <c r="AB664">
        <v>85</v>
      </c>
      <c r="AC664">
        <v>77</v>
      </c>
      <c r="AD664">
        <v>75</v>
      </c>
      <c r="AE664">
        <v>116</v>
      </c>
      <c r="AF664">
        <v>480</v>
      </c>
      <c r="AG664">
        <v>0</v>
      </c>
      <c r="AH664">
        <v>0</v>
      </c>
      <c r="AI664">
        <v>0</v>
      </c>
      <c r="AJ664">
        <v>0</v>
      </c>
      <c r="AK664">
        <v>0</v>
      </c>
      <c r="AL664">
        <v>2</v>
      </c>
    </row>
    <row r="665" spans="1:38" x14ac:dyDescent="0.25">
      <c r="A665" t="s">
        <v>1599</v>
      </c>
      <c r="B665" t="s">
        <v>1599</v>
      </c>
      <c r="C665" s="1">
        <v>548</v>
      </c>
      <c r="D665" s="1" t="s">
        <v>1598</v>
      </c>
      <c r="E665">
        <v>5</v>
      </c>
      <c r="F665">
        <v>0.5</v>
      </c>
      <c r="G665">
        <v>6.6</v>
      </c>
      <c r="H665" t="s">
        <v>40</v>
      </c>
      <c r="J665" t="s">
        <v>43</v>
      </c>
      <c r="K665" t="s">
        <v>366</v>
      </c>
      <c r="L665" t="s">
        <v>495</v>
      </c>
      <c r="M665" t="s">
        <v>44</v>
      </c>
      <c r="N665">
        <v>0</v>
      </c>
      <c r="O665">
        <v>100</v>
      </c>
      <c r="P665">
        <v>0</v>
      </c>
      <c r="Q665">
        <v>20</v>
      </c>
      <c r="R665" t="s">
        <v>40</v>
      </c>
      <c r="T665">
        <v>190</v>
      </c>
      <c r="U665">
        <v>56</v>
      </c>
      <c r="V665">
        <v>1000000</v>
      </c>
      <c r="W665" t="s">
        <v>46</v>
      </c>
      <c r="Z665">
        <v>45</v>
      </c>
      <c r="AA665">
        <v>35</v>
      </c>
      <c r="AB665">
        <v>50</v>
      </c>
      <c r="AC665">
        <v>70</v>
      </c>
      <c r="AD665">
        <v>50</v>
      </c>
      <c r="AE665">
        <v>30</v>
      </c>
      <c r="AF665">
        <v>280</v>
      </c>
      <c r="AG665">
        <v>0</v>
      </c>
      <c r="AH665">
        <v>0</v>
      </c>
      <c r="AI665">
        <v>0</v>
      </c>
      <c r="AJ665">
        <v>1</v>
      </c>
      <c r="AK665">
        <v>0</v>
      </c>
      <c r="AL665">
        <v>0</v>
      </c>
    </row>
    <row r="666" spans="1:38" x14ac:dyDescent="0.25">
      <c r="A666" t="s">
        <v>1601</v>
      </c>
      <c r="B666" t="s">
        <v>1601</v>
      </c>
      <c r="C666" s="1">
        <v>549</v>
      </c>
      <c r="D666" s="1" t="s">
        <v>1600</v>
      </c>
      <c r="E666">
        <v>5</v>
      </c>
      <c r="F666">
        <v>1.1000000000000001</v>
      </c>
      <c r="G666">
        <v>16.3</v>
      </c>
      <c r="H666" t="s">
        <v>40</v>
      </c>
      <c r="J666" t="s">
        <v>43</v>
      </c>
      <c r="K666" t="s">
        <v>366</v>
      </c>
      <c r="L666" t="s">
        <v>495</v>
      </c>
      <c r="M666" t="s">
        <v>44</v>
      </c>
      <c r="N666">
        <v>0</v>
      </c>
      <c r="O666">
        <v>100</v>
      </c>
      <c r="P666">
        <v>0</v>
      </c>
      <c r="Q666">
        <v>20</v>
      </c>
      <c r="R666" t="s">
        <v>40</v>
      </c>
      <c r="T666">
        <v>75</v>
      </c>
      <c r="U666">
        <v>168</v>
      </c>
      <c r="V666">
        <v>1000000</v>
      </c>
      <c r="W666" t="s">
        <v>46</v>
      </c>
      <c r="Z666">
        <v>70</v>
      </c>
      <c r="AA666">
        <v>60</v>
      </c>
      <c r="AB666">
        <v>75</v>
      </c>
      <c r="AC666">
        <v>110</v>
      </c>
      <c r="AD666">
        <v>75</v>
      </c>
      <c r="AE666">
        <v>90</v>
      </c>
      <c r="AF666">
        <v>480</v>
      </c>
      <c r="AG666">
        <v>0</v>
      </c>
      <c r="AH666">
        <v>0</v>
      </c>
      <c r="AI666">
        <v>0</v>
      </c>
      <c r="AJ666">
        <v>2</v>
      </c>
      <c r="AK666">
        <v>0</v>
      </c>
      <c r="AL666">
        <v>0</v>
      </c>
    </row>
    <row r="667" spans="1:38" x14ac:dyDescent="0.25">
      <c r="A667" t="s">
        <v>1601</v>
      </c>
      <c r="B667" t="s">
        <v>1603</v>
      </c>
      <c r="C667" s="1">
        <v>549</v>
      </c>
      <c r="D667" s="1" t="s">
        <v>1602</v>
      </c>
      <c r="E667">
        <v>8</v>
      </c>
      <c r="F667">
        <v>1.2</v>
      </c>
      <c r="G667">
        <v>19.2</v>
      </c>
      <c r="H667" t="s">
        <v>40</v>
      </c>
      <c r="I667" t="s">
        <v>279</v>
      </c>
      <c r="J667" t="s">
        <v>43</v>
      </c>
      <c r="K667" t="s">
        <v>130</v>
      </c>
      <c r="L667" t="s">
        <v>495</v>
      </c>
      <c r="M667" t="s">
        <v>44</v>
      </c>
      <c r="N667">
        <v>0</v>
      </c>
      <c r="O667">
        <v>100</v>
      </c>
      <c r="P667">
        <v>0</v>
      </c>
      <c r="Q667">
        <v>20</v>
      </c>
      <c r="R667" t="s">
        <v>40</v>
      </c>
      <c r="T667">
        <v>75</v>
      </c>
      <c r="U667">
        <v>168</v>
      </c>
      <c r="V667">
        <v>1000000</v>
      </c>
      <c r="W667" t="s">
        <v>46</v>
      </c>
      <c r="Y667" t="s">
        <v>292</v>
      </c>
      <c r="Z667">
        <v>70</v>
      </c>
      <c r="AA667">
        <v>105</v>
      </c>
      <c r="AB667">
        <v>75</v>
      </c>
      <c r="AC667">
        <v>50</v>
      </c>
      <c r="AD667">
        <v>75</v>
      </c>
      <c r="AE667">
        <v>105</v>
      </c>
      <c r="AF667">
        <v>480</v>
      </c>
      <c r="AG667">
        <v>0</v>
      </c>
      <c r="AH667">
        <v>1</v>
      </c>
      <c r="AI667">
        <v>0</v>
      </c>
      <c r="AJ667">
        <v>0</v>
      </c>
      <c r="AK667">
        <v>0</v>
      </c>
      <c r="AL667">
        <v>1</v>
      </c>
    </row>
    <row r="668" spans="1:38" x14ac:dyDescent="0.25">
      <c r="A668" t="s">
        <v>1605</v>
      </c>
      <c r="B668" t="s">
        <v>1606</v>
      </c>
      <c r="C668" s="1">
        <v>550</v>
      </c>
      <c r="D668" s="1" t="s">
        <v>1604</v>
      </c>
      <c r="E668">
        <v>5</v>
      </c>
      <c r="F668">
        <v>1</v>
      </c>
      <c r="G668">
        <v>18</v>
      </c>
      <c r="H668" t="s">
        <v>76</v>
      </c>
      <c r="J668" t="s">
        <v>469</v>
      </c>
      <c r="K668" t="s">
        <v>113</v>
      </c>
      <c r="L668" t="s">
        <v>532</v>
      </c>
      <c r="M668" t="s">
        <v>44</v>
      </c>
      <c r="N668">
        <v>50</v>
      </c>
      <c r="O668">
        <v>50</v>
      </c>
      <c r="P668">
        <v>0</v>
      </c>
      <c r="Q668">
        <v>40</v>
      </c>
      <c r="R668" t="s">
        <v>508</v>
      </c>
      <c r="T668">
        <v>25</v>
      </c>
      <c r="U668">
        <v>161</v>
      </c>
      <c r="V668">
        <v>1000000</v>
      </c>
      <c r="W668" t="s">
        <v>46</v>
      </c>
      <c r="Z668">
        <v>70</v>
      </c>
      <c r="AA668">
        <v>92</v>
      </c>
      <c r="AB668">
        <v>65</v>
      </c>
      <c r="AC668">
        <v>80</v>
      </c>
      <c r="AD668">
        <v>55</v>
      </c>
      <c r="AE668">
        <v>98</v>
      </c>
      <c r="AF668">
        <v>460</v>
      </c>
      <c r="AG668">
        <v>0</v>
      </c>
      <c r="AH668">
        <v>0</v>
      </c>
      <c r="AI668">
        <v>0</v>
      </c>
      <c r="AJ668">
        <v>0</v>
      </c>
      <c r="AK668">
        <v>0</v>
      </c>
      <c r="AL668">
        <v>2</v>
      </c>
    </row>
    <row r="669" spans="1:38" x14ac:dyDescent="0.25">
      <c r="A669" t="s">
        <v>1605</v>
      </c>
      <c r="B669" t="s">
        <v>1608</v>
      </c>
      <c r="C669" s="1">
        <v>550</v>
      </c>
      <c r="D669" s="1" t="s">
        <v>1607</v>
      </c>
      <c r="E669">
        <v>5</v>
      </c>
      <c r="F669">
        <v>1</v>
      </c>
      <c r="G669">
        <v>18</v>
      </c>
      <c r="H669" t="s">
        <v>76</v>
      </c>
      <c r="J669" t="s">
        <v>291</v>
      </c>
      <c r="K669" t="s">
        <v>113</v>
      </c>
      <c r="L669" t="s">
        <v>532</v>
      </c>
      <c r="M669" t="s">
        <v>44</v>
      </c>
      <c r="N669">
        <v>50</v>
      </c>
      <c r="O669">
        <v>50</v>
      </c>
      <c r="P669">
        <v>0</v>
      </c>
      <c r="Q669">
        <v>40</v>
      </c>
      <c r="R669" t="s">
        <v>508</v>
      </c>
      <c r="T669">
        <v>25</v>
      </c>
      <c r="U669">
        <v>161</v>
      </c>
      <c r="V669">
        <v>1000000</v>
      </c>
      <c r="W669" t="s">
        <v>46</v>
      </c>
      <c r="Z669">
        <v>70</v>
      </c>
      <c r="AA669">
        <v>92</v>
      </c>
      <c r="AB669">
        <v>65</v>
      </c>
      <c r="AC669">
        <v>80</v>
      </c>
      <c r="AD669">
        <v>55</v>
      </c>
      <c r="AE669">
        <v>98</v>
      </c>
      <c r="AF669">
        <v>460</v>
      </c>
      <c r="AG669">
        <v>0</v>
      </c>
      <c r="AH669">
        <v>0</v>
      </c>
      <c r="AI669">
        <v>0</v>
      </c>
      <c r="AJ669">
        <v>0</v>
      </c>
      <c r="AK669">
        <v>0</v>
      </c>
      <c r="AL669">
        <v>2</v>
      </c>
    </row>
    <row r="670" spans="1:38" x14ac:dyDescent="0.25">
      <c r="A670" t="s">
        <v>1605</v>
      </c>
      <c r="B670" t="s">
        <v>1610</v>
      </c>
      <c r="C670" s="1">
        <v>550</v>
      </c>
      <c r="D670" s="1" t="s">
        <v>1609</v>
      </c>
      <c r="E670">
        <v>8</v>
      </c>
      <c r="F670">
        <v>1</v>
      </c>
      <c r="G670">
        <v>18</v>
      </c>
      <c r="H670" t="s">
        <v>76</v>
      </c>
      <c r="J670" t="s">
        <v>261</v>
      </c>
      <c r="K670" t="s">
        <v>113</v>
      </c>
      <c r="L670" t="s">
        <v>532</v>
      </c>
      <c r="M670" t="s">
        <v>44</v>
      </c>
      <c r="N670">
        <v>50</v>
      </c>
      <c r="O670">
        <v>50</v>
      </c>
      <c r="P670">
        <v>0</v>
      </c>
      <c r="Q670">
        <v>40</v>
      </c>
      <c r="R670" t="s">
        <v>508</v>
      </c>
      <c r="T670">
        <v>25</v>
      </c>
      <c r="U670">
        <v>161</v>
      </c>
      <c r="V670">
        <v>1000000</v>
      </c>
      <c r="W670" t="s">
        <v>46</v>
      </c>
      <c r="Y670" t="s">
        <v>292</v>
      </c>
      <c r="Z670">
        <v>70</v>
      </c>
      <c r="AA670">
        <v>92</v>
      </c>
      <c r="AB670">
        <v>65</v>
      </c>
      <c r="AC670">
        <v>80</v>
      </c>
      <c r="AD670">
        <v>55</v>
      </c>
      <c r="AE670">
        <v>98</v>
      </c>
      <c r="AF670">
        <v>460</v>
      </c>
      <c r="AG670">
        <v>0</v>
      </c>
      <c r="AH670">
        <v>0</v>
      </c>
      <c r="AI670">
        <v>0</v>
      </c>
      <c r="AJ670">
        <v>0</v>
      </c>
      <c r="AK670">
        <v>0</v>
      </c>
      <c r="AL670">
        <v>2</v>
      </c>
    </row>
    <row r="671" spans="1:38" x14ac:dyDescent="0.25">
      <c r="A671" t="s">
        <v>1612</v>
      </c>
      <c r="B671" t="s">
        <v>1612</v>
      </c>
      <c r="C671" s="1">
        <v>551</v>
      </c>
      <c r="D671" s="1" t="s">
        <v>1611</v>
      </c>
      <c r="E671">
        <v>5</v>
      </c>
      <c r="F671">
        <v>0.7</v>
      </c>
      <c r="G671">
        <v>15.2</v>
      </c>
      <c r="H671" t="s">
        <v>132</v>
      </c>
      <c r="I671" t="s">
        <v>135</v>
      </c>
      <c r="J671" t="s">
        <v>148</v>
      </c>
      <c r="K671" t="s">
        <v>533</v>
      </c>
      <c r="L671" t="s">
        <v>281</v>
      </c>
      <c r="M671" t="s">
        <v>103</v>
      </c>
      <c r="N671">
        <v>50</v>
      </c>
      <c r="O671">
        <v>50</v>
      </c>
      <c r="P671">
        <v>0</v>
      </c>
      <c r="Q671">
        <v>20</v>
      </c>
      <c r="R671" t="s">
        <v>132</v>
      </c>
      <c r="T671">
        <v>180</v>
      </c>
      <c r="U671">
        <v>58</v>
      </c>
      <c r="V671">
        <v>1059860</v>
      </c>
      <c r="W671" t="s">
        <v>46</v>
      </c>
      <c r="Z671">
        <v>50</v>
      </c>
      <c r="AA671">
        <v>72</v>
      </c>
      <c r="AB671">
        <v>35</v>
      </c>
      <c r="AC671">
        <v>35</v>
      </c>
      <c r="AD671">
        <v>35</v>
      </c>
      <c r="AE671">
        <v>65</v>
      </c>
      <c r="AF671">
        <v>292</v>
      </c>
      <c r="AG671">
        <v>0</v>
      </c>
      <c r="AH671">
        <v>1</v>
      </c>
      <c r="AI671">
        <v>0</v>
      </c>
      <c r="AJ671">
        <v>0</v>
      </c>
      <c r="AK671">
        <v>0</v>
      </c>
      <c r="AL671">
        <v>0</v>
      </c>
    </row>
    <row r="672" spans="1:38" x14ac:dyDescent="0.25">
      <c r="A672" t="s">
        <v>1614</v>
      </c>
      <c r="B672" t="s">
        <v>1614</v>
      </c>
      <c r="C672" s="1">
        <v>552</v>
      </c>
      <c r="D672" s="1" t="s">
        <v>1613</v>
      </c>
      <c r="E672">
        <v>5</v>
      </c>
      <c r="F672">
        <v>1</v>
      </c>
      <c r="G672">
        <v>33.4</v>
      </c>
      <c r="H672" t="s">
        <v>132</v>
      </c>
      <c r="I672" t="s">
        <v>135</v>
      </c>
      <c r="J672" t="s">
        <v>148</v>
      </c>
      <c r="K672" t="s">
        <v>533</v>
      </c>
      <c r="L672" t="s">
        <v>281</v>
      </c>
      <c r="M672" t="s">
        <v>103</v>
      </c>
      <c r="N672">
        <v>50</v>
      </c>
      <c r="O672">
        <v>50</v>
      </c>
      <c r="P672">
        <v>0</v>
      </c>
      <c r="Q672">
        <v>20</v>
      </c>
      <c r="R672" t="s">
        <v>132</v>
      </c>
      <c r="T672">
        <v>90</v>
      </c>
      <c r="U672">
        <v>123</v>
      </c>
      <c r="V672">
        <v>1059860</v>
      </c>
      <c r="W672" t="s">
        <v>46</v>
      </c>
      <c r="Z672">
        <v>60</v>
      </c>
      <c r="AA672">
        <v>82</v>
      </c>
      <c r="AB672">
        <v>45</v>
      </c>
      <c r="AC672">
        <v>45</v>
      </c>
      <c r="AD672">
        <v>45</v>
      </c>
      <c r="AE672">
        <v>74</v>
      </c>
      <c r="AF672">
        <v>351</v>
      </c>
      <c r="AG672">
        <v>0</v>
      </c>
      <c r="AH672">
        <v>2</v>
      </c>
      <c r="AI672">
        <v>0</v>
      </c>
      <c r="AJ672">
        <v>0</v>
      </c>
      <c r="AK672">
        <v>0</v>
      </c>
      <c r="AL672">
        <v>0</v>
      </c>
    </row>
    <row r="673" spans="1:38" x14ac:dyDescent="0.25">
      <c r="A673" t="s">
        <v>1616</v>
      </c>
      <c r="B673" t="s">
        <v>1616</v>
      </c>
      <c r="C673" s="1">
        <v>553</v>
      </c>
      <c r="D673" s="1" t="s">
        <v>1615</v>
      </c>
      <c r="E673">
        <v>5</v>
      </c>
      <c r="F673">
        <v>1.5</v>
      </c>
      <c r="G673">
        <v>96.3</v>
      </c>
      <c r="H673" t="s">
        <v>132</v>
      </c>
      <c r="I673" t="s">
        <v>135</v>
      </c>
      <c r="J673" t="s">
        <v>148</v>
      </c>
      <c r="K673" t="s">
        <v>533</v>
      </c>
      <c r="L673" t="s">
        <v>281</v>
      </c>
      <c r="M673" t="s">
        <v>60</v>
      </c>
      <c r="N673">
        <v>50</v>
      </c>
      <c r="O673">
        <v>50</v>
      </c>
      <c r="P673">
        <v>0</v>
      </c>
      <c r="Q673">
        <v>20</v>
      </c>
      <c r="R673" t="s">
        <v>132</v>
      </c>
      <c r="T673">
        <v>45</v>
      </c>
      <c r="U673">
        <v>260</v>
      </c>
      <c r="V673">
        <v>1059860</v>
      </c>
      <c r="W673" t="s">
        <v>46</v>
      </c>
      <c r="Z673">
        <v>95</v>
      </c>
      <c r="AA673">
        <v>117</v>
      </c>
      <c r="AB673">
        <v>80</v>
      </c>
      <c r="AC673">
        <v>65</v>
      </c>
      <c r="AD673">
        <v>70</v>
      </c>
      <c r="AE673">
        <v>92</v>
      </c>
      <c r="AF673">
        <v>519</v>
      </c>
      <c r="AG673">
        <v>0</v>
      </c>
      <c r="AH673">
        <v>3</v>
      </c>
      <c r="AI673">
        <v>0</v>
      </c>
      <c r="AJ673">
        <v>0</v>
      </c>
      <c r="AK673">
        <v>0</v>
      </c>
      <c r="AL673">
        <v>0</v>
      </c>
    </row>
    <row r="674" spans="1:38" x14ac:dyDescent="0.25">
      <c r="A674" t="s">
        <v>1618</v>
      </c>
      <c r="B674" t="s">
        <v>1618</v>
      </c>
      <c r="C674" s="1">
        <v>554</v>
      </c>
      <c r="D674" s="1" t="s">
        <v>1617</v>
      </c>
      <c r="E674">
        <v>5</v>
      </c>
      <c r="F674">
        <v>0.6</v>
      </c>
      <c r="G674">
        <v>37.5</v>
      </c>
      <c r="H674" t="s">
        <v>57</v>
      </c>
      <c r="J674" t="s">
        <v>130</v>
      </c>
      <c r="L674" t="s">
        <v>221</v>
      </c>
      <c r="M674" t="s">
        <v>60</v>
      </c>
      <c r="N674">
        <v>50</v>
      </c>
      <c r="O674">
        <v>50</v>
      </c>
      <c r="P674">
        <v>0</v>
      </c>
      <c r="Q674">
        <v>20</v>
      </c>
      <c r="R674" t="s">
        <v>132</v>
      </c>
      <c r="T674">
        <v>120</v>
      </c>
      <c r="U674">
        <v>63</v>
      </c>
      <c r="V674">
        <v>1059860</v>
      </c>
      <c r="W674" t="s">
        <v>46</v>
      </c>
      <c r="Z674">
        <v>70</v>
      </c>
      <c r="AA674">
        <v>90</v>
      </c>
      <c r="AB674">
        <v>45</v>
      </c>
      <c r="AC674">
        <v>15</v>
      </c>
      <c r="AD674">
        <v>45</v>
      </c>
      <c r="AE674">
        <v>50</v>
      </c>
      <c r="AF674">
        <v>315</v>
      </c>
      <c r="AG674">
        <v>0</v>
      </c>
      <c r="AH674">
        <v>1</v>
      </c>
      <c r="AI674">
        <v>0</v>
      </c>
      <c r="AJ674">
        <v>0</v>
      </c>
      <c r="AK674">
        <v>0</v>
      </c>
      <c r="AL674">
        <v>0</v>
      </c>
    </row>
    <row r="675" spans="1:38" x14ac:dyDescent="0.25">
      <c r="A675" t="s">
        <v>1618</v>
      </c>
      <c r="B675" t="s">
        <v>1620</v>
      </c>
      <c r="C675" s="1">
        <v>554</v>
      </c>
      <c r="D675" s="1" t="s">
        <v>1619</v>
      </c>
      <c r="E675">
        <v>8</v>
      </c>
      <c r="F675">
        <v>0.7</v>
      </c>
      <c r="G675">
        <v>40</v>
      </c>
      <c r="H675" t="s">
        <v>170</v>
      </c>
      <c r="J675" t="s">
        <v>130</v>
      </c>
      <c r="L675" t="s">
        <v>221</v>
      </c>
      <c r="M675" t="s">
        <v>100</v>
      </c>
      <c r="N675">
        <v>50</v>
      </c>
      <c r="O675">
        <v>50</v>
      </c>
      <c r="P675">
        <v>0</v>
      </c>
      <c r="Q675">
        <v>20</v>
      </c>
      <c r="R675" t="s">
        <v>132</v>
      </c>
      <c r="T675">
        <v>120</v>
      </c>
      <c r="U675">
        <v>63</v>
      </c>
      <c r="V675">
        <v>1059860</v>
      </c>
      <c r="W675" t="s">
        <v>46</v>
      </c>
      <c r="Y675" t="s">
        <v>264</v>
      </c>
      <c r="Z675">
        <v>70</v>
      </c>
      <c r="AA675">
        <v>90</v>
      </c>
      <c r="AB675">
        <v>45</v>
      </c>
      <c r="AC675">
        <v>15</v>
      </c>
      <c r="AD675">
        <v>45</v>
      </c>
      <c r="AE675">
        <v>50</v>
      </c>
      <c r="AF675">
        <v>315</v>
      </c>
      <c r="AG675">
        <v>0</v>
      </c>
      <c r="AH675">
        <v>1</v>
      </c>
      <c r="AI675">
        <v>0</v>
      </c>
      <c r="AJ675">
        <v>0</v>
      </c>
      <c r="AK675">
        <v>0</v>
      </c>
      <c r="AL675">
        <v>0</v>
      </c>
    </row>
    <row r="676" spans="1:38" x14ac:dyDescent="0.25">
      <c r="A676" t="s">
        <v>1622</v>
      </c>
      <c r="B676" t="s">
        <v>1622</v>
      </c>
      <c r="C676" s="1">
        <v>555</v>
      </c>
      <c r="D676" s="1" t="s">
        <v>1621</v>
      </c>
      <c r="E676">
        <v>5</v>
      </c>
      <c r="F676">
        <v>1.3</v>
      </c>
      <c r="G676">
        <v>92.9</v>
      </c>
      <c r="H676" t="s">
        <v>57</v>
      </c>
      <c r="J676" t="s">
        <v>187</v>
      </c>
      <c r="L676" t="s">
        <v>1623</v>
      </c>
      <c r="M676" t="s">
        <v>60</v>
      </c>
      <c r="N676">
        <v>50</v>
      </c>
      <c r="O676">
        <v>50</v>
      </c>
      <c r="P676">
        <v>0</v>
      </c>
      <c r="Q676">
        <v>20</v>
      </c>
      <c r="R676" t="s">
        <v>132</v>
      </c>
      <c r="T676">
        <v>60</v>
      </c>
      <c r="U676">
        <v>168</v>
      </c>
      <c r="V676">
        <v>1059860</v>
      </c>
      <c r="W676" t="s">
        <v>46</v>
      </c>
      <c r="Z676">
        <v>105</v>
      </c>
      <c r="AA676">
        <v>140</v>
      </c>
      <c r="AB676">
        <v>55</v>
      </c>
      <c r="AC676">
        <v>30</v>
      </c>
      <c r="AD676">
        <v>55</v>
      </c>
      <c r="AE676">
        <v>95</v>
      </c>
      <c r="AF676">
        <v>480</v>
      </c>
      <c r="AG676">
        <v>0</v>
      </c>
      <c r="AH676">
        <v>2</v>
      </c>
      <c r="AI676">
        <v>0</v>
      </c>
      <c r="AJ676">
        <v>0</v>
      </c>
      <c r="AK676">
        <v>0</v>
      </c>
      <c r="AL676">
        <v>0</v>
      </c>
    </row>
    <row r="677" spans="1:38" x14ac:dyDescent="0.25">
      <c r="A677" t="s">
        <v>1622</v>
      </c>
      <c r="B677" t="s">
        <v>1625</v>
      </c>
      <c r="C677" s="1">
        <v>555</v>
      </c>
      <c r="D677" s="1" t="s">
        <v>1624</v>
      </c>
      <c r="E677">
        <v>5</v>
      </c>
      <c r="F677">
        <v>1.3</v>
      </c>
      <c r="G677">
        <v>92.9</v>
      </c>
      <c r="H677" t="s">
        <v>57</v>
      </c>
      <c r="I677" t="s">
        <v>162</v>
      </c>
      <c r="J677" t="s">
        <v>187</v>
      </c>
      <c r="L677" t="s">
        <v>1623</v>
      </c>
      <c r="M677" t="s">
        <v>79</v>
      </c>
      <c r="N677">
        <v>50</v>
      </c>
      <c r="O677">
        <v>50</v>
      </c>
      <c r="P677">
        <v>0</v>
      </c>
      <c r="Q677">
        <v>20</v>
      </c>
      <c r="R677" t="s">
        <v>132</v>
      </c>
      <c r="T677">
        <v>60</v>
      </c>
      <c r="U677">
        <v>189</v>
      </c>
      <c r="V677">
        <v>1059860</v>
      </c>
      <c r="W677" t="s">
        <v>46</v>
      </c>
      <c r="Z677">
        <v>105</v>
      </c>
      <c r="AA677">
        <v>30</v>
      </c>
      <c r="AB677">
        <v>105</v>
      </c>
      <c r="AC677">
        <v>140</v>
      </c>
      <c r="AD677">
        <v>105</v>
      </c>
      <c r="AE677">
        <v>55</v>
      </c>
      <c r="AF677">
        <v>540</v>
      </c>
      <c r="AG677">
        <v>0</v>
      </c>
      <c r="AH677">
        <v>0</v>
      </c>
      <c r="AI677">
        <v>0</v>
      </c>
      <c r="AJ677">
        <v>2</v>
      </c>
      <c r="AK677">
        <v>0</v>
      </c>
      <c r="AL677">
        <v>0</v>
      </c>
    </row>
    <row r="678" spans="1:38" x14ac:dyDescent="0.25">
      <c r="A678" t="s">
        <v>1622</v>
      </c>
      <c r="B678" t="s">
        <v>1627</v>
      </c>
      <c r="C678" s="1">
        <v>555</v>
      </c>
      <c r="D678" s="1" t="s">
        <v>1626</v>
      </c>
      <c r="E678">
        <v>8</v>
      </c>
      <c r="F678">
        <v>1.7</v>
      </c>
      <c r="G678">
        <v>120</v>
      </c>
      <c r="H678" t="s">
        <v>170</v>
      </c>
      <c r="J678" t="s">
        <v>1628</v>
      </c>
      <c r="L678" t="s">
        <v>1623</v>
      </c>
      <c r="M678" t="s">
        <v>100</v>
      </c>
      <c r="N678">
        <v>50</v>
      </c>
      <c r="O678">
        <v>50</v>
      </c>
      <c r="P678">
        <v>0</v>
      </c>
      <c r="Q678">
        <v>20</v>
      </c>
      <c r="R678" t="s">
        <v>132</v>
      </c>
      <c r="T678">
        <v>60</v>
      </c>
      <c r="U678">
        <v>168</v>
      </c>
      <c r="V678">
        <v>1059860</v>
      </c>
      <c r="W678" t="s">
        <v>46</v>
      </c>
      <c r="Y678" t="s">
        <v>264</v>
      </c>
      <c r="Z678">
        <v>105</v>
      </c>
      <c r="AA678">
        <v>140</v>
      </c>
      <c r="AB678">
        <v>55</v>
      </c>
      <c r="AC678">
        <v>30</v>
      </c>
      <c r="AD678">
        <v>55</v>
      </c>
      <c r="AE678">
        <v>95</v>
      </c>
      <c r="AF678">
        <v>480</v>
      </c>
      <c r="AG678">
        <v>0</v>
      </c>
      <c r="AH678">
        <v>2</v>
      </c>
      <c r="AI678">
        <v>0</v>
      </c>
      <c r="AJ678">
        <v>0</v>
      </c>
      <c r="AK678">
        <v>0</v>
      </c>
      <c r="AL678">
        <v>0</v>
      </c>
    </row>
    <row r="679" spans="1:38" x14ac:dyDescent="0.25">
      <c r="A679" t="s">
        <v>1622</v>
      </c>
      <c r="B679" t="s">
        <v>1630</v>
      </c>
      <c r="C679" s="1">
        <v>555</v>
      </c>
      <c r="D679" s="1" t="s">
        <v>1629</v>
      </c>
      <c r="E679">
        <v>8</v>
      </c>
      <c r="F679">
        <v>1.7</v>
      </c>
      <c r="G679">
        <v>120</v>
      </c>
      <c r="H679" t="s">
        <v>170</v>
      </c>
      <c r="I679" t="s">
        <v>57</v>
      </c>
      <c r="J679" t="s">
        <v>1628</v>
      </c>
      <c r="L679" t="s">
        <v>1623</v>
      </c>
      <c r="M679" t="s">
        <v>100</v>
      </c>
      <c r="N679">
        <v>50</v>
      </c>
      <c r="O679">
        <v>50</v>
      </c>
      <c r="P679">
        <v>0</v>
      </c>
      <c r="Q679">
        <v>20</v>
      </c>
      <c r="R679" t="s">
        <v>132</v>
      </c>
      <c r="T679">
        <v>60</v>
      </c>
      <c r="U679">
        <v>189</v>
      </c>
      <c r="V679">
        <v>1059860</v>
      </c>
      <c r="W679" t="s">
        <v>46</v>
      </c>
      <c r="Y679" t="s">
        <v>264</v>
      </c>
      <c r="Z679">
        <v>105</v>
      </c>
      <c r="AA679">
        <v>160</v>
      </c>
      <c r="AB679">
        <v>55</v>
      </c>
      <c r="AC679">
        <v>30</v>
      </c>
      <c r="AD679">
        <v>55</v>
      </c>
      <c r="AE679">
        <v>135</v>
      </c>
      <c r="AF679">
        <v>540</v>
      </c>
      <c r="AG679">
        <v>0</v>
      </c>
      <c r="AH679">
        <v>0</v>
      </c>
      <c r="AI679">
        <v>0</v>
      </c>
      <c r="AJ679">
        <v>2</v>
      </c>
      <c r="AK679">
        <v>0</v>
      </c>
      <c r="AL679">
        <v>0</v>
      </c>
    </row>
    <row r="680" spans="1:38" x14ac:dyDescent="0.25">
      <c r="A680" t="s">
        <v>1632</v>
      </c>
      <c r="B680" t="s">
        <v>1632</v>
      </c>
      <c r="C680" s="1">
        <v>556</v>
      </c>
      <c r="D680" s="1" t="s">
        <v>1631</v>
      </c>
      <c r="E680">
        <v>5</v>
      </c>
      <c r="F680">
        <v>1</v>
      </c>
      <c r="G680">
        <v>28</v>
      </c>
      <c r="H680" t="s">
        <v>40</v>
      </c>
      <c r="J680" t="s">
        <v>299</v>
      </c>
      <c r="K680" t="s">
        <v>43</v>
      </c>
      <c r="L680" t="s">
        <v>1092</v>
      </c>
      <c r="M680" t="s">
        <v>44</v>
      </c>
      <c r="N680">
        <v>50</v>
      </c>
      <c r="O680">
        <v>50</v>
      </c>
      <c r="P680">
        <v>0</v>
      </c>
      <c r="Q680">
        <v>20</v>
      </c>
      <c r="R680" t="s">
        <v>40</v>
      </c>
      <c r="T680">
        <v>255</v>
      </c>
      <c r="U680">
        <v>161</v>
      </c>
      <c r="V680">
        <v>1000000</v>
      </c>
      <c r="W680" t="s">
        <v>46</v>
      </c>
      <c r="Z680">
        <v>75</v>
      </c>
      <c r="AA680">
        <v>86</v>
      </c>
      <c r="AB680">
        <v>67</v>
      </c>
      <c r="AC680">
        <v>106</v>
      </c>
      <c r="AD680">
        <v>67</v>
      </c>
      <c r="AE680">
        <v>60</v>
      </c>
      <c r="AF680">
        <v>461</v>
      </c>
      <c r="AG680">
        <v>0</v>
      </c>
      <c r="AH680">
        <v>0</v>
      </c>
      <c r="AI680">
        <v>0</v>
      </c>
      <c r="AJ680">
        <v>2</v>
      </c>
      <c r="AK680">
        <v>0</v>
      </c>
      <c r="AL680">
        <v>0</v>
      </c>
    </row>
    <row r="681" spans="1:38" x14ac:dyDescent="0.25">
      <c r="A681" t="s">
        <v>1634</v>
      </c>
      <c r="B681" t="s">
        <v>1634</v>
      </c>
      <c r="C681" s="1">
        <v>557</v>
      </c>
      <c r="D681" s="1" t="s">
        <v>1633</v>
      </c>
      <c r="E681">
        <v>5</v>
      </c>
      <c r="F681">
        <v>0.3</v>
      </c>
      <c r="G681">
        <v>14.5</v>
      </c>
      <c r="H681" t="s">
        <v>90</v>
      </c>
      <c r="I681" t="s">
        <v>290</v>
      </c>
      <c r="J681" t="s">
        <v>338</v>
      </c>
      <c r="K681" t="s">
        <v>377</v>
      </c>
      <c r="L681" t="s">
        <v>431</v>
      </c>
      <c r="M681" t="s">
        <v>60</v>
      </c>
      <c r="N681">
        <v>50</v>
      </c>
      <c r="O681">
        <v>50</v>
      </c>
      <c r="P681">
        <v>0</v>
      </c>
      <c r="Q681">
        <v>20</v>
      </c>
      <c r="R681" t="s">
        <v>90</v>
      </c>
      <c r="S681" t="s">
        <v>339</v>
      </c>
      <c r="T681">
        <v>190</v>
      </c>
      <c r="U681">
        <v>65</v>
      </c>
      <c r="V681">
        <v>1000000</v>
      </c>
      <c r="W681" t="s">
        <v>46</v>
      </c>
      <c r="Z681">
        <v>50</v>
      </c>
      <c r="AA681">
        <v>65</v>
      </c>
      <c r="AB681">
        <v>85</v>
      </c>
      <c r="AC681">
        <v>35</v>
      </c>
      <c r="AD681">
        <v>35</v>
      </c>
      <c r="AE681">
        <v>55</v>
      </c>
      <c r="AF681">
        <v>325</v>
      </c>
      <c r="AG681">
        <v>0</v>
      </c>
      <c r="AH681">
        <v>0</v>
      </c>
      <c r="AI681">
        <v>1</v>
      </c>
      <c r="AJ681">
        <v>0</v>
      </c>
      <c r="AK681">
        <v>0</v>
      </c>
      <c r="AL681">
        <v>0</v>
      </c>
    </row>
    <row r="682" spans="1:38" x14ac:dyDescent="0.25">
      <c r="A682" t="s">
        <v>1636</v>
      </c>
      <c r="B682" t="s">
        <v>1636</v>
      </c>
      <c r="C682" s="1">
        <v>558</v>
      </c>
      <c r="D682" s="1" t="s">
        <v>1635</v>
      </c>
      <c r="E682">
        <v>5</v>
      </c>
      <c r="F682">
        <v>1.4</v>
      </c>
      <c r="G682">
        <v>200</v>
      </c>
      <c r="H682" t="s">
        <v>90</v>
      </c>
      <c r="I682" t="s">
        <v>290</v>
      </c>
      <c r="J682" t="s">
        <v>338</v>
      </c>
      <c r="K682" t="s">
        <v>377</v>
      </c>
      <c r="L682" t="s">
        <v>431</v>
      </c>
      <c r="M682" t="s">
        <v>60</v>
      </c>
      <c r="N682">
        <v>50</v>
      </c>
      <c r="O682">
        <v>50</v>
      </c>
      <c r="P682">
        <v>0</v>
      </c>
      <c r="Q682">
        <v>20</v>
      </c>
      <c r="R682" t="s">
        <v>90</v>
      </c>
      <c r="S682" t="s">
        <v>339</v>
      </c>
      <c r="T682">
        <v>75</v>
      </c>
      <c r="U682">
        <v>170</v>
      </c>
      <c r="V682">
        <v>1000000</v>
      </c>
      <c r="W682" t="s">
        <v>46</v>
      </c>
      <c r="Z682">
        <v>70</v>
      </c>
      <c r="AA682">
        <v>105</v>
      </c>
      <c r="AB682">
        <v>125</v>
      </c>
      <c r="AC682">
        <v>65</v>
      </c>
      <c r="AD682">
        <v>75</v>
      </c>
      <c r="AE682">
        <v>45</v>
      </c>
      <c r="AF682">
        <v>485</v>
      </c>
      <c r="AG682">
        <v>0</v>
      </c>
      <c r="AH682">
        <v>0</v>
      </c>
      <c r="AI682">
        <v>2</v>
      </c>
      <c r="AJ682">
        <v>0</v>
      </c>
      <c r="AK682">
        <v>0</v>
      </c>
      <c r="AL682">
        <v>0</v>
      </c>
    </row>
    <row r="683" spans="1:38" x14ac:dyDescent="0.25">
      <c r="A683" t="s">
        <v>1638</v>
      </c>
      <c r="B683" t="s">
        <v>1638</v>
      </c>
      <c r="C683" s="1">
        <v>559</v>
      </c>
      <c r="D683" s="1" t="s">
        <v>1637</v>
      </c>
      <c r="E683">
        <v>5</v>
      </c>
      <c r="F683">
        <v>0.6</v>
      </c>
      <c r="G683">
        <v>11.8</v>
      </c>
      <c r="H683" t="s">
        <v>135</v>
      </c>
      <c r="I683" t="s">
        <v>279</v>
      </c>
      <c r="J683" t="s">
        <v>95</v>
      </c>
      <c r="K683" t="s">
        <v>533</v>
      </c>
      <c r="L683" t="s">
        <v>148</v>
      </c>
      <c r="M683" t="s">
        <v>106</v>
      </c>
      <c r="N683">
        <v>50</v>
      </c>
      <c r="O683">
        <v>50</v>
      </c>
      <c r="P683">
        <v>0</v>
      </c>
      <c r="Q683">
        <v>15</v>
      </c>
      <c r="R683" t="s">
        <v>132</v>
      </c>
      <c r="S683" t="s">
        <v>61</v>
      </c>
      <c r="T683">
        <v>180</v>
      </c>
      <c r="U683">
        <v>70</v>
      </c>
      <c r="V683">
        <v>1000000</v>
      </c>
      <c r="W683" t="s">
        <v>46</v>
      </c>
      <c r="Z683">
        <v>50</v>
      </c>
      <c r="AA683">
        <v>75</v>
      </c>
      <c r="AB683">
        <v>70</v>
      </c>
      <c r="AC683">
        <v>35</v>
      </c>
      <c r="AD683">
        <v>70</v>
      </c>
      <c r="AE683">
        <v>48</v>
      </c>
      <c r="AF683">
        <v>348</v>
      </c>
      <c r="AG683">
        <v>0</v>
      </c>
      <c r="AH683">
        <v>1</v>
      </c>
      <c r="AI683">
        <v>0</v>
      </c>
      <c r="AJ683">
        <v>0</v>
      </c>
      <c r="AK683">
        <v>0</v>
      </c>
      <c r="AL683">
        <v>0</v>
      </c>
    </row>
    <row r="684" spans="1:38" x14ac:dyDescent="0.25">
      <c r="A684" t="s">
        <v>1640</v>
      </c>
      <c r="B684" t="s">
        <v>1640</v>
      </c>
      <c r="C684" s="1">
        <v>560</v>
      </c>
      <c r="D684" s="1" t="s">
        <v>1639</v>
      </c>
      <c r="E684">
        <v>5</v>
      </c>
      <c r="F684">
        <v>1.1000000000000001</v>
      </c>
      <c r="G684">
        <v>30</v>
      </c>
      <c r="H684" t="s">
        <v>135</v>
      </c>
      <c r="I684" t="s">
        <v>279</v>
      </c>
      <c r="J684" t="s">
        <v>95</v>
      </c>
      <c r="K684" t="s">
        <v>533</v>
      </c>
      <c r="L684" t="s">
        <v>148</v>
      </c>
      <c r="M684" t="s">
        <v>60</v>
      </c>
      <c r="N684">
        <v>50</v>
      </c>
      <c r="O684">
        <v>50</v>
      </c>
      <c r="P684">
        <v>0</v>
      </c>
      <c r="Q684">
        <v>15</v>
      </c>
      <c r="R684" t="s">
        <v>132</v>
      </c>
      <c r="S684" t="s">
        <v>61</v>
      </c>
      <c r="T684">
        <v>90</v>
      </c>
      <c r="U684">
        <v>171</v>
      </c>
      <c r="V684">
        <v>1000000</v>
      </c>
      <c r="W684" t="s">
        <v>46</v>
      </c>
      <c r="Z684">
        <v>65</v>
      </c>
      <c r="AA684">
        <v>90</v>
      </c>
      <c r="AB684">
        <v>115</v>
      </c>
      <c r="AC684">
        <v>45</v>
      </c>
      <c r="AD684">
        <v>115</v>
      </c>
      <c r="AE684">
        <v>58</v>
      </c>
      <c r="AF684">
        <v>488</v>
      </c>
      <c r="AG684">
        <v>0</v>
      </c>
      <c r="AH684">
        <v>0</v>
      </c>
      <c r="AI684">
        <v>1</v>
      </c>
      <c r="AJ684">
        <v>0</v>
      </c>
      <c r="AK684">
        <v>1</v>
      </c>
      <c r="AL684">
        <v>0</v>
      </c>
    </row>
    <row r="685" spans="1:38" x14ac:dyDescent="0.25">
      <c r="A685" t="s">
        <v>1642</v>
      </c>
      <c r="B685" t="s">
        <v>1642</v>
      </c>
      <c r="C685" s="1">
        <v>561</v>
      </c>
      <c r="D685" s="1" t="s">
        <v>1641</v>
      </c>
      <c r="E685">
        <v>5</v>
      </c>
      <c r="F685">
        <v>1.4</v>
      </c>
      <c r="G685">
        <v>14</v>
      </c>
      <c r="H685" t="s">
        <v>162</v>
      </c>
      <c r="I685" t="s">
        <v>66</v>
      </c>
      <c r="J685" t="s">
        <v>243</v>
      </c>
      <c r="K685" t="s">
        <v>197</v>
      </c>
      <c r="L685" t="s">
        <v>99</v>
      </c>
      <c r="M685" t="s">
        <v>70</v>
      </c>
      <c r="N685">
        <v>50</v>
      </c>
      <c r="O685">
        <v>50</v>
      </c>
      <c r="P685">
        <v>0</v>
      </c>
      <c r="Q685">
        <v>20</v>
      </c>
      <c r="R685" t="s">
        <v>66</v>
      </c>
      <c r="T685">
        <v>45</v>
      </c>
      <c r="U685">
        <v>172</v>
      </c>
      <c r="V685">
        <v>1000000</v>
      </c>
      <c r="W685" t="s">
        <v>46</v>
      </c>
      <c r="Z685">
        <v>72</v>
      </c>
      <c r="AA685">
        <v>58</v>
      </c>
      <c r="AB685">
        <v>80</v>
      </c>
      <c r="AC685">
        <v>103</v>
      </c>
      <c r="AD685">
        <v>80</v>
      </c>
      <c r="AE685">
        <v>97</v>
      </c>
      <c r="AF685">
        <v>490</v>
      </c>
      <c r="AG685">
        <v>0</v>
      </c>
      <c r="AH685">
        <v>0</v>
      </c>
      <c r="AI685">
        <v>0</v>
      </c>
      <c r="AJ685">
        <v>2</v>
      </c>
      <c r="AK685">
        <v>0</v>
      </c>
      <c r="AL685">
        <v>0</v>
      </c>
    </row>
    <row r="686" spans="1:38" x14ac:dyDescent="0.25">
      <c r="A686" t="s">
        <v>1644</v>
      </c>
      <c r="B686" t="s">
        <v>1644</v>
      </c>
      <c r="C686" s="1">
        <v>562</v>
      </c>
      <c r="D686" s="1" t="s">
        <v>1643</v>
      </c>
      <c r="E686">
        <v>5</v>
      </c>
      <c r="F686">
        <v>0.5</v>
      </c>
      <c r="G686">
        <v>1.5</v>
      </c>
      <c r="H686" t="s">
        <v>419</v>
      </c>
      <c r="J686" t="s">
        <v>1645</v>
      </c>
      <c r="M686" t="s">
        <v>70</v>
      </c>
      <c r="N686">
        <v>50</v>
      </c>
      <c r="O686">
        <v>50</v>
      </c>
      <c r="P686">
        <v>0</v>
      </c>
      <c r="Q686">
        <v>25</v>
      </c>
      <c r="R686" t="s">
        <v>339</v>
      </c>
      <c r="S686" t="s">
        <v>403</v>
      </c>
      <c r="T686">
        <v>190</v>
      </c>
      <c r="U686">
        <v>61</v>
      </c>
      <c r="V686">
        <v>1000000</v>
      </c>
      <c r="W686" t="s">
        <v>46</v>
      </c>
      <c r="Z686">
        <v>38</v>
      </c>
      <c r="AA686">
        <v>30</v>
      </c>
      <c r="AB686">
        <v>85</v>
      </c>
      <c r="AC686">
        <v>55</v>
      </c>
      <c r="AD686">
        <v>65</v>
      </c>
      <c r="AE686">
        <v>30</v>
      </c>
      <c r="AF686">
        <v>303</v>
      </c>
      <c r="AG686">
        <v>0</v>
      </c>
      <c r="AH686">
        <v>0</v>
      </c>
      <c r="AI686">
        <v>1</v>
      </c>
      <c r="AJ686">
        <v>0</v>
      </c>
      <c r="AK686">
        <v>0</v>
      </c>
      <c r="AL686">
        <v>0</v>
      </c>
    </row>
    <row r="687" spans="1:38" x14ac:dyDescent="0.25">
      <c r="A687" t="s">
        <v>1644</v>
      </c>
      <c r="B687" t="s">
        <v>1647</v>
      </c>
      <c r="C687" s="1">
        <v>562</v>
      </c>
      <c r="D687" s="1" t="s">
        <v>1646</v>
      </c>
      <c r="E687">
        <v>8</v>
      </c>
      <c r="F687">
        <v>0.5</v>
      </c>
      <c r="G687">
        <v>1.5</v>
      </c>
      <c r="H687" t="s">
        <v>132</v>
      </c>
      <c r="I687" t="s">
        <v>419</v>
      </c>
      <c r="J687" t="s">
        <v>1648</v>
      </c>
      <c r="M687" t="s">
        <v>70</v>
      </c>
      <c r="N687">
        <v>50</v>
      </c>
      <c r="O687">
        <v>50</v>
      </c>
      <c r="P687">
        <v>0</v>
      </c>
      <c r="Q687">
        <v>25</v>
      </c>
      <c r="R687" t="s">
        <v>339</v>
      </c>
      <c r="S687" t="s">
        <v>403</v>
      </c>
      <c r="T687">
        <v>190</v>
      </c>
      <c r="U687">
        <v>61</v>
      </c>
      <c r="V687">
        <v>1000000</v>
      </c>
      <c r="W687" t="s">
        <v>46</v>
      </c>
      <c r="Y687" t="s">
        <v>264</v>
      </c>
      <c r="Z687">
        <v>38</v>
      </c>
      <c r="AA687">
        <v>55</v>
      </c>
      <c r="AB687">
        <v>85</v>
      </c>
      <c r="AC687">
        <v>30</v>
      </c>
      <c r="AD687">
        <v>65</v>
      </c>
      <c r="AE687">
        <v>30</v>
      </c>
      <c r="AF687">
        <v>303</v>
      </c>
      <c r="AG687">
        <v>0</v>
      </c>
      <c r="AH687">
        <v>0</v>
      </c>
      <c r="AI687">
        <v>1</v>
      </c>
      <c r="AJ687">
        <v>0</v>
      </c>
      <c r="AK687">
        <v>0</v>
      </c>
      <c r="AL687">
        <v>0</v>
      </c>
    </row>
    <row r="688" spans="1:38" x14ac:dyDescent="0.25">
      <c r="A688" t="s">
        <v>1650</v>
      </c>
      <c r="B688" t="s">
        <v>1650</v>
      </c>
      <c r="C688" s="1">
        <v>563</v>
      </c>
      <c r="D688" s="1" t="s">
        <v>1649</v>
      </c>
      <c r="E688">
        <v>5</v>
      </c>
      <c r="F688">
        <v>1.7</v>
      </c>
      <c r="G688">
        <v>76.5</v>
      </c>
      <c r="H688" t="s">
        <v>419</v>
      </c>
      <c r="J688" t="s">
        <v>1645</v>
      </c>
      <c r="M688" t="s">
        <v>106</v>
      </c>
      <c r="N688">
        <v>50</v>
      </c>
      <c r="O688">
        <v>50</v>
      </c>
      <c r="P688">
        <v>0</v>
      </c>
      <c r="Q688">
        <v>25</v>
      </c>
      <c r="R688" t="s">
        <v>339</v>
      </c>
      <c r="S688" t="s">
        <v>403</v>
      </c>
      <c r="T688">
        <v>90</v>
      </c>
      <c r="U688">
        <v>169</v>
      </c>
      <c r="V688">
        <v>1000000</v>
      </c>
      <c r="W688" t="s">
        <v>46</v>
      </c>
      <c r="Z688">
        <v>58</v>
      </c>
      <c r="AA688">
        <v>50</v>
      </c>
      <c r="AB688">
        <v>145</v>
      </c>
      <c r="AC688">
        <v>95</v>
      </c>
      <c r="AD688">
        <v>105</v>
      </c>
      <c r="AE688">
        <v>30</v>
      </c>
      <c r="AF688">
        <v>483</v>
      </c>
      <c r="AG688">
        <v>0</v>
      </c>
      <c r="AH688">
        <v>0</v>
      </c>
      <c r="AI688">
        <v>2</v>
      </c>
      <c r="AJ688">
        <v>0</v>
      </c>
      <c r="AK688">
        <v>0</v>
      </c>
      <c r="AL688">
        <v>0</v>
      </c>
    </row>
    <row r="689" spans="1:38" x14ac:dyDescent="0.25">
      <c r="A689" t="s">
        <v>1652</v>
      </c>
      <c r="B689" t="s">
        <v>1652</v>
      </c>
      <c r="C689" s="1">
        <v>564</v>
      </c>
      <c r="D689" s="1" t="s">
        <v>1651</v>
      </c>
      <c r="E689">
        <v>5</v>
      </c>
      <c r="F689">
        <v>0.7</v>
      </c>
      <c r="G689">
        <v>16.5</v>
      </c>
      <c r="H689" t="s">
        <v>76</v>
      </c>
      <c r="I689" t="s">
        <v>290</v>
      </c>
      <c r="J689" t="s">
        <v>1041</v>
      </c>
      <c r="K689" t="s">
        <v>338</v>
      </c>
      <c r="L689" t="s">
        <v>274</v>
      </c>
      <c r="M689" t="s">
        <v>79</v>
      </c>
      <c r="N689">
        <v>87.5</v>
      </c>
      <c r="O689">
        <v>12.5</v>
      </c>
      <c r="P689">
        <v>0</v>
      </c>
      <c r="Q689">
        <v>30</v>
      </c>
      <c r="R689" t="s">
        <v>80</v>
      </c>
      <c r="S689" t="s">
        <v>333</v>
      </c>
      <c r="T689">
        <v>45</v>
      </c>
      <c r="U689">
        <v>71</v>
      </c>
      <c r="V689">
        <v>1000000</v>
      </c>
      <c r="W689" t="s">
        <v>46</v>
      </c>
      <c r="Z689">
        <v>54</v>
      </c>
      <c r="AA689">
        <v>78</v>
      </c>
      <c r="AB689">
        <v>103</v>
      </c>
      <c r="AC689">
        <v>53</v>
      </c>
      <c r="AD689">
        <v>45</v>
      </c>
      <c r="AE689">
        <v>22</v>
      </c>
      <c r="AF689">
        <v>355</v>
      </c>
      <c r="AG689">
        <v>0</v>
      </c>
      <c r="AH689">
        <v>0</v>
      </c>
      <c r="AI689">
        <v>1</v>
      </c>
      <c r="AJ689">
        <v>0</v>
      </c>
      <c r="AK689">
        <v>0</v>
      </c>
      <c r="AL689">
        <v>0</v>
      </c>
    </row>
    <row r="690" spans="1:38" x14ac:dyDescent="0.25">
      <c r="A690" t="s">
        <v>1654</v>
      </c>
      <c r="B690" t="s">
        <v>1654</v>
      </c>
      <c r="C690" s="1">
        <v>565</v>
      </c>
      <c r="D690" s="1" t="s">
        <v>1653</v>
      </c>
      <c r="E690">
        <v>5</v>
      </c>
      <c r="F690">
        <v>1.2</v>
      </c>
      <c r="G690">
        <v>81</v>
      </c>
      <c r="H690" t="s">
        <v>76</v>
      </c>
      <c r="I690" t="s">
        <v>290</v>
      </c>
      <c r="J690" t="s">
        <v>1041</v>
      </c>
      <c r="K690" t="s">
        <v>338</v>
      </c>
      <c r="L690" t="s">
        <v>274</v>
      </c>
      <c r="M690" t="s">
        <v>79</v>
      </c>
      <c r="N690">
        <v>87.5</v>
      </c>
      <c r="O690">
        <v>12.5</v>
      </c>
      <c r="P690">
        <v>0</v>
      </c>
      <c r="Q690">
        <v>30</v>
      </c>
      <c r="R690" t="s">
        <v>80</v>
      </c>
      <c r="S690" t="s">
        <v>333</v>
      </c>
      <c r="T690">
        <v>45</v>
      </c>
      <c r="U690">
        <v>173</v>
      </c>
      <c r="V690">
        <v>1000000</v>
      </c>
      <c r="W690" t="s">
        <v>46</v>
      </c>
      <c r="Z690">
        <v>74</v>
      </c>
      <c r="AA690">
        <v>108</v>
      </c>
      <c r="AB690">
        <v>133</v>
      </c>
      <c r="AC690">
        <v>83</v>
      </c>
      <c r="AD690">
        <v>65</v>
      </c>
      <c r="AE690">
        <v>32</v>
      </c>
      <c r="AF690">
        <v>495</v>
      </c>
      <c r="AG690">
        <v>0</v>
      </c>
      <c r="AH690">
        <v>0</v>
      </c>
      <c r="AI690">
        <v>2</v>
      </c>
      <c r="AJ690">
        <v>0</v>
      </c>
      <c r="AK690">
        <v>0</v>
      </c>
      <c r="AL690">
        <v>0</v>
      </c>
    </row>
    <row r="691" spans="1:38" x14ac:dyDescent="0.25">
      <c r="A691" t="s">
        <v>1656</v>
      </c>
      <c r="B691" t="s">
        <v>1656</v>
      </c>
      <c r="C691" s="1">
        <v>566</v>
      </c>
      <c r="D691" s="1" t="s">
        <v>1655</v>
      </c>
      <c r="E691">
        <v>5</v>
      </c>
      <c r="F691">
        <v>0.5</v>
      </c>
      <c r="G691">
        <v>9.5</v>
      </c>
      <c r="H691" t="s">
        <v>290</v>
      </c>
      <c r="I691" t="s">
        <v>66</v>
      </c>
      <c r="J691" t="s">
        <v>1657</v>
      </c>
      <c r="M691" t="s">
        <v>106</v>
      </c>
      <c r="N691">
        <v>87.5</v>
      </c>
      <c r="O691">
        <v>12.5</v>
      </c>
      <c r="P691">
        <v>0</v>
      </c>
      <c r="Q691">
        <v>30</v>
      </c>
      <c r="R691" t="s">
        <v>66</v>
      </c>
      <c r="S691" t="s">
        <v>333</v>
      </c>
      <c r="T691">
        <v>45</v>
      </c>
      <c r="U691">
        <v>71</v>
      </c>
      <c r="V691">
        <v>1000000</v>
      </c>
      <c r="W691" t="s">
        <v>46</v>
      </c>
      <c r="Z691">
        <v>55</v>
      </c>
      <c r="AA691">
        <v>112</v>
      </c>
      <c r="AB691">
        <v>45</v>
      </c>
      <c r="AC691">
        <v>74</v>
      </c>
      <c r="AD691">
        <v>45</v>
      </c>
      <c r="AE691">
        <v>70</v>
      </c>
      <c r="AF691">
        <v>401</v>
      </c>
      <c r="AG691">
        <v>0</v>
      </c>
      <c r="AH691">
        <v>1</v>
      </c>
      <c r="AI691">
        <v>0</v>
      </c>
      <c r="AJ691">
        <v>0</v>
      </c>
      <c r="AK691">
        <v>0</v>
      </c>
      <c r="AL691">
        <v>0</v>
      </c>
    </row>
    <row r="692" spans="1:38" x14ac:dyDescent="0.25">
      <c r="A692" t="s">
        <v>1659</v>
      </c>
      <c r="B692" t="s">
        <v>1659</v>
      </c>
      <c r="C692" s="1">
        <v>567</v>
      </c>
      <c r="D692" s="1" t="s">
        <v>1658</v>
      </c>
      <c r="E692">
        <v>5</v>
      </c>
      <c r="F692">
        <v>1.4</v>
      </c>
      <c r="G692">
        <v>32</v>
      </c>
      <c r="H692" t="s">
        <v>290</v>
      </c>
      <c r="I692" t="s">
        <v>66</v>
      </c>
      <c r="J692" t="s">
        <v>1657</v>
      </c>
      <c r="M692" t="s">
        <v>106</v>
      </c>
      <c r="N692">
        <v>87.5</v>
      </c>
      <c r="O692">
        <v>12.5</v>
      </c>
      <c r="P692">
        <v>0</v>
      </c>
      <c r="Q692">
        <v>30</v>
      </c>
      <c r="R692" t="s">
        <v>66</v>
      </c>
      <c r="S692" t="s">
        <v>333</v>
      </c>
      <c r="T692">
        <v>45</v>
      </c>
      <c r="U692">
        <v>177</v>
      </c>
      <c r="V692">
        <v>1000000</v>
      </c>
      <c r="W692" t="s">
        <v>46</v>
      </c>
      <c r="Z692">
        <v>75</v>
      </c>
      <c r="AA692">
        <v>140</v>
      </c>
      <c r="AB692">
        <v>65</v>
      </c>
      <c r="AC692">
        <v>112</v>
      </c>
      <c r="AD692">
        <v>65</v>
      </c>
      <c r="AE692">
        <v>110</v>
      </c>
      <c r="AF692">
        <v>567</v>
      </c>
      <c r="AG692">
        <v>0</v>
      </c>
      <c r="AH692">
        <v>2</v>
      </c>
      <c r="AI692">
        <v>0</v>
      </c>
      <c r="AJ692">
        <v>0</v>
      </c>
      <c r="AK692">
        <v>0</v>
      </c>
      <c r="AL692">
        <v>0</v>
      </c>
    </row>
    <row r="693" spans="1:38" x14ac:dyDescent="0.25">
      <c r="A693" t="s">
        <v>1661</v>
      </c>
      <c r="B693" t="s">
        <v>1661</v>
      </c>
      <c r="C693" s="1">
        <v>568</v>
      </c>
      <c r="D693" s="1" t="s">
        <v>1660</v>
      </c>
      <c r="E693">
        <v>5</v>
      </c>
      <c r="F693">
        <v>0.6</v>
      </c>
      <c r="G693">
        <v>31</v>
      </c>
      <c r="H693" t="s">
        <v>41</v>
      </c>
      <c r="J693" t="s">
        <v>229</v>
      </c>
      <c r="K693" t="s">
        <v>401</v>
      </c>
      <c r="L693" t="s">
        <v>446</v>
      </c>
      <c r="M693" t="s">
        <v>44</v>
      </c>
      <c r="N693">
        <v>50</v>
      </c>
      <c r="O693">
        <v>50</v>
      </c>
      <c r="P693">
        <v>0</v>
      </c>
      <c r="Q693">
        <v>20</v>
      </c>
      <c r="R693" t="s">
        <v>339</v>
      </c>
      <c r="T693">
        <v>190</v>
      </c>
      <c r="U693">
        <v>66</v>
      </c>
      <c r="V693">
        <v>1000000</v>
      </c>
      <c r="W693" t="s">
        <v>46</v>
      </c>
      <c r="Z693">
        <v>50</v>
      </c>
      <c r="AA693">
        <v>50</v>
      </c>
      <c r="AB693">
        <v>62</v>
      </c>
      <c r="AC693">
        <v>40</v>
      </c>
      <c r="AD693">
        <v>62</v>
      </c>
      <c r="AE693">
        <v>65</v>
      </c>
      <c r="AF693">
        <v>329</v>
      </c>
      <c r="AG693">
        <v>0</v>
      </c>
      <c r="AH693">
        <v>0</v>
      </c>
      <c r="AI693">
        <v>0</v>
      </c>
      <c r="AJ693">
        <v>0</v>
      </c>
      <c r="AK693">
        <v>0</v>
      </c>
      <c r="AL693">
        <v>1</v>
      </c>
    </row>
    <row r="694" spans="1:38" x14ac:dyDescent="0.25">
      <c r="A694" t="s">
        <v>1663</v>
      </c>
      <c r="B694" t="s">
        <v>1663</v>
      </c>
      <c r="C694" s="1">
        <v>569</v>
      </c>
      <c r="D694" s="1" t="s">
        <v>1662</v>
      </c>
      <c r="E694">
        <v>5</v>
      </c>
      <c r="F694">
        <v>1.9</v>
      </c>
      <c r="G694">
        <v>107.3</v>
      </c>
      <c r="H694" t="s">
        <v>41</v>
      </c>
      <c r="J694" t="s">
        <v>229</v>
      </c>
      <c r="K694" t="s">
        <v>431</v>
      </c>
      <c r="L694" t="s">
        <v>446</v>
      </c>
      <c r="M694" t="s">
        <v>44</v>
      </c>
      <c r="N694">
        <v>50</v>
      </c>
      <c r="O694">
        <v>50</v>
      </c>
      <c r="P694">
        <v>0</v>
      </c>
      <c r="Q694">
        <v>20</v>
      </c>
      <c r="R694" t="s">
        <v>339</v>
      </c>
      <c r="T694">
        <v>60</v>
      </c>
      <c r="U694">
        <v>166</v>
      </c>
      <c r="V694">
        <v>1000000</v>
      </c>
      <c r="W694" t="s">
        <v>46</v>
      </c>
      <c r="Z694">
        <v>80</v>
      </c>
      <c r="AA694">
        <v>95</v>
      </c>
      <c r="AB694">
        <v>82</v>
      </c>
      <c r="AC694">
        <v>60</v>
      </c>
      <c r="AD694">
        <v>82</v>
      </c>
      <c r="AE694">
        <v>75</v>
      </c>
      <c r="AF694">
        <v>474</v>
      </c>
      <c r="AG694">
        <v>0</v>
      </c>
      <c r="AH694">
        <v>2</v>
      </c>
      <c r="AI694">
        <v>0</v>
      </c>
      <c r="AJ694">
        <v>0</v>
      </c>
      <c r="AK694">
        <v>0</v>
      </c>
      <c r="AL694">
        <v>0</v>
      </c>
    </row>
    <row r="695" spans="1:38" x14ac:dyDescent="0.25">
      <c r="A695" t="s">
        <v>1665</v>
      </c>
      <c r="B695" t="s">
        <v>1665</v>
      </c>
      <c r="C695" s="1">
        <v>570</v>
      </c>
      <c r="D695" s="1" t="s">
        <v>1664</v>
      </c>
      <c r="E695">
        <v>5</v>
      </c>
      <c r="F695">
        <v>0.7</v>
      </c>
      <c r="G695">
        <v>12.5</v>
      </c>
      <c r="H695" t="s">
        <v>135</v>
      </c>
      <c r="J695" t="s">
        <v>1666</v>
      </c>
      <c r="M695" t="s">
        <v>318</v>
      </c>
      <c r="N695">
        <v>87.5</v>
      </c>
      <c r="O695">
        <v>12.5</v>
      </c>
      <c r="P695">
        <v>0</v>
      </c>
      <c r="Q695">
        <v>25</v>
      </c>
      <c r="R695" t="s">
        <v>132</v>
      </c>
      <c r="T695">
        <v>75</v>
      </c>
      <c r="U695">
        <v>66</v>
      </c>
      <c r="V695">
        <v>1059860</v>
      </c>
      <c r="W695" t="s">
        <v>46</v>
      </c>
      <c r="Z695">
        <v>40</v>
      </c>
      <c r="AA695">
        <v>65</v>
      </c>
      <c r="AB695">
        <v>40</v>
      </c>
      <c r="AC695">
        <v>80</v>
      </c>
      <c r="AD695">
        <v>40</v>
      </c>
      <c r="AE695">
        <v>65</v>
      </c>
      <c r="AF695">
        <v>330</v>
      </c>
      <c r="AG695">
        <v>0</v>
      </c>
      <c r="AH695">
        <v>0</v>
      </c>
      <c r="AI695">
        <v>0</v>
      </c>
      <c r="AJ695">
        <v>1</v>
      </c>
      <c r="AK695">
        <v>0</v>
      </c>
      <c r="AL695">
        <v>0</v>
      </c>
    </row>
    <row r="696" spans="1:38" x14ac:dyDescent="0.25">
      <c r="A696" t="s">
        <v>1665</v>
      </c>
      <c r="B696" t="s">
        <v>1668</v>
      </c>
      <c r="C696" s="1">
        <v>570</v>
      </c>
      <c r="D696" s="1" t="s">
        <v>1667</v>
      </c>
      <c r="E696">
        <v>8</v>
      </c>
      <c r="F696">
        <v>0.7</v>
      </c>
      <c r="G696">
        <v>12.5</v>
      </c>
      <c r="H696" t="s">
        <v>116</v>
      </c>
      <c r="I696" t="s">
        <v>419</v>
      </c>
      <c r="J696" t="s">
        <v>1666</v>
      </c>
      <c r="M696" t="s">
        <v>318</v>
      </c>
      <c r="N696">
        <v>87.5</v>
      </c>
      <c r="O696">
        <v>12.5</v>
      </c>
      <c r="P696">
        <v>0</v>
      </c>
      <c r="Q696">
        <v>25</v>
      </c>
      <c r="R696" t="s">
        <v>132</v>
      </c>
      <c r="T696">
        <v>75</v>
      </c>
      <c r="U696">
        <v>66</v>
      </c>
      <c r="V696">
        <v>1059860</v>
      </c>
      <c r="W696" t="s">
        <v>46</v>
      </c>
      <c r="Y696" t="s">
        <v>292</v>
      </c>
      <c r="Z696">
        <v>35</v>
      </c>
      <c r="AA696">
        <v>60</v>
      </c>
      <c r="AB696">
        <v>40</v>
      </c>
      <c r="AC696">
        <v>85</v>
      </c>
      <c r="AD696">
        <v>40</v>
      </c>
      <c r="AE696">
        <v>70</v>
      </c>
      <c r="AF696">
        <v>330</v>
      </c>
      <c r="AG696">
        <v>0</v>
      </c>
      <c r="AH696">
        <v>0</v>
      </c>
      <c r="AI696">
        <v>0</v>
      </c>
      <c r="AJ696">
        <v>1</v>
      </c>
      <c r="AK696">
        <v>0</v>
      </c>
      <c r="AL696">
        <v>0</v>
      </c>
    </row>
    <row r="697" spans="1:38" x14ac:dyDescent="0.25">
      <c r="A697" t="s">
        <v>1670</v>
      </c>
      <c r="B697" t="s">
        <v>1670</v>
      </c>
      <c r="C697" s="1">
        <v>571</v>
      </c>
      <c r="D697" s="1" t="s">
        <v>1669</v>
      </c>
      <c r="E697">
        <v>5</v>
      </c>
      <c r="F697">
        <v>1.6</v>
      </c>
      <c r="G697">
        <v>81.099999999999994</v>
      </c>
      <c r="H697" t="s">
        <v>135</v>
      </c>
      <c r="J697" t="s">
        <v>1666</v>
      </c>
      <c r="M697" t="s">
        <v>318</v>
      </c>
      <c r="N697">
        <v>87.5</v>
      </c>
      <c r="O697">
        <v>12.5</v>
      </c>
      <c r="P697">
        <v>0</v>
      </c>
      <c r="Q697">
        <v>20</v>
      </c>
      <c r="R697" t="s">
        <v>132</v>
      </c>
      <c r="T697">
        <v>45</v>
      </c>
      <c r="U697">
        <v>179</v>
      </c>
      <c r="V697">
        <v>1059860</v>
      </c>
      <c r="W697" t="s">
        <v>46</v>
      </c>
      <c r="Z697">
        <v>60</v>
      </c>
      <c r="AA697">
        <v>105</v>
      </c>
      <c r="AB697">
        <v>60</v>
      </c>
      <c r="AC697">
        <v>120</v>
      </c>
      <c r="AD697">
        <v>60</v>
      </c>
      <c r="AE697">
        <v>105</v>
      </c>
      <c r="AF697">
        <v>510</v>
      </c>
      <c r="AG697">
        <v>0</v>
      </c>
      <c r="AH697">
        <v>0</v>
      </c>
      <c r="AI697">
        <v>0</v>
      </c>
      <c r="AJ697">
        <v>2</v>
      </c>
      <c r="AK697">
        <v>0</v>
      </c>
      <c r="AL697">
        <v>0</v>
      </c>
    </row>
    <row r="698" spans="1:38" x14ac:dyDescent="0.25">
      <c r="A698" t="s">
        <v>1670</v>
      </c>
      <c r="B698" t="s">
        <v>1672</v>
      </c>
      <c r="C698" s="1">
        <v>571</v>
      </c>
      <c r="D698" s="1" t="s">
        <v>1671</v>
      </c>
      <c r="E698">
        <v>8</v>
      </c>
      <c r="F698">
        <v>1.6</v>
      </c>
      <c r="G698">
        <v>73</v>
      </c>
      <c r="H698" t="s">
        <v>116</v>
      </c>
      <c r="I698" t="s">
        <v>419</v>
      </c>
      <c r="J698" t="s">
        <v>1666</v>
      </c>
      <c r="M698" t="s">
        <v>318</v>
      </c>
      <c r="N698">
        <v>87.5</v>
      </c>
      <c r="O698">
        <v>12.5</v>
      </c>
      <c r="P698">
        <v>0</v>
      </c>
      <c r="Q698">
        <v>20</v>
      </c>
      <c r="R698" t="s">
        <v>132</v>
      </c>
      <c r="T698">
        <v>45</v>
      </c>
      <c r="U698">
        <v>179</v>
      </c>
      <c r="V698">
        <v>1059860</v>
      </c>
      <c r="W698" t="s">
        <v>46</v>
      </c>
      <c r="Y698" t="s">
        <v>292</v>
      </c>
      <c r="Z698">
        <v>60</v>
      </c>
      <c r="AA698">
        <v>105</v>
      </c>
      <c r="AB698">
        <v>60</v>
      </c>
      <c r="AC698">
        <v>120</v>
      </c>
      <c r="AD698">
        <v>60</v>
      </c>
      <c r="AE698">
        <v>105</v>
      </c>
      <c r="AF698">
        <v>510</v>
      </c>
      <c r="AG698">
        <v>0</v>
      </c>
      <c r="AH698">
        <v>0</v>
      </c>
      <c r="AI698">
        <v>0</v>
      </c>
      <c r="AJ698">
        <v>2</v>
      </c>
      <c r="AK698">
        <v>0</v>
      </c>
      <c r="AL698">
        <v>0</v>
      </c>
    </row>
    <row r="699" spans="1:38" x14ac:dyDescent="0.25">
      <c r="A699" t="s">
        <v>1674</v>
      </c>
      <c r="B699" t="s">
        <v>1674</v>
      </c>
      <c r="C699" s="1">
        <v>572</v>
      </c>
      <c r="D699" s="1" t="s">
        <v>1673</v>
      </c>
      <c r="E699">
        <v>5</v>
      </c>
      <c r="F699">
        <v>0.4</v>
      </c>
      <c r="G699">
        <v>5.8</v>
      </c>
      <c r="H699" t="s">
        <v>116</v>
      </c>
      <c r="J699" t="s">
        <v>196</v>
      </c>
      <c r="K699" t="s">
        <v>258</v>
      </c>
      <c r="L699" t="s">
        <v>413</v>
      </c>
      <c r="M699" t="s">
        <v>318</v>
      </c>
      <c r="N699">
        <v>25</v>
      </c>
      <c r="O699">
        <v>75</v>
      </c>
      <c r="P699">
        <v>0</v>
      </c>
      <c r="Q699">
        <v>15</v>
      </c>
      <c r="R699" t="s">
        <v>132</v>
      </c>
      <c r="T699">
        <v>255</v>
      </c>
      <c r="U699">
        <v>60</v>
      </c>
      <c r="V699">
        <v>800000</v>
      </c>
      <c r="W699" t="s">
        <v>46</v>
      </c>
      <c r="Z699">
        <v>55</v>
      </c>
      <c r="AA699">
        <v>50</v>
      </c>
      <c r="AB699">
        <v>40</v>
      </c>
      <c r="AC699">
        <v>40</v>
      </c>
      <c r="AD699">
        <v>40</v>
      </c>
      <c r="AE699">
        <v>75</v>
      </c>
      <c r="AF699">
        <v>300</v>
      </c>
      <c r="AG699">
        <v>0</v>
      </c>
      <c r="AH699">
        <v>0</v>
      </c>
      <c r="AI699">
        <v>0</v>
      </c>
      <c r="AJ699">
        <v>0</v>
      </c>
      <c r="AK699">
        <v>0</v>
      </c>
      <c r="AL699">
        <v>1</v>
      </c>
    </row>
    <row r="700" spans="1:38" x14ac:dyDescent="0.25">
      <c r="A700" t="s">
        <v>1676</v>
      </c>
      <c r="B700" t="s">
        <v>1676</v>
      </c>
      <c r="C700" s="1">
        <v>573</v>
      </c>
      <c r="D700" s="1" t="s">
        <v>1675</v>
      </c>
      <c r="E700">
        <v>5</v>
      </c>
      <c r="F700">
        <v>0.5</v>
      </c>
      <c r="G700">
        <v>7.5</v>
      </c>
      <c r="H700" t="s">
        <v>116</v>
      </c>
      <c r="J700" t="s">
        <v>196</v>
      </c>
      <c r="K700" t="s">
        <v>258</v>
      </c>
      <c r="L700" t="s">
        <v>413</v>
      </c>
      <c r="M700" t="s">
        <v>318</v>
      </c>
      <c r="N700">
        <v>25</v>
      </c>
      <c r="O700">
        <v>75</v>
      </c>
      <c r="P700">
        <v>0</v>
      </c>
      <c r="Q700">
        <v>15</v>
      </c>
      <c r="R700" t="s">
        <v>132</v>
      </c>
      <c r="T700">
        <v>60</v>
      </c>
      <c r="U700">
        <v>165</v>
      </c>
      <c r="V700">
        <v>800000</v>
      </c>
      <c r="W700" t="s">
        <v>46</v>
      </c>
      <c r="Z700">
        <v>75</v>
      </c>
      <c r="AA700">
        <v>95</v>
      </c>
      <c r="AB700">
        <v>60</v>
      </c>
      <c r="AC700">
        <v>65</v>
      </c>
      <c r="AD700">
        <v>60</v>
      </c>
      <c r="AE700">
        <v>115</v>
      </c>
      <c r="AF700">
        <v>470</v>
      </c>
      <c r="AG700">
        <v>0</v>
      </c>
      <c r="AH700">
        <v>0</v>
      </c>
      <c r="AI700">
        <v>0</v>
      </c>
      <c r="AJ700">
        <v>0</v>
      </c>
      <c r="AK700">
        <v>0</v>
      </c>
      <c r="AL700">
        <v>2</v>
      </c>
    </row>
    <row r="701" spans="1:38" x14ac:dyDescent="0.25">
      <c r="A701" t="s">
        <v>1678</v>
      </c>
      <c r="B701" t="s">
        <v>1678</v>
      </c>
      <c r="C701" s="1">
        <v>574</v>
      </c>
      <c r="D701" s="1" t="s">
        <v>1677</v>
      </c>
      <c r="E701">
        <v>5</v>
      </c>
      <c r="F701">
        <v>0.4</v>
      </c>
      <c r="G701">
        <v>5.8</v>
      </c>
      <c r="H701" t="s">
        <v>162</v>
      </c>
      <c r="J701" t="s">
        <v>218</v>
      </c>
      <c r="K701" t="s">
        <v>215</v>
      </c>
      <c r="L701" t="s">
        <v>428</v>
      </c>
      <c r="M701" t="s">
        <v>131</v>
      </c>
      <c r="N701">
        <v>25</v>
      </c>
      <c r="O701">
        <v>75</v>
      </c>
      <c r="P701">
        <v>0</v>
      </c>
      <c r="Q701">
        <v>20</v>
      </c>
      <c r="R701" t="s">
        <v>307</v>
      </c>
      <c r="T701">
        <v>200</v>
      </c>
      <c r="U701">
        <v>58</v>
      </c>
      <c r="V701">
        <v>1059860</v>
      </c>
      <c r="W701" t="s">
        <v>46</v>
      </c>
      <c r="Z701">
        <v>45</v>
      </c>
      <c r="AA701">
        <v>30</v>
      </c>
      <c r="AB701">
        <v>50</v>
      </c>
      <c r="AC701">
        <v>55</v>
      </c>
      <c r="AD701">
        <v>65</v>
      </c>
      <c r="AE701">
        <v>45</v>
      </c>
      <c r="AF701">
        <v>290</v>
      </c>
      <c r="AG701">
        <v>0</v>
      </c>
      <c r="AH701">
        <v>0</v>
      </c>
      <c r="AI701">
        <v>0</v>
      </c>
      <c r="AJ701">
        <v>0</v>
      </c>
      <c r="AK701">
        <v>1</v>
      </c>
      <c r="AL701">
        <v>0</v>
      </c>
    </row>
    <row r="702" spans="1:38" x14ac:dyDescent="0.25">
      <c r="A702" t="s">
        <v>1680</v>
      </c>
      <c r="B702" t="s">
        <v>1680</v>
      </c>
      <c r="C702" s="1">
        <v>575</v>
      </c>
      <c r="D702" s="1" t="s">
        <v>1679</v>
      </c>
      <c r="E702">
        <v>5</v>
      </c>
      <c r="F702">
        <v>0.7</v>
      </c>
      <c r="G702">
        <v>18</v>
      </c>
      <c r="H702" t="s">
        <v>162</v>
      </c>
      <c r="J702" t="s">
        <v>218</v>
      </c>
      <c r="K702" t="s">
        <v>215</v>
      </c>
      <c r="L702" t="s">
        <v>428</v>
      </c>
      <c r="M702" t="s">
        <v>131</v>
      </c>
      <c r="N702">
        <v>25</v>
      </c>
      <c r="O702">
        <v>75</v>
      </c>
      <c r="P702">
        <v>0</v>
      </c>
      <c r="Q702">
        <v>20</v>
      </c>
      <c r="R702" t="s">
        <v>307</v>
      </c>
      <c r="T702">
        <v>100</v>
      </c>
      <c r="U702">
        <v>137</v>
      </c>
      <c r="V702">
        <v>1059860</v>
      </c>
      <c r="W702" t="s">
        <v>46</v>
      </c>
      <c r="Z702">
        <v>60</v>
      </c>
      <c r="AA702">
        <v>45</v>
      </c>
      <c r="AB702">
        <v>70</v>
      </c>
      <c r="AC702">
        <v>75</v>
      </c>
      <c r="AD702">
        <v>85</v>
      </c>
      <c r="AE702">
        <v>55</v>
      </c>
      <c r="AF702">
        <v>390</v>
      </c>
      <c r="AG702">
        <v>0</v>
      </c>
      <c r="AH702">
        <v>0</v>
      </c>
      <c r="AI702">
        <v>0</v>
      </c>
      <c r="AJ702">
        <v>0</v>
      </c>
      <c r="AK702">
        <v>2</v>
      </c>
      <c r="AL702">
        <v>0</v>
      </c>
    </row>
    <row r="703" spans="1:38" x14ac:dyDescent="0.25">
      <c r="A703" t="s">
        <v>1682</v>
      </c>
      <c r="B703" t="s">
        <v>1682</v>
      </c>
      <c r="C703" s="1">
        <v>576</v>
      </c>
      <c r="D703" s="1" t="s">
        <v>1681</v>
      </c>
      <c r="E703">
        <v>5</v>
      </c>
      <c r="F703">
        <v>1.5</v>
      </c>
      <c r="G703">
        <v>44</v>
      </c>
      <c r="H703" t="s">
        <v>162</v>
      </c>
      <c r="J703" t="s">
        <v>218</v>
      </c>
      <c r="K703" t="s">
        <v>215</v>
      </c>
      <c r="L703" t="s">
        <v>428</v>
      </c>
      <c r="M703" t="s">
        <v>131</v>
      </c>
      <c r="N703">
        <v>25</v>
      </c>
      <c r="O703">
        <v>75</v>
      </c>
      <c r="P703">
        <v>0</v>
      </c>
      <c r="Q703">
        <v>20</v>
      </c>
      <c r="R703" t="s">
        <v>307</v>
      </c>
      <c r="T703">
        <v>50</v>
      </c>
      <c r="U703">
        <v>245</v>
      </c>
      <c r="V703">
        <v>1059860</v>
      </c>
      <c r="W703" t="s">
        <v>46</v>
      </c>
      <c r="Z703">
        <v>70</v>
      </c>
      <c r="AA703">
        <v>55</v>
      </c>
      <c r="AB703">
        <v>95</v>
      </c>
      <c r="AC703">
        <v>95</v>
      </c>
      <c r="AD703">
        <v>110</v>
      </c>
      <c r="AE703">
        <v>65</v>
      </c>
      <c r="AF703">
        <v>490</v>
      </c>
      <c r="AG703">
        <v>0</v>
      </c>
      <c r="AH703">
        <v>0</v>
      </c>
      <c r="AI703">
        <v>0</v>
      </c>
      <c r="AJ703">
        <v>0</v>
      </c>
      <c r="AK703">
        <v>3</v>
      </c>
      <c r="AL703">
        <v>0</v>
      </c>
    </row>
    <row r="704" spans="1:38" x14ac:dyDescent="0.25">
      <c r="A704" t="s">
        <v>1684</v>
      </c>
      <c r="B704" t="s">
        <v>1684</v>
      </c>
      <c r="C704" s="1">
        <v>577</v>
      </c>
      <c r="D704" s="1" t="s">
        <v>1683</v>
      </c>
      <c r="E704">
        <v>5</v>
      </c>
      <c r="F704">
        <v>0.3</v>
      </c>
      <c r="G704">
        <v>1</v>
      </c>
      <c r="H704" t="s">
        <v>162</v>
      </c>
      <c r="J704" t="s">
        <v>414</v>
      </c>
      <c r="K704" t="s">
        <v>197</v>
      </c>
      <c r="L704" t="s">
        <v>367</v>
      </c>
      <c r="M704" t="s">
        <v>44</v>
      </c>
      <c r="N704">
        <v>50</v>
      </c>
      <c r="O704">
        <v>50</v>
      </c>
      <c r="P704">
        <v>0</v>
      </c>
      <c r="Q704">
        <v>20</v>
      </c>
      <c r="R704" t="s">
        <v>403</v>
      </c>
      <c r="T704">
        <v>200</v>
      </c>
      <c r="U704">
        <v>58</v>
      </c>
      <c r="V704">
        <v>1059860</v>
      </c>
      <c r="W704" t="s">
        <v>46</v>
      </c>
      <c r="Z704">
        <v>45</v>
      </c>
      <c r="AA704">
        <v>30</v>
      </c>
      <c r="AB704">
        <v>40</v>
      </c>
      <c r="AC704">
        <v>105</v>
      </c>
      <c r="AD704">
        <v>50</v>
      </c>
      <c r="AE704">
        <v>20</v>
      </c>
      <c r="AF704">
        <v>290</v>
      </c>
      <c r="AG704">
        <v>0</v>
      </c>
      <c r="AH704">
        <v>0</v>
      </c>
      <c r="AI704">
        <v>0</v>
      </c>
      <c r="AJ704">
        <v>1</v>
      </c>
      <c r="AK704">
        <v>0</v>
      </c>
      <c r="AL704">
        <v>0</v>
      </c>
    </row>
    <row r="705" spans="1:38" x14ac:dyDescent="0.25">
      <c r="A705" t="s">
        <v>1686</v>
      </c>
      <c r="B705" t="s">
        <v>1686</v>
      </c>
      <c r="C705" s="1">
        <v>578</v>
      </c>
      <c r="D705" s="1" t="s">
        <v>1685</v>
      </c>
      <c r="E705">
        <v>5</v>
      </c>
      <c r="F705">
        <v>0.6</v>
      </c>
      <c r="G705">
        <v>8</v>
      </c>
      <c r="H705" t="s">
        <v>162</v>
      </c>
      <c r="J705" t="s">
        <v>414</v>
      </c>
      <c r="K705" t="s">
        <v>197</v>
      </c>
      <c r="L705" t="s">
        <v>367</v>
      </c>
      <c r="M705" t="s">
        <v>44</v>
      </c>
      <c r="N705">
        <v>50</v>
      </c>
      <c r="O705">
        <v>50</v>
      </c>
      <c r="P705">
        <v>0</v>
      </c>
      <c r="Q705">
        <v>20</v>
      </c>
      <c r="R705" t="s">
        <v>403</v>
      </c>
      <c r="T705">
        <v>100</v>
      </c>
      <c r="U705">
        <v>130</v>
      </c>
      <c r="V705">
        <v>1059860</v>
      </c>
      <c r="W705" t="s">
        <v>46</v>
      </c>
      <c r="Z705">
        <v>65</v>
      </c>
      <c r="AA705">
        <v>40</v>
      </c>
      <c r="AB705">
        <v>50</v>
      </c>
      <c r="AC705">
        <v>125</v>
      </c>
      <c r="AD705">
        <v>60</v>
      </c>
      <c r="AE705">
        <v>30</v>
      </c>
      <c r="AF705">
        <v>370</v>
      </c>
      <c r="AG705">
        <v>0</v>
      </c>
      <c r="AH705">
        <v>0</v>
      </c>
      <c r="AI705">
        <v>0</v>
      </c>
      <c r="AJ705">
        <v>2</v>
      </c>
      <c r="AK705">
        <v>0</v>
      </c>
      <c r="AL705">
        <v>0</v>
      </c>
    </row>
    <row r="706" spans="1:38" x14ac:dyDescent="0.25">
      <c r="A706" t="s">
        <v>1688</v>
      </c>
      <c r="B706" t="s">
        <v>1688</v>
      </c>
      <c r="C706" s="1">
        <v>579</v>
      </c>
      <c r="D706" s="1" t="s">
        <v>1687</v>
      </c>
      <c r="E706">
        <v>5</v>
      </c>
      <c r="F706">
        <v>1</v>
      </c>
      <c r="G706">
        <v>20.100000000000001</v>
      </c>
      <c r="H706" t="s">
        <v>162</v>
      </c>
      <c r="J706" t="s">
        <v>414</v>
      </c>
      <c r="K706" t="s">
        <v>197</v>
      </c>
      <c r="L706" t="s">
        <v>367</v>
      </c>
      <c r="M706" t="s">
        <v>44</v>
      </c>
      <c r="N706">
        <v>50</v>
      </c>
      <c r="O706">
        <v>50</v>
      </c>
      <c r="P706">
        <v>0</v>
      </c>
      <c r="Q706">
        <v>20</v>
      </c>
      <c r="R706" t="s">
        <v>403</v>
      </c>
      <c r="T706">
        <v>50</v>
      </c>
      <c r="U706">
        <v>245</v>
      </c>
      <c r="V706">
        <v>1059860</v>
      </c>
      <c r="W706" t="s">
        <v>46</v>
      </c>
      <c r="Z706">
        <v>110</v>
      </c>
      <c r="AA706">
        <v>65</v>
      </c>
      <c r="AB706">
        <v>75</v>
      </c>
      <c r="AC706">
        <v>125</v>
      </c>
      <c r="AD706">
        <v>85</v>
      </c>
      <c r="AE706">
        <v>30</v>
      </c>
      <c r="AF706">
        <v>490</v>
      </c>
      <c r="AG706">
        <v>0</v>
      </c>
      <c r="AH706">
        <v>0</v>
      </c>
      <c r="AI706">
        <v>0</v>
      </c>
      <c r="AJ706">
        <v>3</v>
      </c>
      <c r="AK706">
        <v>0</v>
      </c>
      <c r="AL706">
        <v>0</v>
      </c>
    </row>
    <row r="707" spans="1:38" x14ac:dyDescent="0.25">
      <c r="A707" t="s">
        <v>1690</v>
      </c>
      <c r="B707" t="s">
        <v>1690</v>
      </c>
      <c r="C707" s="1">
        <v>580</v>
      </c>
      <c r="D707" s="1" t="s">
        <v>1689</v>
      </c>
      <c r="E707">
        <v>5</v>
      </c>
      <c r="F707">
        <v>0.5</v>
      </c>
      <c r="G707">
        <v>5.5</v>
      </c>
      <c r="H707" t="s">
        <v>76</v>
      </c>
      <c r="I707" t="s">
        <v>66</v>
      </c>
      <c r="J707" t="s">
        <v>117</v>
      </c>
      <c r="K707" t="s">
        <v>119</v>
      </c>
      <c r="L707" t="s">
        <v>395</v>
      </c>
      <c r="M707" t="s">
        <v>79</v>
      </c>
      <c r="N707">
        <v>50</v>
      </c>
      <c r="O707">
        <v>50</v>
      </c>
      <c r="P707">
        <v>0</v>
      </c>
      <c r="Q707">
        <v>20</v>
      </c>
      <c r="R707" t="s">
        <v>80</v>
      </c>
      <c r="S707" t="s">
        <v>66</v>
      </c>
      <c r="T707">
        <v>190</v>
      </c>
      <c r="U707">
        <v>61</v>
      </c>
      <c r="V707">
        <v>1000000</v>
      </c>
      <c r="W707" t="s">
        <v>46</v>
      </c>
      <c r="Z707">
        <v>62</v>
      </c>
      <c r="AA707">
        <v>44</v>
      </c>
      <c r="AB707">
        <v>50</v>
      </c>
      <c r="AC707">
        <v>44</v>
      </c>
      <c r="AD707">
        <v>50</v>
      </c>
      <c r="AE707">
        <v>55</v>
      </c>
      <c r="AF707">
        <v>305</v>
      </c>
      <c r="AG707">
        <v>1</v>
      </c>
      <c r="AH707">
        <v>0</v>
      </c>
      <c r="AI707">
        <v>0</v>
      </c>
      <c r="AJ707">
        <v>0</v>
      </c>
      <c r="AK707">
        <v>0</v>
      </c>
      <c r="AL707">
        <v>0</v>
      </c>
    </row>
    <row r="708" spans="1:38" x14ac:dyDescent="0.25">
      <c r="A708" t="s">
        <v>1692</v>
      </c>
      <c r="B708" t="s">
        <v>1692</v>
      </c>
      <c r="C708" s="1">
        <v>581</v>
      </c>
      <c r="D708" s="1" t="s">
        <v>1691</v>
      </c>
      <c r="E708">
        <v>5</v>
      </c>
      <c r="F708">
        <v>1.3</v>
      </c>
      <c r="G708">
        <v>24.2</v>
      </c>
      <c r="H708" t="s">
        <v>76</v>
      </c>
      <c r="I708" t="s">
        <v>66</v>
      </c>
      <c r="J708" t="s">
        <v>117</v>
      </c>
      <c r="K708" t="s">
        <v>119</v>
      </c>
      <c r="L708" t="s">
        <v>395</v>
      </c>
      <c r="M708" t="s">
        <v>100</v>
      </c>
      <c r="N708">
        <v>50</v>
      </c>
      <c r="O708">
        <v>50</v>
      </c>
      <c r="P708">
        <v>0</v>
      </c>
      <c r="Q708">
        <v>20</v>
      </c>
      <c r="R708" t="s">
        <v>80</v>
      </c>
      <c r="S708" t="s">
        <v>66</v>
      </c>
      <c r="T708">
        <v>45</v>
      </c>
      <c r="U708">
        <v>166</v>
      </c>
      <c r="V708">
        <v>1000000</v>
      </c>
      <c r="W708" t="s">
        <v>46</v>
      </c>
      <c r="Z708">
        <v>75</v>
      </c>
      <c r="AA708">
        <v>87</v>
      </c>
      <c r="AB708">
        <v>63</v>
      </c>
      <c r="AC708">
        <v>87</v>
      </c>
      <c r="AD708">
        <v>63</v>
      </c>
      <c r="AE708">
        <v>98</v>
      </c>
      <c r="AF708">
        <v>473</v>
      </c>
      <c r="AG708">
        <v>0</v>
      </c>
      <c r="AH708">
        <v>0</v>
      </c>
      <c r="AI708">
        <v>0</v>
      </c>
      <c r="AJ708">
        <v>0</v>
      </c>
      <c r="AK708">
        <v>0</v>
      </c>
      <c r="AL708">
        <v>2</v>
      </c>
    </row>
    <row r="709" spans="1:38" x14ac:dyDescent="0.25">
      <c r="A709" t="s">
        <v>1694</v>
      </c>
      <c r="B709" t="s">
        <v>1694</v>
      </c>
      <c r="C709" s="1">
        <v>582</v>
      </c>
      <c r="D709" s="1" t="s">
        <v>1693</v>
      </c>
      <c r="E709">
        <v>5</v>
      </c>
      <c r="F709">
        <v>0.4</v>
      </c>
      <c r="G709">
        <v>5.7</v>
      </c>
      <c r="H709" t="s">
        <v>170</v>
      </c>
      <c r="J709" t="s">
        <v>396</v>
      </c>
      <c r="K709" t="s">
        <v>172</v>
      </c>
      <c r="L709" t="s">
        <v>431</v>
      </c>
      <c r="M709" t="s">
        <v>100</v>
      </c>
      <c r="N709">
        <v>50</v>
      </c>
      <c r="O709">
        <v>50</v>
      </c>
      <c r="P709">
        <v>0</v>
      </c>
      <c r="Q709">
        <v>20</v>
      </c>
      <c r="R709" t="s">
        <v>339</v>
      </c>
      <c r="T709">
        <v>255</v>
      </c>
      <c r="U709">
        <v>61</v>
      </c>
      <c r="V709">
        <v>1250000</v>
      </c>
      <c r="W709" t="s">
        <v>46</v>
      </c>
      <c r="Z709">
        <v>36</v>
      </c>
      <c r="AA709">
        <v>50</v>
      </c>
      <c r="AB709">
        <v>50</v>
      </c>
      <c r="AC709">
        <v>65</v>
      </c>
      <c r="AD709">
        <v>60</v>
      </c>
      <c r="AE709">
        <v>44</v>
      </c>
      <c r="AF709">
        <v>305</v>
      </c>
      <c r="AG709">
        <v>0</v>
      </c>
      <c r="AH709">
        <v>0</v>
      </c>
      <c r="AI709">
        <v>0</v>
      </c>
      <c r="AJ709">
        <v>1</v>
      </c>
      <c r="AK709">
        <v>0</v>
      </c>
      <c r="AL709">
        <v>0</v>
      </c>
    </row>
    <row r="710" spans="1:38" x14ac:dyDescent="0.25">
      <c r="A710" t="s">
        <v>1696</v>
      </c>
      <c r="B710" t="s">
        <v>1696</v>
      </c>
      <c r="C710" s="1">
        <v>583</v>
      </c>
      <c r="D710" s="1" t="s">
        <v>1695</v>
      </c>
      <c r="E710">
        <v>5</v>
      </c>
      <c r="F710">
        <v>1.1000000000000001</v>
      </c>
      <c r="G710">
        <v>41</v>
      </c>
      <c r="H710" t="s">
        <v>170</v>
      </c>
      <c r="J710" t="s">
        <v>396</v>
      </c>
      <c r="K710" t="s">
        <v>172</v>
      </c>
      <c r="L710" t="s">
        <v>431</v>
      </c>
      <c r="M710" t="s">
        <v>100</v>
      </c>
      <c r="N710">
        <v>50</v>
      </c>
      <c r="O710">
        <v>50</v>
      </c>
      <c r="P710">
        <v>0</v>
      </c>
      <c r="Q710">
        <v>20</v>
      </c>
      <c r="R710" t="s">
        <v>339</v>
      </c>
      <c r="T710">
        <v>120</v>
      </c>
      <c r="U710">
        <v>138</v>
      </c>
      <c r="V710">
        <v>1250000</v>
      </c>
      <c r="W710" t="s">
        <v>46</v>
      </c>
      <c r="Z710">
        <v>51</v>
      </c>
      <c r="AA710">
        <v>65</v>
      </c>
      <c r="AB710">
        <v>65</v>
      </c>
      <c r="AC710">
        <v>80</v>
      </c>
      <c r="AD710">
        <v>75</v>
      </c>
      <c r="AE710">
        <v>59</v>
      </c>
      <c r="AF710">
        <v>395</v>
      </c>
      <c r="AG710">
        <v>0</v>
      </c>
      <c r="AH710">
        <v>0</v>
      </c>
      <c r="AI710">
        <v>0</v>
      </c>
      <c r="AJ710">
        <v>2</v>
      </c>
      <c r="AK710">
        <v>0</v>
      </c>
      <c r="AL710">
        <v>0</v>
      </c>
    </row>
    <row r="711" spans="1:38" x14ac:dyDescent="0.25">
      <c r="A711" t="s">
        <v>1698</v>
      </c>
      <c r="B711" t="s">
        <v>1698</v>
      </c>
      <c r="C711" s="1">
        <v>584</v>
      </c>
      <c r="D711" s="1" t="s">
        <v>1697</v>
      </c>
      <c r="E711">
        <v>5</v>
      </c>
      <c r="F711">
        <v>1.3</v>
      </c>
      <c r="G711">
        <v>57.5</v>
      </c>
      <c r="H711" t="s">
        <v>170</v>
      </c>
      <c r="J711" t="s">
        <v>396</v>
      </c>
      <c r="K711" t="s">
        <v>208</v>
      </c>
      <c r="L711" t="s">
        <v>431</v>
      </c>
      <c r="M711" t="s">
        <v>100</v>
      </c>
      <c r="N711">
        <v>50</v>
      </c>
      <c r="O711">
        <v>50</v>
      </c>
      <c r="P711">
        <v>0</v>
      </c>
      <c r="Q711">
        <v>20</v>
      </c>
      <c r="R711" t="s">
        <v>339</v>
      </c>
      <c r="T711">
        <v>45</v>
      </c>
      <c r="U711">
        <v>268</v>
      </c>
      <c r="V711">
        <v>1250000</v>
      </c>
      <c r="W711" t="s">
        <v>46</v>
      </c>
      <c r="Z711">
        <v>71</v>
      </c>
      <c r="AA711">
        <v>95</v>
      </c>
      <c r="AB711">
        <v>85</v>
      </c>
      <c r="AC711">
        <v>110</v>
      </c>
      <c r="AD711">
        <v>95</v>
      </c>
      <c r="AE711">
        <v>79</v>
      </c>
      <c r="AF711">
        <v>535</v>
      </c>
      <c r="AG711">
        <v>0</v>
      </c>
      <c r="AH711">
        <v>0</v>
      </c>
      <c r="AI711">
        <v>0</v>
      </c>
      <c r="AJ711">
        <v>3</v>
      </c>
      <c r="AK711">
        <v>0</v>
      </c>
      <c r="AL711">
        <v>0</v>
      </c>
    </row>
    <row r="712" spans="1:38" x14ac:dyDescent="0.25">
      <c r="A712" t="s">
        <v>1700</v>
      </c>
      <c r="B712" t="s">
        <v>1701</v>
      </c>
      <c r="C712" s="1">
        <v>585</v>
      </c>
      <c r="D712" s="1" t="s">
        <v>1699</v>
      </c>
      <c r="E712">
        <v>5</v>
      </c>
      <c r="F712">
        <v>0.6</v>
      </c>
      <c r="G712">
        <v>19.5</v>
      </c>
      <c r="H712" t="s">
        <v>116</v>
      </c>
      <c r="I712" t="s">
        <v>40</v>
      </c>
      <c r="J712" t="s">
        <v>43</v>
      </c>
      <c r="K712" t="s">
        <v>691</v>
      </c>
      <c r="L712" t="s">
        <v>491</v>
      </c>
      <c r="M712" t="s">
        <v>199</v>
      </c>
      <c r="N712">
        <v>50</v>
      </c>
      <c r="O712">
        <v>50</v>
      </c>
      <c r="P712">
        <v>0</v>
      </c>
      <c r="Q712">
        <v>20</v>
      </c>
      <c r="R712" t="s">
        <v>132</v>
      </c>
      <c r="T712">
        <v>190</v>
      </c>
      <c r="U712">
        <v>67</v>
      </c>
      <c r="V712">
        <v>1000000</v>
      </c>
      <c r="W712" t="s">
        <v>46</v>
      </c>
      <c r="Z712">
        <v>60</v>
      </c>
      <c r="AA712">
        <v>60</v>
      </c>
      <c r="AB712">
        <v>50</v>
      </c>
      <c r="AC712">
        <v>40</v>
      </c>
      <c r="AD712">
        <v>50</v>
      </c>
      <c r="AE712">
        <v>75</v>
      </c>
      <c r="AF712">
        <v>335</v>
      </c>
      <c r="AG712">
        <v>0</v>
      </c>
      <c r="AH712">
        <v>0</v>
      </c>
      <c r="AI712">
        <v>0</v>
      </c>
      <c r="AJ712">
        <v>0</v>
      </c>
      <c r="AK712">
        <v>0</v>
      </c>
      <c r="AL712">
        <v>1</v>
      </c>
    </row>
    <row r="713" spans="1:38" x14ac:dyDescent="0.25">
      <c r="A713" t="s">
        <v>1700</v>
      </c>
      <c r="B713" t="s">
        <v>1703</v>
      </c>
      <c r="C713" s="1">
        <v>585</v>
      </c>
      <c r="D713" s="1" t="s">
        <v>1702</v>
      </c>
      <c r="E713">
        <v>5</v>
      </c>
      <c r="F713">
        <v>0.6</v>
      </c>
      <c r="G713">
        <v>19.5</v>
      </c>
      <c r="H713" t="s">
        <v>116</v>
      </c>
      <c r="I713" t="s">
        <v>40</v>
      </c>
      <c r="J713" t="s">
        <v>43</v>
      </c>
      <c r="K713" t="s">
        <v>691</v>
      </c>
      <c r="L713" t="s">
        <v>491</v>
      </c>
      <c r="M713" t="s">
        <v>44</v>
      </c>
      <c r="N713">
        <v>50</v>
      </c>
      <c r="O713">
        <v>50</v>
      </c>
      <c r="P713">
        <v>0</v>
      </c>
      <c r="Q713">
        <v>20</v>
      </c>
      <c r="R713" t="s">
        <v>132</v>
      </c>
      <c r="T713">
        <v>190</v>
      </c>
      <c r="U713">
        <v>67</v>
      </c>
      <c r="V713">
        <v>1000000</v>
      </c>
      <c r="W713" t="s">
        <v>46</v>
      </c>
      <c r="Z713">
        <v>60</v>
      </c>
      <c r="AA713">
        <v>60</v>
      </c>
      <c r="AB713">
        <v>50</v>
      </c>
      <c r="AC713">
        <v>40</v>
      </c>
      <c r="AD713">
        <v>50</v>
      </c>
      <c r="AE713">
        <v>75</v>
      </c>
      <c r="AF713">
        <v>335</v>
      </c>
      <c r="AG713">
        <v>0</v>
      </c>
      <c r="AH713">
        <v>0</v>
      </c>
      <c r="AI713">
        <v>0</v>
      </c>
      <c r="AJ713">
        <v>0</v>
      </c>
      <c r="AK713">
        <v>0</v>
      </c>
      <c r="AL713">
        <v>1</v>
      </c>
    </row>
    <row r="714" spans="1:38" x14ac:dyDescent="0.25">
      <c r="A714" t="s">
        <v>1700</v>
      </c>
      <c r="B714" t="s">
        <v>1705</v>
      </c>
      <c r="C714" s="1">
        <v>585</v>
      </c>
      <c r="D714" s="1" t="s">
        <v>1704</v>
      </c>
      <c r="E714">
        <v>5</v>
      </c>
      <c r="F714">
        <v>0.6</v>
      </c>
      <c r="G714">
        <v>19.5</v>
      </c>
      <c r="H714" t="s">
        <v>116</v>
      </c>
      <c r="I714" t="s">
        <v>40</v>
      </c>
      <c r="J714" t="s">
        <v>43</v>
      </c>
      <c r="K714" t="s">
        <v>691</v>
      </c>
      <c r="L714" t="s">
        <v>491</v>
      </c>
      <c r="M714" t="s">
        <v>60</v>
      </c>
      <c r="N714">
        <v>50</v>
      </c>
      <c r="O714">
        <v>50</v>
      </c>
      <c r="P714">
        <v>0</v>
      </c>
      <c r="Q714">
        <v>20</v>
      </c>
      <c r="R714" t="s">
        <v>132</v>
      </c>
      <c r="T714">
        <v>190</v>
      </c>
      <c r="U714">
        <v>67</v>
      </c>
      <c r="V714">
        <v>1000000</v>
      </c>
      <c r="W714" t="s">
        <v>46</v>
      </c>
      <c r="Z714">
        <v>60</v>
      </c>
      <c r="AA714">
        <v>60</v>
      </c>
      <c r="AB714">
        <v>50</v>
      </c>
      <c r="AC714">
        <v>40</v>
      </c>
      <c r="AD714">
        <v>50</v>
      </c>
      <c r="AE714">
        <v>75</v>
      </c>
      <c r="AF714">
        <v>335</v>
      </c>
      <c r="AG714">
        <v>0</v>
      </c>
      <c r="AH714">
        <v>0</v>
      </c>
      <c r="AI714">
        <v>0</v>
      </c>
      <c r="AJ714">
        <v>0</v>
      </c>
      <c r="AK714">
        <v>0</v>
      </c>
      <c r="AL714">
        <v>1</v>
      </c>
    </row>
    <row r="715" spans="1:38" x14ac:dyDescent="0.25">
      <c r="A715" t="s">
        <v>1700</v>
      </c>
      <c r="B715" t="s">
        <v>1707</v>
      </c>
      <c r="C715" s="1">
        <v>585</v>
      </c>
      <c r="D715" s="1" t="s">
        <v>1706</v>
      </c>
      <c r="E715">
        <v>5</v>
      </c>
      <c r="F715">
        <v>0.6</v>
      </c>
      <c r="G715">
        <v>19.5</v>
      </c>
      <c r="H715" t="s">
        <v>116</v>
      </c>
      <c r="I715" t="s">
        <v>40</v>
      </c>
      <c r="J715" t="s">
        <v>43</v>
      </c>
      <c r="K715" t="s">
        <v>691</v>
      </c>
      <c r="L715" t="s">
        <v>491</v>
      </c>
      <c r="M715" t="s">
        <v>103</v>
      </c>
      <c r="N715">
        <v>50</v>
      </c>
      <c r="O715">
        <v>50</v>
      </c>
      <c r="P715">
        <v>0</v>
      </c>
      <c r="Q715">
        <v>20</v>
      </c>
      <c r="R715" t="s">
        <v>132</v>
      </c>
      <c r="T715">
        <v>190</v>
      </c>
      <c r="U715">
        <v>67</v>
      </c>
      <c r="V715">
        <v>1000000</v>
      </c>
      <c r="W715" t="s">
        <v>46</v>
      </c>
      <c r="Z715">
        <v>60</v>
      </c>
      <c r="AA715">
        <v>60</v>
      </c>
      <c r="AB715">
        <v>50</v>
      </c>
      <c r="AC715">
        <v>40</v>
      </c>
      <c r="AD715">
        <v>50</v>
      </c>
      <c r="AE715">
        <v>75</v>
      </c>
      <c r="AF715">
        <v>335</v>
      </c>
      <c r="AG715">
        <v>0</v>
      </c>
      <c r="AH715">
        <v>0</v>
      </c>
      <c r="AI715">
        <v>0</v>
      </c>
      <c r="AJ715">
        <v>0</v>
      </c>
      <c r="AK715">
        <v>0</v>
      </c>
      <c r="AL715">
        <v>1</v>
      </c>
    </row>
    <row r="716" spans="1:38" x14ac:dyDescent="0.25">
      <c r="A716" t="s">
        <v>1709</v>
      </c>
      <c r="B716" t="s">
        <v>1709</v>
      </c>
      <c r="C716" s="1">
        <v>586</v>
      </c>
      <c r="D716" s="1" t="s">
        <v>1708</v>
      </c>
      <c r="E716">
        <v>5</v>
      </c>
      <c r="F716">
        <v>1.9</v>
      </c>
      <c r="G716">
        <v>92.5</v>
      </c>
      <c r="H716" t="s">
        <v>116</v>
      </c>
      <c r="I716" t="s">
        <v>40</v>
      </c>
      <c r="J716" t="s">
        <v>43</v>
      </c>
      <c r="K716" t="s">
        <v>691</v>
      </c>
      <c r="L716" t="s">
        <v>491</v>
      </c>
      <c r="M716" t="s">
        <v>103</v>
      </c>
      <c r="N716">
        <v>50</v>
      </c>
      <c r="O716">
        <v>50</v>
      </c>
      <c r="P716">
        <v>0</v>
      </c>
      <c r="Q716">
        <v>20</v>
      </c>
      <c r="R716" t="s">
        <v>132</v>
      </c>
      <c r="T716">
        <v>75</v>
      </c>
      <c r="U716">
        <v>166</v>
      </c>
      <c r="V716">
        <v>1000000</v>
      </c>
      <c r="W716" t="s">
        <v>46</v>
      </c>
      <c r="Z716">
        <v>80</v>
      </c>
      <c r="AA716">
        <v>100</v>
      </c>
      <c r="AB716">
        <v>70</v>
      </c>
      <c r="AC716">
        <v>60</v>
      </c>
      <c r="AD716">
        <v>70</v>
      </c>
      <c r="AE716">
        <v>95</v>
      </c>
      <c r="AF716">
        <v>475</v>
      </c>
      <c r="AG716">
        <v>0</v>
      </c>
      <c r="AH716">
        <v>2</v>
      </c>
      <c r="AI716">
        <v>0</v>
      </c>
      <c r="AJ716">
        <v>0</v>
      </c>
      <c r="AK716">
        <v>0</v>
      </c>
      <c r="AL716">
        <v>0</v>
      </c>
    </row>
    <row r="717" spans="1:38" x14ac:dyDescent="0.25">
      <c r="A717" t="s">
        <v>1711</v>
      </c>
      <c r="B717" t="s">
        <v>1711</v>
      </c>
      <c r="C717" s="1">
        <v>587</v>
      </c>
      <c r="D717" s="1" t="s">
        <v>1710</v>
      </c>
      <c r="E717">
        <v>5</v>
      </c>
      <c r="F717">
        <v>0.4</v>
      </c>
      <c r="G717">
        <v>5</v>
      </c>
      <c r="H717" t="s">
        <v>154</v>
      </c>
      <c r="I717" t="s">
        <v>66</v>
      </c>
      <c r="J717" t="s">
        <v>155</v>
      </c>
      <c r="L717" t="s">
        <v>1405</v>
      </c>
      <c r="M717" t="s">
        <v>100</v>
      </c>
      <c r="N717">
        <v>50</v>
      </c>
      <c r="O717">
        <v>50</v>
      </c>
      <c r="P717">
        <v>0</v>
      </c>
      <c r="Q717">
        <v>20</v>
      </c>
      <c r="R717" t="s">
        <v>132</v>
      </c>
      <c r="T717">
        <v>200</v>
      </c>
      <c r="U717">
        <v>150</v>
      </c>
      <c r="V717">
        <v>1000000</v>
      </c>
      <c r="W717" t="s">
        <v>46</v>
      </c>
      <c r="Z717">
        <v>55</v>
      </c>
      <c r="AA717">
        <v>75</v>
      </c>
      <c r="AB717">
        <v>60</v>
      </c>
      <c r="AC717">
        <v>75</v>
      </c>
      <c r="AD717">
        <v>60</v>
      </c>
      <c r="AE717">
        <v>103</v>
      </c>
      <c r="AF717">
        <v>428</v>
      </c>
      <c r="AG717">
        <v>0</v>
      </c>
      <c r="AH717">
        <v>0</v>
      </c>
      <c r="AI717">
        <v>0</v>
      </c>
      <c r="AJ717">
        <v>0</v>
      </c>
      <c r="AK717">
        <v>0</v>
      </c>
      <c r="AL717">
        <v>2</v>
      </c>
    </row>
    <row r="718" spans="1:38" x14ac:dyDescent="0.25">
      <c r="A718" t="s">
        <v>1713</v>
      </c>
      <c r="B718" t="s">
        <v>1713</v>
      </c>
      <c r="C718" s="1">
        <v>588</v>
      </c>
      <c r="D718" s="1" t="s">
        <v>1712</v>
      </c>
      <c r="E718">
        <v>5</v>
      </c>
      <c r="F718">
        <v>0.5</v>
      </c>
      <c r="G718">
        <v>5.9</v>
      </c>
      <c r="H718" t="s">
        <v>90</v>
      </c>
      <c r="J718" t="s">
        <v>109</v>
      </c>
      <c r="K718" t="s">
        <v>95</v>
      </c>
      <c r="L718" t="s">
        <v>126</v>
      </c>
      <c r="M718" t="s">
        <v>79</v>
      </c>
      <c r="N718">
        <v>50</v>
      </c>
      <c r="O718">
        <v>50</v>
      </c>
      <c r="P718">
        <v>0</v>
      </c>
      <c r="Q718">
        <v>15</v>
      </c>
      <c r="R718" t="s">
        <v>90</v>
      </c>
      <c r="T718">
        <v>200</v>
      </c>
      <c r="U718">
        <v>63</v>
      </c>
      <c r="V718">
        <v>1000000</v>
      </c>
      <c r="W718" t="s">
        <v>46</v>
      </c>
      <c r="Z718">
        <v>50</v>
      </c>
      <c r="AA718">
        <v>75</v>
      </c>
      <c r="AB718">
        <v>45</v>
      </c>
      <c r="AC718">
        <v>40</v>
      </c>
      <c r="AD718">
        <v>45</v>
      </c>
      <c r="AE718">
        <v>60</v>
      </c>
      <c r="AF718">
        <v>315</v>
      </c>
      <c r="AG718">
        <v>0</v>
      </c>
      <c r="AH718">
        <v>1</v>
      </c>
      <c r="AI718">
        <v>0</v>
      </c>
      <c r="AJ718">
        <v>0</v>
      </c>
      <c r="AK718">
        <v>0</v>
      </c>
      <c r="AL718">
        <v>0</v>
      </c>
    </row>
    <row r="719" spans="1:38" x14ac:dyDescent="0.25">
      <c r="A719" t="s">
        <v>1715</v>
      </c>
      <c r="B719" t="s">
        <v>1715</v>
      </c>
      <c r="C719" s="1">
        <v>589</v>
      </c>
      <c r="D719" s="1" t="s">
        <v>1714</v>
      </c>
      <c r="E719">
        <v>5</v>
      </c>
      <c r="F719">
        <v>1</v>
      </c>
      <c r="G719">
        <v>33</v>
      </c>
      <c r="H719" t="s">
        <v>90</v>
      </c>
      <c r="I719" t="s">
        <v>171</v>
      </c>
      <c r="J719" t="s">
        <v>109</v>
      </c>
      <c r="K719" t="s">
        <v>377</v>
      </c>
      <c r="L719" t="s">
        <v>414</v>
      </c>
      <c r="M719" t="s">
        <v>318</v>
      </c>
      <c r="N719">
        <v>50</v>
      </c>
      <c r="O719">
        <v>50</v>
      </c>
      <c r="P719">
        <v>0</v>
      </c>
      <c r="Q719">
        <v>15</v>
      </c>
      <c r="R719" t="s">
        <v>90</v>
      </c>
      <c r="T719">
        <v>75</v>
      </c>
      <c r="U719">
        <v>173</v>
      </c>
      <c r="V719">
        <v>1000000</v>
      </c>
      <c r="W719" t="s">
        <v>46</v>
      </c>
      <c r="Z719">
        <v>70</v>
      </c>
      <c r="AA719">
        <v>135</v>
      </c>
      <c r="AB719">
        <v>105</v>
      </c>
      <c r="AC719">
        <v>60</v>
      </c>
      <c r="AD719">
        <v>105</v>
      </c>
      <c r="AE719">
        <v>20</v>
      </c>
      <c r="AF719">
        <v>495</v>
      </c>
      <c r="AG719">
        <v>0</v>
      </c>
      <c r="AH719">
        <v>2</v>
      </c>
      <c r="AI719">
        <v>0</v>
      </c>
      <c r="AJ719">
        <v>0</v>
      </c>
      <c r="AK719">
        <v>0</v>
      </c>
      <c r="AL719">
        <v>0</v>
      </c>
    </row>
    <row r="720" spans="1:38" x14ac:dyDescent="0.25">
      <c r="A720" t="s">
        <v>1717</v>
      </c>
      <c r="B720" t="s">
        <v>1717</v>
      </c>
      <c r="C720" s="1">
        <v>590</v>
      </c>
      <c r="D720" s="1" t="s">
        <v>1716</v>
      </c>
      <c r="E720">
        <v>5</v>
      </c>
      <c r="F720">
        <v>0.2</v>
      </c>
      <c r="G720">
        <v>1</v>
      </c>
      <c r="H720" t="s">
        <v>40</v>
      </c>
      <c r="I720" t="s">
        <v>41</v>
      </c>
      <c r="J720" t="s">
        <v>232</v>
      </c>
      <c r="L720" t="s">
        <v>367</v>
      </c>
      <c r="M720" t="s">
        <v>100</v>
      </c>
      <c r="N720">
        <v>50</v>
      </c>
      <c r="O720">
        <v>50</v>
      </c>
      <c r="P720">
        <v>0</v>
      </c>
      <c r="Q720">
        <v>20</v>
      </c>
      <c r="R720" t="s">
        <v>40</v>
      </c>
      <c r="T720">
        <v>190</v>
      </c>
      <c r="U720">
        <v>59</v>
      </c>
      <c r="V720">
        <v>1000000</v>
      </c>
      <c r="W720" t="s">
        <v>46</v>
      </c>
      <c r="Z720">
        <v>69</v>
      </c>
      <c r="AA720">
        <v>55</v>
      </c>
      <c r="AB720">
        <v>45</v>
      </c>
      <c r="AC720">
        <v>55</v>
      </c>
      <c r="AD720">
        <v>55</v>
      </c>
      <c r="AE720">
        <v>15</v>
      </c>
      <c r="AF720">
        <v>294</v>
      </c>
      <c r="AG720">
        <v>1</v>
      </c>
      <c r="AH720">
        <v>0</v>
      </c>
      <c r="AI720">
        <v>0</v>
      </c>
      <c r="AJ720">
        <v>0</v>
      </c>
      <c r="AK720">
        <v>0</v>
      </c>
      <c r="AL720">
        <v>0</v>
      </c>
    </row>
    <row r="721" spans="1:38" x14ac:dyDescent="0.25">
      <c r="A721" t="s">
        <v>1719</v>
      </c>
      <c r="B721" t="s">
        <v>1719</v>
      </c>
      <c r="C721" s="1">
        <v>591</v>
      </c>
      <c r="D721" s="1" t="s">
        <v>1718</v>
      </c>
      <c r="E721">
        <v>5</v>
      </c>
      <c r="F721">
        <v>0.6</v>
      </c>
      <c r="G721">
        <v>10.5</v>
      </c>
      <c r="H721" t="s">
        <v>40</v>
      </c>
      <c r="I721" t="s">
        <v>41</v>
      </c>
      <c r="J721" t="s">
        <v>232</v>
      </c>
      <c r="L721" t="s">
        <v>367</v>
      </c>
      <c r="M721" t="s">
        <v>100</v>
      </c>
      <c r="N721">
        <v>50</v>
      </c>
      <c r="O721">
        <v>50</v>
      </c>
      <c r="P721">
        <v>0</v>
      </c>
      <c r="Q721">
        <v>20</v>
      </c>
      <c r="R721" t="s">
        <v>40</v>
      </c>
      <c r="T721">
        <v>75</v>
      </c>
      <c r="U721">
        <v>162</v>
      </c>
      <c r="V721">
        <v>1000000</v>
      </c>
      <c r="W721" t="s">
        <v>46</v>
      </c>
      <c r="Z721">
        <v>114</v>
      </c>
      <c r="AA721">
        <v>85</v>
      </c>
      <c r="AB721">
        <v>70</v>
      </c>
      <c r="AC721">
        <v>85</v>
      </c>
      <c r="AD721">
        <v>80</v>
      </c>
      <c r="AE721">
        <v>30</v>
      </c>
      <c r="AF721">
        <v>464</v>
      </c>
      <c r="AG721">
        <v>2</v>
      </c>
      <c r="AH721">
        <v>0</v>
      </c>
      <c r="AI721">
        <v>0</v>
      </c>
      <c r="AJ721">
        <v>0</v>
      </c>
      <c r="AK721">
        <v>0</v>
      </c>
      <c r="AL721">
        <v>0</v>
      </c>
    </row>
    <row r="722" spans="1:38" x14ac:dyDescent="0.25">
      <c r="A722" t="s">
        <v>1721</v>
      </c>
      <c r="B722" t="s">
        <v>1721</v>
      </c>
      <c r="C722" s="1">
        <v>592</v>
      </c>
      <c r="D722" s="1" t="s">
        <v>1720</v>
      </c>
      <c r="E722">
        <v>5</v>
      </c>
      <c r="F722">
        <v>1.2</v>
      </c>
      <c r="G722">
        <v>33</v>
      </c>
      <c r="H722" t="s">
        <v>76</v>
      </c>
      <c r="I722" t="s">
        <v>419</v>
      </c>
      <c r="J722" t="s">
        <v>299</v>
      </c>
      <c r="K722" t="s">
        <v>425</v>
      </c>
      <c r="L722" t="s">
        <v>236</v>
      </c>
      <c r="M722" t="s">
        <v>100</v>
      </c>
      <c r="N722">
        <v>50</v>
      </c>
      <c r="O722">
        <v>50</v>
      </c>
      <c r="P722">
        <v>0</v>
      </c>
      <c r="Q722">
        <v>20</v>
      </c>
      <c r="R722" t="s">
        <v>403</v>
      </c>
      <c r="T722">
        <v>190</v>
      </c>
      <c r="U722">
        <v>67</v>
      </c>
      <c r="V722">
        <v>1000000</v>
      </c>
      <c r="W722" t="s">
        <v>46</v>
      </c>
      <c r="Z722">
        <v>55</v>
      </c>
      <c r="AA722">
        <v>40</v>
      </c>
      <c r="AB722">
        <v>50</v>
      </c>
      <c r="AC722">
        <v>65</v>
      </c>
      <c r="AD722">
        <v>85</v>
      </c>
      <c r="AE722">
        <v>40</v>
      </c>
      <c r="AF722">
        <v>335</v>
      </c>
      <c r="AG722">
        <v>0</v>
      </c>
      <c r="AH722">
        <v>0</v>
      </c>
      <c r="AI722">
        <v>0</v>
      </c>
      <c r="AJ722">
        <v>0</v>
      </c>
      <c r="AK722">
        <v>1</v>
      </c>
      <c r="AL722">
        <v>0</v>
      </c>
    </row>
    <row r="723" spans="1:38" x14ac:dyDescent="0.25">
      <c r="A723" t="s">
        <v>1723</v>
      </c>
      <c r="B723" t="s">
        <v>1723</v>
      </c>
      <c r="C723" s="1">
        <v>593</v>
      </c>
      <c r="D723" s="1" t="s">
        <v>1722</v>
      </c>
      <c r="E723">
        <v>5</v>
      </c>
      <c r="F723">
        <v>2.2000000000000002</v>
      </c>
      <c r="G723">
        <v>135</v>
      </c>
      <c r="H723" t="s">
        <v>76</v>
      </c>
      <c r="I723" t="s">
        <v>419</v>
      </c>
      <c r="J723" t="s">
        <v>299</v>
      </c>
      <c r="K723" t="s">
        <v>425</v>
      </c>
      <c r="L723" t="s">
        <v>236</v>
      </c>
      <c r="M723" t="s">
        <v>100</v>
      </c>
      <c r="N723">
        <v>50</v>
      </c>
      <c r="O723">
        <v>50</v>
      </c>
      <c r="P723">
        <v>0</v>
      </c>
      <c r="Q723">
        <v>20</v>
      </c>
      <c r="R723" t="s">
        <v>403</v>
      </c>
      <c r="T723">
        <v>60</v>
      </c>
      <c r="U723">
        <v>168</v>
      </c>
      <c r="V723">
        <v>1000000</v>
      </c>
      <c r="W723" t="s">
        <v>46</v>
      </c>
      <c r="Z723">
        <v>100</v>
      </c>
      <c r="AA723">
        <v>60</v>
      </c>
      <c r="AB723">
        <v>70</v>
      </c>
      <c r="AC723">
        <v>85</v>
      </c>
      <c r="AD723">
        <v>105</v>
      </c>
      <c r="AE723">
        <v>60</v>
      </c>
      <c r="AF723">
        <v>480</v>
      </c>
      <c r="AG723">
        <v>0</v>
      </c>
      <c r="AH723">
        <v>0</v>
      </c>
      <c r="AI723">
        <v>0</v>
      </c>
      <c r="AJ723">
        <v>0</v>
      </c>
      <c r="AK723">
        <v>2</v>
      </c>
      <c r="AL723">
        <v>0</v>
      </c>
    </row>
    <row r="724" spans="1:38" x14ac:dyDescent="0.25">
      <c r="A724" t="s">
        <v>1725</v>
      </c>
      <c r="B724" t="s">
        <v>1725</v>
      </c>
      <c r="C724" s="1">
        <v>594</v>
      </c>
      <c r="D724" s="1" t="s">
        <v>1724</v>
      </c>
      <c r="E724">
        <v>5</v>
      </c>
      <c r="F724">
        <v>1.2</v>
      </c>
      <c r="G724">
        <v>31.6</v>
      </c>
      <c r="H724" t="s">
        <v>76</v>
      </c>
      <c r="J724" t="s">
        <v>492</v>
      </c>
      <c r="K724" t="s">
        <v>395</v>
      </c>
      <c r="L724" t="s">
        <v>367</v>
      </c>
      <c r="M724" t="s">
        <v>199</v>
      </c>
      <c r="N724">
        <v>50</v>
      </c>
      <c r="O724">
        <v>50</v>
      </c>
      <c r="P724">
        <v>0</v>
      </c>
      <c r="Q724">
        <v>40</v>
      </c>
      <c r="R724" t="s">
        <v>80</v>
      </c>
      <c r="S724" t="s">
        <v>508</v>
      </c>
      <c r="T724">
        <v>75</v>
      </c>
      <c r="U724">
        <v>165</v>
      </c>
      <c r="V724">
        <v>800000</v>
      </c>
      <c r="W724" t="s">
        <v>46</v>
      </c>
      <c r="Z724">
        <v>165</v>
      </c>
      <c r="AA724">
        <v>75</v>
      </c>
      <c r="AB724">
        <v>80</v>
      </c>
      <c r="AC724">
        <v>40</v>
      </c>
      <c r="AD724">
        <v>45</v>
      </c>
      <c r="AE724">
        <v>65</v>
      </c>
      <c r="AF724">
        <v>470</v>
      </c>
      <c r="AG724">
        <v>2</v>
      </c>
      <c r="AH724">
        <v>0</v>
      </c>
      <c r="AI724">
        <v>0</v>
      </c>
      <c r="AJ724">
        <v>0</v>
      </c>
      <c r="AK724">
        <v>0</v>
      </c>
      <c r="AL724">
        <v>0</v>
      </c>
    </row>
    <row r="725" spans="1:38" x14ac:dyDescent="0.25">
      <c r="A725" t="s">
        <v>1727</v>
      </c>
      <c r="B725" t="s">
        <v>1727</v>
      </c>
      <c r="C725" s="1">
        <v>595</v>
      </c>
      <c r="D725" s="1" t="s">
        <v>1726</v>
      </c>
      <c r="E725">
        <v>5</v>
      </c>
      <c r="F725">
        <v>0.1</v>
      </c>
      <c r="G725">
        <v>0.6</v>
      </c>
      <c r="H725" t="s">
        <v>90</v>
      </c>
      <c r="I725" t="s">
        <v>154</v>
      </c>
      <c r="J725" t="s">
        <v>98</v>
      </c>
      <c r="K725" t="s">
        <v>149</v>
      </c>
      <c r="L725" t="s">
        <v>109</v>
      </c>
      <c r="M725" t="s">
        <v>106</v>
      </c>
      <c r="N725">
        <v>50</v>
      </c>
      <c r="O725">
        <v>50</v>
      </c>
      <c r="P725">
        <v>0</v>
      </c>
      <c r="Q725">
        <v>20</v>
      </c>
      <c r="R725" t="s">
        <v>90</v>
      </c>
      <c r="T725">
        <v>190</v>
      </c>
      <c r="U725">
        <v>64</v>
      </c>
      <c r="V725">
        <v>1000000</v>
      </c>
      <c r="W725" t="s">
        <v>46</v>
      </c>
      <c r="Z725">
        <v>50</v>
      </c>
      <c r="AA725">
        <v>47</v>
      </c>
      <c r="AB725">
        <v>50</v>
      </c>
      <c r="AC725">
        <v>57</v>
      </c>
      <c r="AD725">
        <v>50</v>
      </c>
      <c r="AE725">
        <v>65</v>
      </c>
      <c r="AF725">
        <v>319</v>
      </c>
      <c r="AG725">
        <v>0</v>
      </c>
      <c r="AH725">
        <v>0</v>
      </c>
      <c r="AI725">
        <v>0</v>
      </c>
      <c r="AJ725">
        <v>0</v>
      </c>
      <c r="AK725">
        <v>0</v>
      </c>
      <c r="AL725">
        <v>1</v>
      </c>
    </row>
    <row r="726" spans="1:38" x14ac:dyDescent="0.25">
      <c r="A726" t="s">
        <v>1729</v>
      </c>
      <c r="B726" t="s">
        <v>1729</v>
      </c>
      <c r="C726" s="1">
        <v>596</v>
      </c>
      <c r="D726" s="1" t="s">
        <v>1728</v>
      </c>
      <c r="E726">
        <v>5</v>
      </c>
      <c r="F726">
        <v>0.8</v>
      </c>
      <c r="G726">
        <v>14.3</v>
      </c>
      <c r="H726" t="s">
        <v>90</v>
      </c>
      <c r="I726" t="s">
        <v>154</v>
      </c>
      <c r="J726" t="s">
        <v>98</v>
      </c>
      <c r="K726" t="s">
        <v>149</v>
      </c>
      <c r="L726" t="s">
        <v>109</v>
      </c>
      <c r="M726" t="s">
        <v>106</v>
      </c>
      <c r="N726">
        <v>50</v>
      </c>
      <c r="O726">
        <v>50</v>
      </c>
      <c r="P726">
        <v>0</v>
      </c>
      <c r="Q726">
        <v>20</v>
      </c>
      <c r="R726" t="s">
        <v>90</v>
      </c>
      <c r="T726">
        <v>75</v>
      </c>
      <c r="U726">
        <v>165</v>
      </c>
      <c r="V726">
        <v>1000000</v>
      </c>
      <c r="W726" t="s">
        <v>46</v>
      </c>
      <c r="Z726">
        <v>70</v>
      </c>
      <c r="AA726">
        <v>77</v>
      </c>
      <c r="AB726">
        <v>60</v>
      </c>
      <c r="AC726">
        <v>97</v>
      </c>
      <c r="AD726">
        <v>60</v>
      </c>
      <c r="AE726">
        <v>108</v>
      </c>
      <c r="AF726">
        <v>472</v>
      </c>
      <c r="AG726">
        <v>0</v>
      </c>
      <c r="AH726">
        <v>0</v>
      </c>
      <c r="AI726">
        <v>0</v>
      </c>
      <c r="AJ726">
        <v>0</v>
      </c>
      <c r="AK726">
        <v>0</v>
      </c>
      <c r="AL726">
        <v>2</v>
      </c>
    </row>
    <row r="727" spans="1:38" x14ac:dyDescent="0.25">
      <c r="A727" t="s">
        <v>1731</v>
      </c>
      <c r="B727" t="s">
        <v>1731</v>
      </c>
      <c r="C727" s="1">
        <v>597</v>
      </c>
      <c r="D727" s="1" t="s">
        <v>1730</v>
      </c>
      <c r="E727">
        <v>5</v>
      </c>
      <c r="F727">
        <v>0.6</v>
      </c>
      <c r="G727">
        <v>18.8</v>
      </c>
      <c r="H727" t="s">
        <v>40</v>
      </c>
      <c r="I727" t="s">
        <v>171</v>
      </c>
      <c r="J727" t="s">
        <v>1732</v>
      </c>
      <c r="M727" t="s">
        <v>318</v>
      </c>
      <c r="N727">
        <v>50</v>
      </c>
      <c r="O727">
        <v>50</v>
      </c>
      <c r="P727">
        <v>0</v>
      </c>
      <c r="Q727">
        <v>20</v>
      </c>
      <c r="R727" t="s">
        <v>40</v>
      </c>
      <c r="S727" t="s">
        <v>339</v>
      </c>
      <c r="T727">
        <v>255</v>
      </c>
      <c r="U727">
        <v>61</v>
      </c>
      <c r="V727">
        <v>1000000</v>
      </c>
      <c r="W727" t="s">
        <v>46</v>
      </c>
      <c r="Z727">
        <v>44</v>
      </c>
      <c r="AA727">
        <v>50</v>
      </c>
      <c r="AB727">
        <v>91</v>
      </c>
      <c r="AC727">
        <v>24</v>
      </c>
      <c r="AD727">
        <v>86</v>
      </c>
      <c r="AE727">
        <v>10</v>
      </c>
      <c r="AF727">
        <v>305</v>
      </c>
      <c r="AG727">
        <v>0</v>
      </c>
      <c r="AH727">
        <v>0</v>
      </c>
      <c r="AI727">
        <v>1</v>
      </c>
      <c r="AJ727">
        <v>0</v>
      </c>
      <c r="AK727">
        <v>0</v>
      </c>
      <c r="AL727">
        <v>0</v>
      </c>
    </row>
    <row r="728" spans="1:38" x14ac:dyDescent="0.25">
      <c r="A728" t="s">
        <v>1734</v>
      </c>
      <c r="B728" t="s">
        <v>1734</v>
      </c>
      <c r="C728" s="1">
        <v>598</v>
      </c>
      <c r="D728" s="1" t="s">
        <v>1733</v>
      </c>
      <c r="E728">
        <v>5</v>
      </c>
      <c r="F728">
        <v>1</v>
      </c>
      <c r="G728">
        <v>110</v>
      </c>
      <c r="H728" t="s">
        <v>40</v>
      </c>
      <c r="I728" t="s">
        <v>171</v>
      </c>
      <c r="J728" t="s">
        <v>1732</v>
      </c>
      <c r="L728" t="s">
        <v>358</v>
      </c>
      <c r="M728" t="s">
        <v>318</v>
      </c>
      <c r="N728">
        <v>50</v>
      </c>
      <c r="O728">
        <v>50</v>
      </c>
      <c r="P728">
        <v>0</v>
      </c>
      <c r="Q728">
        <v>20</v>
      </c>
      <c r="R728" t="s">
        <v>40</v>
      </c>
      <c r="S728" t="s">
        <v>339</v>
      </c>
      <c r="T728">
        <v>90</v>
      </c>
      <c r="U728">
        <v>171</v>
      </c>
      <c r="V728">
        <v>1000000</v>
      </c>
      <c r="W728" t="s">
        <v>46</v>
      </c>
      <c r="Z728">
        <v>74</v>
      </c>
      <c r="AA728">
        <v>94</v>
      </c>
      <c r="AB728">
        <v>131</v>
      </c>
      <c r="AC728">
        <v>54</v>
      </c>
      <c r="AD728">
        <v>116</v>
      </c>
      <c r="AE728">
        <v>20</v>
      </c>
      <c r="AF728">
        <v>489</v>
      </c>
      <c r="AG728">
        <v>0</v>
      </c>
      <c r="AH728">
        <v>0</v>
      </c>
      <c r="AI728">
        <v>2</v>
      </c>
      <c r="AJ728">
        <v>0</v>
      </c>
      <c r="AK728">
        <v>0</v>
      </c>
      <c r="AL728">
        <v>0</v>
      </c>
    </row>
    <row r="729" spans="1:38" x14ac:dyDescent="0.25">
      <c r="A729" t="s">
        <v>1736</v>
      </c>
      <c r="B729" t="s">
        <v>1736</v>
      </c>
      <c r="C729" s="1">
        <v>599</v>
      </c>
      <c r="D729" s="1" t="s">
        <v>1735</v>
      </c>
      <c r="E729">
        <v>5</v>
      </c>
      <c r="F729">
        <v>0.3</v>
      </c>
      <c r="G729">
        <v>21</v>
      </c>
      <c r="H729" t="s">
        <v>171</v>
      </c>
      <c r="J729" t="s">
        <v>679</v>
      </c>
      <c r="K729" t="s">
        <v>1005</v>
      </c>
      <c r="L729" t="s">
        <v>331</v>
      </c>
      <c r="M729" t="s">
        <v>318</v>
      </c>
      <c r="N729">
        <v>0</v>
      </c>
      <c r="O729">
        <v>0</v>
      </c>
      <c r="P729">
        <v>100</v>
      </c>
      <c r="Q729">
        <v>20</v>
      </c>
      <c r="R729" t="s">
        <v>339</v>
      </c>
      <c r="T729">
        <v>130</v>
      </c>
      <c r="U729">
        <v>60</v>
      </c>
      <c r="V729">
        <v>1059860</v>
      </c>
      <c r="W729" t="s">
        <v>46</v>
      </c>
      <c r="Z729">
        <v>40</v>
      </c>
      <c r="AA729">
        <v>55</v>
      </c>
      <c r="AB729">
        <v>70</v>
      </c>
      <c r="AC729">
        <v>45</v>
      </c>
      <c r="AD729">
        <v>60</v>
      </c>
      <c r="AE729">
        <v>30</v>
      </c>
      <c r="AF729">
        <v>300</v>
      </c>
      <c r="AG729">
        <v>0</v>
      </c>
      <c r="AH729">
        <v>0</v>
      </c>
      <c r="AI729">
        <v>1</v>
      </c>
      <c r="AJ729">
        <v>0</v>
      </c>
      <c r="AK729">
        <v>0</v>
      </c>
      <c r="AL729">
        <v>0</v>
      </c>
    </row>
    <row r="730" spans="1:38" x14ac:dyDescent="0.25">
      <c r="A730" t="s">
        <v>1738</v>
      </c>
      <c r="B730" t="s">
        <v>1738</v>
      </c>
      <c r="C730" s="1">
        <v>600</v>
      </c>
      <c r="D730" s="1" t="s">
        <v>1737</v>
      </c>
      <c r="E730">
        <v>5</v>
      </c>
      <c r="F730">
        <v>0.6</v>
      </c>
      <c r="G730">
        <v>51</v>
      </c>
      <c r="H730" t="s">
        <v>171</v>
      </c>
      <c r="J730" t="s">
        <v>679</v>
      </c>
      <c r="K730" t="s">
        <v>1005</v>
      </c>
      <c r="L730" t="s">
        <v>331</v>
      </c>
      <c r="M730" t="s">
        <v>318</v>
      </c>
      <c r="N730">
        <v>0</v>
      </c>
      <c r="O730">
        <v>0</v>
      </c>
      <c r="P730">
        <v>100</v>
      </c>
      <c r="Q730">
        <v>20</v>
      </c>
      <c r="R730" t="s">
        <v>339</v>
      </c>
      <c r="T730">
        <v>60</v>
      </c>
      <c r="U730">
        <v>154</v>
      </c>
      <c r="V730">
        <v>1059860</v>
      </c>
      <c r="W730" t="s">
        <v>46</v>
      </c>
      <c r="Z730">
        <v>60</v>
      </c>
      <c r="AA730">
        <v>80</v>
      </c>
      <c r="AB730">
        <v>95</v>
      </c>
      <c r="AC730">
        <v>70</v>
      </c>
      <c r="AD730">
        <v>85</v>
      </c>
      <c r="AE730">
        <v>50</v>
      </c>
      <c r="AF730">
        <v>440</v>
      </c>
      <c r="AG730">
        <v>0</v>
      </c>
      <c r="AH730">
        <v>0</v>
      </c>
      <c r="AI730">
        <v>2</v>
      </c>
      <c r="AJ730">
        <v>0</v>
      </c>
      <c r="AK730">
        <v>0</v>
      </c>
      <c r="AL730">
        <v>0</v>
      </c>
    </row>
    <row r="731" spans="1:38" x14ac:dyDescent="0.25">
      <c r="A731" t="s">
        <v>1740</v>
      </c>
      <c r="B731" t="s">
        <v>1740</v>
      </c>
      <c r="C731" s="1">
        <v>601</v>
      </c>
      <c r="D731" s="1" t="s">
        <v>1739</v>
      </c>
      <c r="E731">
        <v>5</v>
      </c>
      <c r="F731">
        <v>0.6</v>
      </c>
      <c r="G731">
        <v>81</v>
      </c>
      <c r="H731" t="s">
        <v>171</v>
      </c>
      <c r="J731" t="s">
        <v>679</v>
      </c>
      <c r="K731" t="s">
        <v>1005</v>
      </c>
      <c r="L731" t="s">
        <v>331</v>
      </c>
      <c r="M731" t="s">
        <v>318</v>
      </c>
      <c r="N731">
        <v>0</v>
      </c>
      <c r="O731">
        <v>0</v>
      </c>
      <c r="P731">
        <v>100</v>
      </c>
      <c r="Q731">
        <v>20</v>
      </c>
      <c r="R731" t="s">
        <v>339</v>
      </c>
      <c r="T731">
        <v>30</v>
      </c>
      <c r="U731">
        <v>260</v>
      </c>
      <c r="V731">
        <v>1059860</v>
      </c>
      <c r="W731" t="s">
        <v>46</v>
      </c>
      <c r="Z731">
        <v>60</v>
      </c>
      <c r="AA731">
        <v>100</v>
      </c>
      <c r="AB731">
        <v>115</v>
      </c>
      <c r="AC731">
        <v>70</v>
      </c>
      <c r="AD731">
        <v>85</v>
      </c>
      <c r="AE731">
        <v>90</v>
      </c>
      <c r="AF731">
        <v>520</v>
      </c>
      <c r="AG731">
        <v>0</v>
      </c>
      <c r="AH731">
        <v>0</v>
      </c>
      <c r="AI731">
        <v>3</v>
      </c>
      <c r="AJ731">
        <v>0</v>
      </c>
      <c r="AK731">
        <v>0</v>
      </c>
      <c r="AL731">
        <v>0</v>
      </c>
    </row>
    <row r="732" spans="1:38" x14ac:dyDescent="0.25">
      <c r="A732" t="s">
        <v>1742</v>
      </c>
      <c r="B732" t="s">
        <v>1742</v>
      </c>
      <c r="C732" s="1">
        <v>602</v>
      </c>
      <c r="D732" s="1" t="s">
        <v>1741</v>
      </c>
      <c r="E732">
        <v>5</v>
      </c>
      <c r="F732">
        <v>0.2</v>
      </c>
      <c r="G732">
        <v>0.3</v>
      </c>
      <c r="H732" t="s">
        <v>154</v>
      </c>
      <c r="J732" t="s">
        <v>420</v>
      </c>
      <c r="M732" t="s">
        <v>100</v>
      </c>
      <c r="N732">
        <v>50</v>
      </c>
      <c r="O732">
        <v>50</v>
      </c>
      <c r="P732">
        <v>0</v>
      </c>
      <c r="Q732">
        <v>20</v>
      </c>
      <c r="R732" t="s">
        <v>403</v>
      </c>
      <c r="T732">
        <v>190</v>
      </c>
      <c r="U732">
        <v>55</v>
      </c>
      <c r="V732">
        <v>1250000</v>
      </c>
      <c r="W732" t="s">
        <v>46</v>
      </c>
      <c r="Z732">
        <v>35</v>
      </c>
      <c r="AA732">
        <v>55</v>
      </c>
      <c r="AB732">
        <v>40</v>
      </c>
      <c r="AC732">
        <v>45</v>
      </c>
      <c r="AD732">
        <v>40</v>
      </c>
      <c r="AE732">
        <v>60</v>
      </c>
      <c r="AF732">
        <v>275</v>
      </c>
      <c r="AG732">
        <v>0</v>
      </c>
      <c r="AH732">
        <v>0</v>
      </c>
      <c r="AI732">
        <v>0</v>
      </c>
      <c r="AJ732">
        <v>0</v>
      </c>
      <c r="AK732">
        <v>0</v>
      </c>
      <c r="AL732">
        <v>1</v>
      </c>
    </row>
    <row r="733" spans="1:38" x14ac:dyDescent="0.25">
      <c r="A733" t="s">
        <v>1744</v>
      </c>
      <c r="B733" t="s">
        <v>1744</v>
      </c>
      <c r="C733" s="1">
        <v>603</v>
      </c>
      <c r="D733" s="1" t="s">
        <v>1743</v>
      </c>
      <c r="E733">
        <v>5</v>
      </c>
      <c r="F733">
        <v>1.2</v>
      </c>
      <c r="G733">
        <v>22</v>
      </c>
      <c r="H733" t="s">
        <v>154</v>
      </c>
      <c r="J733" t="s">
        <v>420</v>
      </c>
      <c r="M733" t="s">
        <v>79</v>
      </c>
      <c r="N733">
        <v>50</v>
      </c>
      <c r="O733">
        <v>50</v>
      </c>
      <c r="P733">
        <v>0</v>
      </c>
      <c r="Q733">
        <v>20</v>
      </c>
      <c r="R733" t="s">
        <v>403</v>
      </c>
      <c r="T733">
        <v>60</v>
      </c>
      <c r="U733">
        <v>142</v>
      </c>
      <c r="V733">
        <v>1250000</v>
      </c>
      <c r="W733" t="s">
        <v>46</v>
      </c>
      <c r="Z733">
        <v>65</v>
      </c>
      <c r="AA733">
        <v>85</v>
      </c>
      <c r="AB733">
        <v>70</v>
      </c>
      <c r="AC733">
        <v>75</v>
      </c>
      <c r="AD733">
        <v>70</v>
      </c>
      <c r="AE733">
        <v>40</v>
      </c>
      <c r="AF733">
        <v>405</v>
      </c>
      <c r="AG733">
        <v>0</v>
      </c>
      <c r="AH733">
        <v>2</v>
      </c>
      <c r="AI733">
        <v>0</v>
      </c>
      <c r="AJ733">
        <v>0</v>
      </c>
      <c r="AK733">
        <v>0</v>
      </c>
      <c r="AL733">
        <v>0</v>
      </c>
    </row>
    <row r="734" spans="1:38" x14ac:dyDescent="0.25">
      <c r="A734" t="s">
        <v>1746</v>
      </c>
      <c r="B734" t="s">
        <v>1746</v>
      </c>
      <c r="C734" s="1">
        <v>604</v>
      </c>
      <c r="D734" s="1" t="s">
        <v>1745</v>
      </c>
      <c r="E734">
        <v>5</v>
      </c>
      <c r="F734">
        <v>2.1</v>
      </c>
      <c r="G734">
        <v>80.5</v>
      </c>
      <c r="H734" t="s">
        <v>154</v>
      </c>
      <c r="J734" t="s">
        <v>420</v>
      </c>
      <c r="M734" t="s">
        <v>79</v>
      </c>
      <c r="N734">
        <v>50</v>
      </c>
      <c r="O734">
        <v>50</v>
      </c>
      <c r="P734">
        <v>0</v>
      </c>
      <c r="Q734">
        <v>20</v>
      </c>
      <c r="R734" t="s">
        <v>403</v>
      </c>
      <c r="T734">
        <v>30</v>
      </c>
      <c r="U734">
        <v>258</v>
      </c>
      <c r="V734">
        <v>1250000</v>
      </c>
      <c r="W734" t="s">
        <v>46</v>
      </c>
      <c r="Z734">
        <v>85</v>
      </c>
      <c r="AA734">
        <v>115</v>
      </c>
      <c r="AB734">
        <v>80</v>
      </c>
      <c r="AC734">
        <v>105</v>
      </c>
      <c r="AD734">
        <v>80</v>
      </c>
      <c r="AE734">
        <v>50</v>
      </c>
      <c r="AF734">
        <v>515</v>
      </c>
      <c r="AG734">
        <v>0</v>
      </c>
      <c r="AH734">
        <v>3</v>
      </c>
      <c r="AI734">
        <v>0</v>
      </c>
      <c r="AJ734">
        <v>0</v>
      </c>
      <c r="AK734">
        <v>0</v>
      </c>
      <c r="AL734">
        <v>0</v>
      </c>
    </row>
    <row r="735" spans="1:38" x14ac:dyDescent="0.25">
      <c r="A735" t="s">
        <v>1748</v>
      </c>
      <c r="B735" t="s">
        <v>1748</v>
      </c>
      <c r="C735" s="1">
        <v>605</v>
      </c>
      <c r="D735" s="1" t="s">
        <v>1747</v>
      </c>
      <c r="E735">
        <v>5</v>
      </c>
      <c r="F735">
        <v>0.5</v>
      </c>
      <c r="G735">
        <v>9</v>
      </c>
      <c r="H735" t="s">
        <v>162</v>
      </c>
      <c r="J735" t="s">
        <v>738</v>
      </c>
      <c r="K735" t="s">
        <v>306</v>
      </c>
      <c r="L735" t="s">
        <v>380</v>
      </c>
      <c r="M735" t="s">
        <v>79</v>
      </c>
      <c r="N735">
        <v>50</v>
      </c>
      <c r="O735">
        <v>50</v>
      </c>
      <c r="P735">
        <v>0</v>
      </c>
      <c r="Q735">
        <v>20</v>
      </c>
      <c r="R735" t="s">
        <v>307</v>
      </c>
      <c r="T735">
        <v>255</v>
      </c>
      <c r="U735">
        <v>67</v>
      </c>
      <c r="V735">
        <v>1000000</v>
      </c>
      <c r="W735" t="s">
        <v>46</v>
      </c>
      <c r="Z735">
        <v>55</v>
      </c>
      <c r="AA735">
        <v>55</v>
      </c>
      <c r="AB735">
        <v>55</v>
      </c>
      <c r="AC735">
        <v>85</v>
      </c>
      <c r="AD735">
        <v>55</v>
      </c>
      <c r="AE735">
        <v>30</v>
      </c>
      <c r="AF735">
        <v>335</v>
      </c>
      <c r="AG735">
        <v>0</v>
      </c>
      <c r="AH735">
        <v>0</v>
      </c>
      <c r="AI735">
        <v>0</v>
      </c>
      <c r="AJ735">
        <v>1</v>
      </c>
      <c r="AK735">
        <v>0</v>
      </c>
      <c r="AL735">
        <v>0</v>
      </c>
    </row>
    <row r="736" spans="1:38" x14ac:dyDescent="0.25">
      <c r="A736" t="s">
        <v>1750</v>
      </c>
      <c r="B736" t="s">
        <v>1750</v>
      </c>
      <c r="C736" s="1">
        <v>606</v>
      </c>
      <c r="D736" s="1" t="s">
        <v>1749</v>
      </c>
      <c r="E736">
        <v>5</v>
      </c>
      <c r="F736">
        <v>1</v>
      </c>
      <c r="G736">
        <v>34.5</v>
      </c>
      <c r="H736" t="s">
        <v>162</v>
      </c>
      <c r="J736" t="s">
        <v>738</v>
      </c>
      <c r="K736" t="s">
        <v>306</v>
      </c>
      <c r="L736" t="s">
        <v>380</v>
      </c>
      <c r="M736" t="s">
        <v>103</v>
      </c>
      <c r="N736">
        <v>50</v>
      </c>
      <c r="O736">
        <v>50</v>
      </c>
      <c r="P736">
        <v>0</v>
      </c>
      <c r="Q736">
        <v>20</v>
      </c>
      <c r="R736" t="s">
        <v>307</v>
      </c>
      <c r="T736">
        <v>90</v>
      </c>
      <c r="U736">
        <v>170</v>
      </c>
      <c r="V736">
        <v>1000000</v>
      </c>
      <c r="W736" t="s">
        <v>46</v>
      </c>
      <c r="Z736">
        <v>75</v>
      </c>
      <c r="AA736">
        <v>75</v>
      </c>
      <c r="AB736">
        <v>75</v>
      </c>
      <c r="AC736">
        <v>125</v>
      </c>
      <c r="AD736">
        <v>95</v>
      </c>
      <c r="AE736">
        <v>40</v>
      </c>
      <c r="AF736">
        <v>485</v>
      </c>
      <c r="AG736">
        <v>0</v>
      </c>
      <c r="AH736">
        <v>0</v>
      </c>
      <c r="AI736">
        <v>0</v>
      </c>
      <c r="AJ736">
        <v>2</v>
      </c>
      <c r="AK736">
        <v>0</v>
      </c>
      <c r="AL736">
        <v>0</v>
      </c>
    </row>
    <row r="737" spans="1:38" x14ac:dyDescent="0.25">
      <c r="A737" t="s">
        <v>1752</v>
      </c>
      <c r="B737" t="s">
        <v>1752</v>
      </c>
      <c r="C737" s="1">
        <v>607</v>
      </c>
      <c r="D737" s="1" t="s">
        <v>1751</v>
      </c>
      <c r="E737">
        <v>5</v>
      </c>
      <c r="F737">
        <v>0.3</v>
      </c>
      <c r="G737">
        <v>3.1</v>
      </c>
      <c r="H737" t="s">
        <v>419</v>
      </c>
      <c r="I737" t="s">
        <v>57</v>
      </c>
      <c r="J737" t="s">
        <v>205</v>
      </c>
      <c r="K737" t="s">
        <v>354</v>
      </c>
      <c r="L737" t="s">
        <v>222</v>
      </c>
      <c r="M737" t="s">
        <v>100</v>
      </c>
      <c r="N737">
        <v>50</v>
      </c>
      <c r="O737">
        <v>50</v>
      </c>
      <c r="P737">
        <v>0</v>
      </c>
      <c r="Q737">
        <v>20</v>
      </c>
      <c r="R737" t="s">
        <v>403</v>
      </c>
      <c r="T737">
        <v>190</v>
      </c>
      <c r="U737">
        <v>55</v>
      </c>
      <c r="V737">
        <v>1059860</v>
      </c>
      <c r="W737" t="s">
        <v>46</v>
      </c>
      <c r="Z737">
        <v>50</v>
      </c>
      <c r="AA737">
        <v>30</v>
      </c>
      <c r="AB737">
        <v>55</v>
      </c>
      <c r="AC737">
        <v>65</v>
      </c>
      <c r="AD737">
        <v>55</v>
      </c>
      <c r="AE737">
        <v>20</v>
      </c>
      <c r="AF737">
        <v>275</v>
      </c>
      <c r="AG737">
        <v>0</v>
      </c>
      <c r="AH737">
        <v>0</v>
      </c>
      <c r="AI737">
        <v>0</v>
      </c>
      <c r="AJ737">
        <v>1</v>
      </c>
      <c r="AK737">
        <v>0</v>
      </c>
      <c r="AL737">
        <v>0</v>
      </c>
    </row>
    <row r="738" spans="1:38" x14ac:dyDescent="0.25">
      <c r="A738" t="s">
        <v>1754</v>
      </c>
      <c r="B738" t="s">
        <v>1754</v>
      </c>
      <c r="C738" s="1">
        <v>608</v>
      </c>
      <c r="D738" s="1" t="s">
        <v>1753</v>
      </c>
      <c r="E738">
        <v>5</v>
      </c>
      <c r="F738">
        <v>0.6</v>
      </c>
      <c r="G738">
        <v>13</v>
      </c>
      <c r="H738" t="s">
        <v>419</v>
      </c>
      <c r="I738" t="s">
        <v>57</v>
      </c>
      <c r="J738" t="s">
        <v>205</v>
      </c>
      <c r="K738" t="s">
        <v>354</v>
      </c>
      <c r="L738" t="s">
        <v>222</v>
      </c>
      <c r="M738" t="s">
        <v>70</v>
      </c>
      <c r="N738">
        <v>50</v>
      </c>
      <c r="O738">
        <v>50</v>
      </c>
      <c r="P738">
        <v>0</v>
      </c>
      <c r="Q738">
        <v>20</v>
      </c>
      <c r="R738" t="s">
        <v>403</v>
      </c>
      <c r="T738">
        <v>90</v>
      </c>
      <c r="U738">
        <v>130</v>
      </c>
      <c r="V738">
        <v>1059860</v>
      </c>
      <c r="W738" t="s">
        <v>46</v>
      </c>
      <c r="Z738">
        <v>60</v>
      </c>
      <c r="AA738">
        <v>40</v>
      </c>
      <c r="AB738">
        <v>60</v>
      </c>
      <c r="AC738">
        <v>95</v>
      </c>
      <c r="AD738">
        <v>60</v>
      </c>
      <c r="AE738">
        <v>55</v>
      </c>
      <c r="AF738">
        <v>370</v>
      </c>
      <c r="AG738">
        <v>0</v>
      </c>
      <c r="AH738">
        <v>0</v>
      </c>
      <c r="AI738">
        <v>0</v>
      </c>
      <c r="AJ738">
        <v>2</v>
      </c>
      <c r="AK738">
        <v>0</v>
      </c>
      <c r="AL738">
        <v>0</v>
      </c>
    </row>
    <row r="739" spans="1:38" x14ac:dyDescent="0.25">
      <c r="A739" t="s">
        <v>1756</v>
      </c>
      <c r="B739" t="s">
        <v>1756</v>
      </c>
      <c r="C739" s="1">
        <v>609</v>
      </c>
      <c r="D739" s="1" t="s">
        <v>1755</v>
      </c>
      <c r="E739">
        <v>5</v>
      </c>
      <c r="F739">
        <v>1</v>
      </c>
      <c r="G739">
        <v>34.299999999999997</v>
      </c>
      <c r="H739" t="s">
        <v>419</v>
      </c>
      <c r="I739" t="s">
        <v>57</v>
      </c>
      <c r="J739" t="s">
        <v>205</v>
      </c>
      <c r="K739" t="s">
        <v>354</v>
      </c>
      <c r="L739" t="s">
        <v>222</v>
      </c>
      <c r="M739" t="s">
        <v>70</v>
      </c>
      <c r="N739">
        <v>50</v>
      </c>
      <c r="O739">
        <v>50</v>
      </c>
      <c r="P739">
        <v>0</v>
      </c>
      <c r="Q739">
        <v>20</v>
      </c>
      <c r="R739" t="s">
        <v>403</v>
      </c>
      <c r="T739">
        <v>45</v>
      </c>
      <c r="U739">
        <v>260</v>
      </c>
      <c r="V739">
        <v>1059860</v>
      </c>
      <c r="W739" t="s">
        <v>46</v>
      </c>
      <c r="Z739">
        <v>60</v>
      </c>
      <c r="AA739">
        <v>55</v>
      </c>
      <c r="AB739">
        <v>90</v>
      </c>
      <c r="AC739">
        <v>145</v>
      </c>
      <c r="AD739">
        <v>90</v>
      </c>
      <c r="AE739">
        <v>80</v>
      </c>
      <c r="AF739">
        <v>520</v>
      </c>
      <c r="AG739">
        <v>0</v>
      </c>
      <c r="AH739">
        <v>0</v>
      </c>
      <c r="AI739">
        <v>0</v>
      </c>
      <c r="AJ739">
        <v>3</v>
      </c>
      <c r="AK739">
        <v>0</v>
      </c>
      <c r="AL739">
        <v>0</v>
      </c>
    </row>
    <row r="740" spans="1:38" x14ac:dyDescent="0.25">
      <c r="A740" t="s">
        <v>1758</v>
      </c>
      <c r="B740" t="s">
        <v>1758</v>
      </c>
      <c r="C740" s="1">
        <v>610</v>
      </c>
      <c r="D740" s="1" t="s">
        <v>1757</v>
      </c>
      <c r="E740">
        <v>5</v>
      </c>
      <c r="F740">
        <v>0.6</v>
      </c>
      <c r="G740">
        <v>18</v>
      </c>
      <c r="H740" t="s">
        <v>61</v>
      </c>
      <c r="J740" t="s">
        <v>181</v>
      </c>
      <c r="K740" t="s">
        <v>532</v>
      </c>
      <c r="L740" t="s">
        <v>149</v>
      </c>
      <c r="M740" t="s">
        <v>44</v>
      </c>
      <c r="N740">
        <v>50</v>
      </c>
      <c r="O740">
        <v>50</v>
      </c>
      <c r="P740">
        <v>0</v>
      </c>
      <c r="Q740">
        <v>40</v>
      </c>
      <c r="R740" t="s">
        <v>45</v>
      </c>
      <c r="S740" t="s">
        <v>61</v>
      </c>
      <c r="T740">
        <v>75</v>
      </c>
      <c r="U740">
        <v>64</v>
      </c>
      <c r="V740">
        <v>1250000</v>
      </c>
      <c r="W740" t="s">
        <v>46</v>
      </c>
      <c r="Z740">
        <v>46</v>
      </c>
      <c r="AA740">
        <v>87</v>
      </c>
      <c r="AB740">
        <v>60</v>
      </c>
      <c r="AC740">
        <v>30</v>
      </c>
      <c r="AD740">
        <v>40</v>
      </c>
      <c r="AE740">
        <v>57</v>
      </c>
      <c r="AF740">
        <v>320</v>
      </c>
      <c r="AG740">
        <v>0</v>
      </c>
      <c r="AH740">
        <v>1</v>
      </c>
      <c r="AI740">
        <v>0</v>
      </c>
      <c r="AJ740">
        <v>0</v>
      </c>
      <c r="AK740">
        <v>0</v>
      </c>
      <c r="AL740">
        <v>0</v>
      </c>
    </row>
    <row r="741" spans="1:38" x14ac:dyDescent="0.25">
      <c r="A741" t="s">
        <v>1760</v>
      </c>
      <c r="B741" t="s">
        <v>1760</v>
      </c>
      <c r="C741" s="1">
        <v>611</v>
      </c>
      <c r="D741" s="1" t="s">
        <v>1759</v>
      </c>
      <c r="E741">
        <v>5</v>
      </c>
      <c r="F741">
        <v>1</v>
      </c>
      <c r="G741">
        <v>36</v>
      </c>
      <c r="H741" t="s">
        <v>61</v>
      </c>
      <c r="J741" t="s">
        <v>181</v>
      </c>
      <c r="K741" t="s">
        <v>532</v>
      </c>
      <c r="L741" t="s">
        <v>149</v>
      </c>
      <c r="M741" t="s">
        <v>44</v>
      </c>
      <c r="N741">
        <v>50</v>
      </c>
      <c r="O741">
        <v>50</v>
      </c>
      <c r="P741">
        <v>0</v>
      </c>
      <c r="Q741">
        <v>40</v>
      </c>
      <c r="R741" t="s">
        <v>45</v>
      </c>
      <c r="S741" t="s">
        <v>61</v>
      </c>
      <c r="T741">
        <v>60</v>
      </c>
      <c r="U741">
        <v>144</v>
      </c>
      <c r="V741">
        <v>1250000</v>
      </c>
      <c r="W741" t="s">
        <v>46</v>
      </c>
      <c r="Z741">
        <v>66</v>
      </c>
      <c r="AA741">
        <v>117</v>
      </c>
      <c r="AB741">
        <v>70</v>
      </c>
      <c r="AC741">
        <v>40</v>
      </c>
      <c r="AD741">
        <v>50</v>
      </c>
      <c r="AE741">
        <v>67</v>
      </c>
      <c r="AF741">
        <v>410</v>
      </c>
      <c r="AG741">
        <v>0</v>
      </c>
      <c r="AH741">
        <v>2</v>
      </c>
      <c r="AI741">
        <v>0</v>
      </c>
      <c r="AJ741">
        <v>0</v>
      </c>
      <c r="AK741">
        <v>0</v>
      </c>
      <c r="AL741">
        <v>0</v>
      </c>
    </row>
    <row r="742" spans="1:38" x14ac:dyDescent="0.25">
      <c r="A742" t="s">
        <v>1762</v>
      </c>
      <c r="B742" t="s">
        <v>1762</v>
      </c>
      <c r="C742" s="1">
        <v>612</v>
      </c>
      <c r="D742" s="1" t="s">
        <v>1761</v>
      </c>
      <c r="E742">
        <v>5</v>
      </c>
      <c r="F742">
        <v>1.8</v>
      </c>
      <c r="G742">
        <v>105.5</v>
      </c>
      <c r="H742" t="s">
        <v>61</v>
      </c>
      <c r="J742" t="s">
        <v>181</v>
      </c>
      <c r="K742" t="s">
        <v>532</v>
      </c>
      <c r="L742" t="s">
        <v>149</v>
      </c>
      <c r="M742" t="s">
        <v>106</v>
      </c>
      <c r="N742">
        <v>50</v>
      </c>
      <c r="O742">
        <v>50</v>
      </c>
      <c r="P742">
        <v>0</v>
      </c>
      <c r="Q742">
        <v>40</v>
      </c>
      <c r="R742" t="s">
        <v>45</v>
      </c>
      <c r="S742" t="s">
        <v>61</v>
      </c>
      <c r="T742">
        <v>45</v>
      </c>
      <c r="U742">
        <v>270</v>
      </c>
      <c r="V742">
        <v>1250000</v>
      </c>
      <c r="W742" t="s">
        <v>46</v>
      </c>
      <c r="Z742">
        <v>76</v>
      </c>
      <c r="AA742">
        <v>147</v>
      </c>
      <c r="AB742">
        <v>90</v>
      </c>
      <c r="AC742">
        <v>60</v>
      </c>
      <c r="AD742">
        <v>70</v>
      </c>
      <c r="AE742">
        <v>97</v>
      </c>
      <c r="AF742">
        <v>540</v>
      </c>
      <c r="AG742">
        <v>0</v>
      </c>
      <c r="AH742">
        <v>3</v>
      </c>
      <c r="AI742">
        <v>0</v>
      </c>
      <c r="AJ742">
        <v>0</v>
      </c>
      <c r="AK742">
        <v>0</v>
      </c>
      <c r="AL742">
        <v>0</v>
      </c>
    </row>
    <row r="743" spans="1:38" x14ac:dyDescent="0.25">
      <c r="A743" t="s">
        <v>1764</v>
      </c>
      <c r="B743" t="s">
        <v>1764</v>
      </c>
      <c r="C743" s="1">
        <v>613</v>
      </c>
      <c r="D743" s="1" t="s">
        <v>1763</v>
      </c>
      <c r="E743">
        <v>5</v>
      </c>
      <c r="F743">
        <v>0.5</v>
      </c>
      <c r="G743">
        <v>8.5</v>
      </c>
      <c r="H743" t="s">
        <v>170</v>
      </c>
      <c r="J743" t="s">
        <v>172</v>
      </c>
      <c r="K743" t="s">
        <v>173</v>
      </c>
      <c r="L743" t="s">
        <v>261</v>
      </c>
      <c r="M743" t="s">
        <v>100</v>
      </c>
      <c r="N743">
        <v>50</v>
      </c>
      <c r="O743">
        <v>50</v>
      </c>
      <c r="P743">
        <v>0</v>
      </c>
      <c r="Q743">
        <v>20</v>
      </c>
      <c r="R743" t="s">
        <v>132</v>
      </c>
      <c r="T743">
        <v>120</v>
      </c>
      <c r="U743">
        <v>61</v>
      </c>
      <c r="V743">
        <v>1000000</v>
      </c>
      <c r="W743" t="s">
        <v>46</v>
      </c>
      <c r="Z743">
        <v>55</v>
      </c>
      <c r="AA743">
        <v>70</v>
      </c>
      <c r="AB743">
        <v>40</v>
      </c>
      <c r="AC743">
        <v>60</v>
      </c>
      <c r="AD743">
        <v>40</v>
      </c>
      <c r="AE743">
        <v>40</v>
      </c>
      <c r="AF743">
        <v>305</v>
      </c>
      <c r="AG743">
        <v>0</v>
      </c>
      <c r="AH743">
        <v>1</v>
      </c>
      <c r="AI743">
        <v>0</v>
      </c>
      <c r="AJ743">
        <v>0</v>
      </c>
      <c r="AK743">
        <v>0</v>
      </c>
      <c r="AL743">
        <v>0</v>
      </c>
    </row>
    <row r="744" spans="1:38" x14ac:dyDescent="0.25">
      <c r="A744" t="s">
        <v>1766</v>
      </c>
      <c r="B744" t="s">
        <v>1766</v>
      </c>
      <c r="C744" s="1">
        <v>614</v>
      </c>
      <c r="D744" s="1" t="s">
        <v>1765</v>
      </c>
      <c r="E744">
        <v>5</v>
      </c>
      <c r="F744">
        <v>2.6</v>
      </c>
      <c r="G744">
        <v>260</v>
      </c>
      <c r="H744" t="s">
        <v>170</v>
      </c>
      <c r="J744" t="s">
        <v>172</v>
      </c>
      <c r="K744" t="s">
        <v>173</v>
      </c>
      <c r="L744" t="s">
        <v>274</v>
      </c>
      <c r="M744" t="s">
        <v>100</v>
      </c>
      <c r="N744">
        <v>50</v>
      </c>
      <c r="O744">
        <v>50</v>
      </c>
      <c r="P744">
        <v>0</v>
      </c>
      <c r="Q744">
        <v>20</v>
      </c>
      <c r="R744" t="s">
        <v>132</v>
      </c>
      <c r="T744">
        <v>60</v>
      </c>
      <c r="U744">
        <v>177</v>
      </c>
      <c r="V744">
        <v>1000000</v>
      </c>
      <c r="W744" t="s">
        <v>46</v>
      </c>
      <c r="Z744">
        <v>95</v>
      </c>
      <c r="AA744">
        <v>130</v>
      </c>
      <c r="AB744">
        <v>80</v>
      </c>
      <c r="AC744">
        <v>70</v>
      </c>
      <c r="AD744">
        <v>80</v>
      </c>
      <c r="AE744">
        <v>50</v>
      </c>
      <c r="AF744">
        <v>505</v>
      </c>
      <c r="AG744">
        <v>0</v>
      </c>
      <c r="AH744">
        <v>2</v>
      </c>
      <c r="AI744">
        <v>0</v>
      </c>
      <c r="AJ744">
        <v>0</v>
      </c>
      <c r="AK744">
        <v>0</v>
      </c>
      <c r="AL744">
        <v>0</v>
      </c>
    </row>
    <row r="745" spans="1:38" x14ac:dyDescent="0.25">
      <c r="A745" t="s">
        <v>1768</v>
      </c>
      <c r="B745" t="s">
        <v>1768</v>
      </c>
      <c r="C745" s="1">
        <v>615</v>
      </c>
      <c r="D745" s="1" t="s">
        <v>1767</v>
      </c>
      <c r="E745">
        <v>5</v>
      </c>
      <c r="F745">
        <v>1.1000000000000001</v>
      </c>
      <c r="G745">
        <v>148</v>
      </c>
      <c r="H745" t="s">
        <v>170</v>
      </c>
      <c r="J745" t="s">
        <v>420</v>
      </c>
      <c r="M745" t="s">
        <v>79</v>
      </c>
      <c r="N745">
        <v>0</v>
      </c>
      <c r="O745">
        <v>0</v>
      </c>
      <c r="P745">
        <v>100</v>
      </c>
      <c r="Q745">
        <v>25</v>
      </c>
      <c r="R745" t="s">
        <v>339</v>
      </c>
      <c r="T745">
        <v>25</v>
      </c>
      <c r="U745">
        <v>180</v>
      </c>
      <c r="V745">
        <v>1000000</v>
      </c>
      <c r="W745" t="s">
        <v>46</v>
      </c>
      <c r="Z745">
        <v>80</v>
      </c>
      <c r="AA745">
        <v>50</v>
      </c>
      <c r="AB745">
        <v>50</v>
      </c>
      <c r="AC745">
        <v>95</v>
      </c>
      <c r="AD745">
        <v>135</v>
      </c>
      <c r="AE745">
        <v>105</v>
      </c>
      <c r="AF745">
        <v>515</v>
      </c>
      <c r="AG745">
        <v>0</v>
      </c>
      <c r="AH745">
        <v>0</v>
      </c>
      <c r="AI745">
        <v>0</v>
      </c>
      <c r="AJ745">
        <v>0</v>
      </c>
      <c r="AK745">
        <v>2</v>
      </c>
      <c r="AL745">
        <v>0</v>
      </c>
    </row>
    <row r="746" spans="1:38" x14ac:dyDescent="0.25">
      <c r="A746" t="s">
        <v>1770</v>
      </c>
      <c r="B746" t="s">
        <v>1770</v>
      </c>
      <c r="C746" s="1">
        <v>616</v>
      </c>
      <c r="D746" s="1" t="s">
        <v>1769</v>
      </c>
      <c r="E746">
        <v>5</v>
      </c>
      <c r="F746">
        <v>0.4</v>
      </c>
      <c r="G746">
        <v>7.7</v>
      </c>
      <c r="H746" t="s">
        <v>90</v>
      </c>
      <c r="J746" t="s">
        <v>395</v>
      </c>
      <c r="K746" t="s">
        <v>377</v>
      </c>
      <c r="L746" t="s">
        <v>414</v>
      </c>
      <c r="M746" t="s">
        <v>60</v>
      </c>
      <c r="N746">
        <v>50</v>
      </c>
      <c r="O746">
        <v>50</v>
      </c>
      <c r="P746">
        <v>0</v>
      </c>
      <c r="Q746">
        <v>15</v>
      </c>
      <c r="R746" t="s">
        <v>90</v>
      </c>
      <c r="T746">
        <v>200</v>
      </c>
      <c r="U746">
        <v>61</v>
      </c>
      <c r="V746">
        <v>1000000</v>
      </c>
      <c r="W746" t="s">
        <v>46</v>
      </c>
      <c r="Z746">
        <v>50</v>
      </c>
      <c r="AA746">
        <v>40</v>
      </c>
      <c r="AB746">
        <v>85</v>
      </c>
      <c r="AC746">
        <v>40</v>
      </c>
      <c r="AD746">
        <v>65</v>
      </c>
      <c r="AE746">
        <v>25</v>
      </c>
      <c r="AF746">
        <v>305</v>
      </c>
      <c r="AG746">
        <v>0</v>
      </c>
      <c r="AH746">
        <v>0</v>
      </c>
      <c r="AI746">
        <v>1</v>
      </c>
      <c r="AJ746">
        <v>0</v>
      </c>
      <c r="AK746">
        <v>0</v>
      </c>
      <c r="AL746">
        <v>0</v>
      </c>
    </row>
    <row r="747" spans="1:38" x14ac:dyDescent="0.25">
      <c r="A747" t="s">
        <v>1772</v>
      </c>
      <c r="B747" t="s">
        <v>1772</v>
      </c>
      <c r="C747" s="1">
        <v>617</v>
      </c>
      <c r="D747" s="1" t="s">
        <v>1771</v>
      </c>
      <c r="E747">
        <v>5</v>
      </c>
      <c r="F747">
        <v>0.8</v>
      </c>
      <c r="G747">
        <v>25.3</v>
      </c>
      <c r="H747" t="s">
        <v>90</v>
      </c>
      <c r="J747" t="s">
        <v>395</v>
      </c>
      <c r="K747" t="s">
        <v>401</v>
      </c>
      <c r="L747" t="s">
        <v>470</v>
      </c>
      <c r="M747" t="s">
        <v>60</v>
      </c>
      <c r="N747">
        <v>50</v>
      </c>
      <c r="O747">
        <v>50</v>
      </c>
      <c r="P747">
        <v>0</v>
      </c>
      <c r="Q747">
        <v>15</v>
      </c>
      <c r="R747" t="s">
        <v>90</v>
      </c>
      <c r="T747">
        <v>75</v>
      </c>
      <c r="U747">
        <v>173</v>
      </c>
      <c r="V747">
        <v>1000000</v>
      </c>
      <c r="W747" t="s">
        <v>46</v>
      </c>
      <c r="Z747">
        <v>80</v>
      </c>
      <c r="AA747">
        <v>70</v>
      </c>
      <c r="AB747">
        <v>40</v>
      </c>
      <c r="AC747">
        <v>100</v>
      </c>
      <c r="AD747">
        <v>60</v>
      </c>
      <c r="AE747">
        <v>145</v>
      </c>
      <c r="AF747">
        <v>495</v>
      </c>
      <c r="AG747">
        <v>0</v>
      </c>
      <c r="AH747">
        <v>0</v>
      </c>
      <c r="AI747">
        <v>0</v>
      </c>
      <c r="AJ747">
        <v>0</v>
      </c>
      <c r="AK747">
        <v>0</v>
      </c>
      <c r="AL747">
        <v>2</v>
      </c>
    </row>
    <row r="748" spans="1:38" x14ac:dyDescent="0.25">
      <c r="A748" t="s">
        <v>1774</v>
      </c>
      <c r="B748" t="s">
        <v>1774</v>
      </c>
      <c r="C748" s="1">
        <v>618</v>
      </c>
      <c r="D748" s="1" t="s">
        <v>1773</v>
      </c>
      <c r="E748">
        <v>5</v>
      </c>
      <c r="F748">
        <v>0.7</v>
      </c>
      <c r="G748">
        <v>11</v>
      </c>
      <c r="H748" t="s">
        <v>132</v>
      </c>
      <c r="I748" t="s">
        <v>154</v>
      </c>
      <c r="J748" t="s">
        <v>155</v>
      </c>
      <c r="K748" t="s">
        <v>267</v>
      </c>
      <c r="L748" t="s">
        <v>166</v>
      </c>
      <c r="M748" t="s">
        <v>103</v>
      </c>
      <c r="N748">
        <v>50</v>
      </c>
      <c r="O748">
        <v>50</v>
      </c>
      <c r="P748">
        <v>0</v>
      </c>
      <c r="Q748">
        <v>20</v>
      </c>
      <c r="R748" t="s">
        <v>80</v>
      </c>
      <c r="S748" t="s">
        <v>403</v>
      </c>
      <c r="T748">
        <v>75</v>
      </c>
      <c r="U748">
        <v>165</v>
      </c>
      <c r="V748">
        <v>1000000</v>
      </c>
      <c r="W748" t="s">
        <v>46</v>
      </c>
      <c r="Z748">
        <v>109</v>
      </c>
      <c r="AA748">
        <v>66</v>
      </c>
      <c r="AB748">
        <v>84</v>
      </c>
      <c r="AC748">
        <v>81</v>
      </c>
      <c r="AD748">
        <v>99</v>
      </c>
      <c r="AE748">
        <v>32</v>
      </c>
      <c r="AF748">
        <v>471</v>
      </c>
      <c r="AG748">
        <v>2</v>
      </c>
      <c r="AH748">
        <v>0</v>
      </c>
      <c r="AI748">
        <v>0</v>
      </c>
      <c r="AJ748">
        <v>0</v>
      </c>
      <c r="AK748">
        <v>0</v>
      </c>
      <c r="AL748">
        <v>0</v>
      </c>
    </row>
    <row r="749" spans="1:38" x14ac:dyDescent="0.25">
      <c r="A749" t="s">
        <v>1774</v>
      </c>
      <c r="B749" t="s">
        <v>1776</v>
      </c>
      <c r="C749" s="1">
        <v>618</v>
      </c>
      <c r="D749" s="1" t="s">
        <v>1775</v>
      </c>
      <c r="E749">
        <v>8</v>
      </c>
      <c r="F749">
        <v>0.7</v>
      </c>
      <c r="G749">
        <v>20.5</v>
      </c>
      <c r="H749" t="s">
        <v>132</v>
      </c>
      <c r="I749" t="s">
        <v>171</v>
      </c>
      <c r="J749" t="s">
        <v>1777</v>
      </c>
      <c r="M749" t="s">
        <v>44</v>
      </c>
      <c r="N749">
        <v>50</v>
      </c>
      <c r="O749">
        <v>50</v>
      </c>
      <c r="P749">
        <v>0</v>
      </c>
      <c r="Q749">
        <v>20</v>
      </c>
      <c r="R749" t="s">
        <v>80</v>
      </c>
      <c r="S749" t="s">
        <v>403</v>
      </c>
      <c r="T749">
        <v>75</v>
      </c>
      <c r="U749">
        <v>165</v>
      </c>
      <c r="V749">
        <v>1000000</v>
      </c>
      <c r="W749" t="s">
        <v>46</v>
      </c>
      <c r="Y749" t="s">
        <v>264</v>
      </c>
      <c r="Z749">
        <v>109</v>
      </c>
      <c r="AA749">
        <v>81</v>
      </c>
      <c r="AB749">
        <v>99</v>
      </c>
      <c r="AC749">
        <v>66</v>
      </c>
      <c r="AD749">
        <v>84</v>
      </c>
      <c r="AE749">
        <v>32</v>
      </c>
      <c r="AF749">
        <v>471</v>
      </c>
      <c r="AG749">
        <v>2</v>
      </c>
      <c r="AH749">
        <v>0</v>
      </c>
      <c r="AI749">
        <v>0</v>
      </c>
      <c r="AJ749">
        <v>0</v>
      </c>
      <c r="AK749">
        <v>0</v>
      </c>
      <c r="AL749">
        <v>0</v>
      </c>
    </row>
    <row r="750" spans="1:38" x14ac:dyDescent="0.25">
      <c r="A750" t="s">
        <v>1779</v>
      </c>
      <c r="B750" t="s">
        <v>1779</v>
      </c>
      <c r="C750" s="1">
        <v>619</v>
      </c>
      <c r="D750" s="1" t="s">
        <v>1778</v>
      </c>
      <c r="E750">
        <v>5</v>
      </c>
      <c r="F750">
        <v>0.9</v>
      </c>
      <c r="G750">
        <v>20</v>
      </c>
      <c r="H750" t="s">
        <v>279</v>
      </c>
      <c r="J750" t="s">
        <v>221</v>
      </c>
      <c r="K750" t="s">
        <v>367</v>
      </c>
      <c r="L750" t="s">
        <v>469</v>
      </c>
      <c r="M750" t="s">
        <v>106</v>
      </c>
      <c r="N750">
        <v>50</v>
      </c>
      <c r="O750">
        <v>50</v>
      </c>
      <c r="P750">
        <v>0</v>
      </c>
      <c r="Q750">
        <v>25</v>
      </c>
      <c r="R750" t="s">
        <v>132</v>
      </c>
      <c r="S750" t="s">
        <v>307</v>
      </c>
      <c r="T750">
        <v>180</v>
      </c>
      <c r="U750">
        <v>70</v>
      </c>
      <c r="V750">
        <v>1059860</v>
      </c>
      <c r="W750" t="s">
        <v>46</v>
      </c>
      <c r="Z750">
        <v>45</v>
      </c>
      <c r="AA750">
        <v>85</v>
      </c>
      <c r="AB750">
        <v>50</v>
      </c>
      <c r="AC750">
        <v>55</v>
      </c>
      <c r="AD750">
        <v>50</v>
      </c>
      <c r="AE750">
        <v>65</v>
      </c>
      <c r="AF750">
        <v>350</v>
      </c>
      <c r="AG750">
        <v>0</v>
      </c>
      <c r="AH750">
        <v>1</v>
      </c>
      <c r="AI750">
        <v>0</v>
      </c>
      <c r="AJ750">
        <v>0</v>
      </c>
      <c r="AK750">
        <v>0</v>
      </c>
      <c r="AL750">
        <v>0</v>
      </c>
    </row>
    <row r="751" spans="1:38" x14ac:dyDescent="0.25">
      <c r="A751" t="s">
        <v>1781</v>
      </c>
      <c r="B751" t="s">
        <v>1781</v>
      </c>
      <c r="C751" s="1">
        <v>620</v>
      </c>
      <c r="D751" s="1" t="s">
        <v>1780</v>
      </c>
      <c r="E751">
        <v>5</v>
      </c>
      <c r="F751">
        <v>1.4</v>
      </c>
      <c r="G751">
        <v>35.5</v>
      </c>
      <c r="H751" t="s">
        <v>279</v>
      </c>
      <c r="J751" t="s">
        <v>221</v>
      </c>
      <c r="K751" t="s">
        <v>367</v>
      </c>
      <c r="L751" t="s">
        <v>469</v>
      </c>
      <c r="M751" t="s">
        <v>131</v>
      </c>
      <c r="N751">
        <v>50</v>
      </c>
      <c r="O751">
        <v>50</v>
      </c>
      <c r="P751">
        <v>0</v>
      </c>
      <c r="Q751">
        <v>25</v>
      </c>
      <c r="R751" t="s">
        <v>132</v>
      </c>
      <c r="S751" t="s">
        <v>307</v>
      </c>
      <c r="T751">
        <v>45</v>
      </c>
      <c r="U751">
        <v>179</v>
      </c>
      <c r="V751">
        <v>1059860</v>
      </c>
      <c r="W751" t="s">
        <v>46</v>
      </c>
      <c r="Z751">
        <v>65</v>
      </c>
      <c r="AA751">
        <v>125</v>
      </c>
      <c r="AB751">
        <v>60</v>
      </c>
      <c r="AC751">
        <v>95</v>
      </c>
      <c r="AD751">
        <v>60</v>
      </c>
      <c r="AE751">
        <v>105</v>
      </c>
      <c r="AF751">
        <v>510</v>
      </c>
      <c r="AG751">
        <v>0</v>
      </c>
      <c r="AH751">
        <v>2</v>
      </c>
      <c r="AI751">
        <v>0</v>
      </c>
      <c r="AJ751">
        <v>0</v>
      </c>
      <c r="AK751">
        <v>0</v>
      </c>
      <c r="AL751">
        <v>0</v>
      </c>
    </row>
    <row r="752" spans="1:38" x14ac:dyDescent="0.25">
      <c r="A752" t="s">
        <v>1783</v>
      </c>
      <c r="B752" t="s">
        <v>1783</v>
      </c>
      <c r="C752" s="1">
        <v>621</v>
      </c>
      <c r="D752" s="1" t="s">
        <v>1782</v>
      </c>
      <c r="E752">
        <v>5</v>
      </c>
      <c r="F752">
        <v>1.6</v>
      </c>
      <c r="G752">
        <v>139</v>
      </c>
      <c r="H752" t="s">
        <v>61</v>
      </c>
      <c r="J752" t="s">
        <v>1026</v>
      </c>
      <c r="K752" t="s">
        <v>187</v>
      </c>
      <c r="L752" t="s">
        <v>532</v>
      </c>
      <c r="M752" t="s">
        <v>60</v>
      </c>
      <c r="N752">
        <v>50</v>
      </c>
      <c r="O752">
        <v>50</v>
      </c>
      <c r="P752">
        <v>0</v>
      </c>
      <c r="Q752">
        <v>30</v>
      </c>
      <c r="R752" t="s">
        <v>61</v>
      </c>
      <c r="S752" t="s">
        <v>45</v>
      </c>
      <c r="T752">
        <v>45</v>
      </c>
      <c r="U752">
        <v>170</v>
      </c>
      <c r="V752">
        <v>1000000</v>
      </c>
      <c r="W752" t="s">
        <v>46</v>
      </c>
      <c r="Z752">
        <v>77</v>
      </c>
      <c r="AA752">
        <v>120</v>
      </c>
      <c r="AB752">
        <v>90</v>
      </c>
      <c r="AC752">
        <v>60</v>
      </c>
      <c r="AD752">
        <v>90</v>
      </c>
      <c r="AE752">
        <v>48</v>
      </c>
      <c r="AF752">
        <v>485</v>
      </c>
      <c r="AG752">
        <v>0</v>
      </c>
      <c r="AH752">
        <v>2</v>
      </c>
      <c r="AI752">
        <v>0</v>
      </c>
      <c r="AJ752">
        <v>0</v>
      </c>
      <c r="AK752">
        <v>0</v>
      </c>
      <c r="AL752">
        <v>0</v>
      </c>
    </row>
    <row r="753" spans="1:38" x14ac:dyDescent="0.25">
      <c r="A753" t="s">
        <v>1785</v>
      </c>
      <c r="B753" t="s">
        <v>1785</v>
      </c>
      <c r="C753" s="1">
        <v>622</v>
      </c>
      <c r="D753" s="1" t="s">
        <v>1784</v>
      </c>
      <c r="E753">
        <v>5</v>
      </c>
      <c r="F753">
        <v>1</v>
      </c>
      <c r="G753">
        <v>92</v>
      </c>
      <c r="H753" t="s">
        <v>132</v>
      </c>
      <c r="I753" t="s">
        <v>419</v>
      </c>
      <c r="J753" t="s">
        <v>473</v>
      </c>
      <c r="K753" t="s">
        <v>1317</v>
      </c>
      <c r="L753" t="s">
        <v>126</v>
      </c>
      <c r="M753" t="s">
        <v>44</v>
      </c>
      <c r="N753">
        <v>0</v>
      </c>
      <c r="O753">
        <v>0</v>
      </c>
      <c r="P753">
        <v>100</v>
      </c>
      <c r="Q753">
        <v>25</v>
      </c>
      <c r="R753" t="s">
        <v>339</v>
      </c>
      <c r="T753">
        <v>190</v>
      </c>
      <c r="U753">
        <v>61</v>
      </c>
      <c r="V753">
        <v>1000000</v>
      </c>
      <c r="W753" t="s">
        <v>46</v>
      </c>
      <c r="Z753">
        <v>59</v>
      </c>
      <c r="AA753">
        <v>74</v>
      </c>
      <c r="AB753">
        <v>50</v>
      </c>
      <c r="AC753">
        <v>35</v>
      </c>
      <c r="AD753">
        <v>50</v>
      </c>
      <c r="AE753">
        <v>35</v>
      </c>
      <c r="AF753">
        <v>303</v>
      </c>
      <c r="AG753">
        <v>0</v>
      </c>
      <c r="AH753">
        <v>1</v>
      </c>
      <c r="AI753">
        <v>0</v>
      </c>
      <c r="AJ753">
        <v>0</v>
      </c>
      <c r="AK753">
        <v>0</v>
      </c>
      <c r="AL753">
        <v>0</v>
      </c>
    </row>
    <row r="754" spans="1:38" x14ac:dyDescent="0.25">
      <c r="A754" t="s">
        <v>1787</v>
      </c>
      <c r="B754" t="s">
        <v>1787</v>
      </c>
      <c r="C754" s="1">
        <v>623</v>
      </c>
      <c r="D754" s="1" t="s">
        <v>1786</v>
      </c>
      <c r="E754">
        <v>5</v>
      </c>
      <c r="F754">
        <v>2.8</v>
      </c>
      <c r="G754">
        <v>330</v>
      </c>
      <c r="H754" t="s">
        <v>132</v>
      </c>
      <c r="I754" t="s">
        <v>419</v>
      </c>
      <c r="J754" t="s">
        <v>473</v>
      </c>
      <c r="K754" t="s">
        <v>1317</v>
      </c>
      <c r="L754" t="s">
        <v>126</v>
      </c>
      <c r="M754" t="s">
        <v>44</v>
      </c>
      <c r="N754">
        <v>0</v>
      </c>
      <c r="O754">
        <v>0</v>
      </c>
      <c r="P754">
        <v>100</v>
      </c>
      <c r="Q754">
        <v>25</v>
      </c>
      <c r="R754" t="s">
        <v>339</v>
      </c>
      <c r="T754">
        <v>90</v>
      </c>
      <c r="U754">
        <v>169</v>
      </c>
      <c r="V754">
        <v>1000000</v>
      </c>
      <c r="W754" t="s">
        <v>46</v>
      </c>
      <c r="Z754">
        <v>89</v>
      </c>
      <c r="AA754">
        <v>124</v>
      </c>
      <c r="AB754">
        <v>80</v>
      </c>
      <c r="AC754">
        <v>55</v>
      </c>
      <c r="AD754">
        <v>80</v>
      </c>
      <c r="AE754">
        <v>55</v>
      </c>
      <c r="AF754">
        <v>483</v>
      </c>
      <c r="AG754">
        <v>0</v>
      </c>
      <c r="AH754">
        <v>2</v>
      </c>
      <c r="AI754">
        <v>0</v>
      </c>
      <c r="AJ754">
        <v>0</v>
      </c>
      <c r="AK754">
        <v>0</v>
      </c>
      <c r="AL754">
        <v>0</v>
      </c>
    </row>
    <row r="755" spans="1:38" x14ac:dyDescent="0.25">
      <c r="A755" t="s">
        <v>1789</v>
      </c>
      <c r="B755" t="s">
        <v>1789</v>
      </c>
      <c r="C755" s="1">
        <v>624</v>
      </c>
      <c r="D755" s="1" t="s">
        <v>1788</v>
      </c>
      <c r="E755">
        <v>5</v>
      </c>
      <c r="F755">
        <v>0.5</v>
      </c>
      <c r="G755">
        <v>10.199999999999999</v>
      </c>
      <c r="H755" t="s">
        <v>135</v>
      </c>
      <c r="I755" t="s">
        <v>171</v>
      </c>
      <c r="J755" t="s">
        <v>282</v>
      </c>
      <c r="K755" t="s">
        <v>221</v>
      </c>
      <c r="L755" t="s">
        <v>581</v>
      </c>
      <c r="M755" t="s">
        <v>60</v>
      </c>
      <c r="N755">
        <v>50</v>
      </c>
      <c r="O755">
        <v>50</v>
      </c>
      <c r="P755">
        <v>0</v>
      </c>
      <c r="Q755">
        <v>20</v>
      </c>
      <c r="R755" t="s">
        <v>307</v>
      </c>
      <c r="T755">
        <v>120</v>
      </c>
      <c r="U755">
        <v>68</v>
      </c>
      <c r="V755">
        <v>1000000</v>
      </c>
      <c r="W755" t="s">
        <v>46</v>
      </c>
      <c r="Z755">
        <v>45</v>
      </c>
      <c r="AA755">
        <v>85</v>
      </c>
      <c r="AB755">
        <v>70</v>
      </c>
      <c r="AC755">
        <v>40</v>
      </c>
      <c r="AD755">
        <v>40</v>
      </c>
      <c r="AE755">
        <v>60</v>
      </c>
      <c r="AF755">
        <v>340</v>
      </c>
      <c r="AG755">
        <v>0</v>
      </c>
      <c r="AH755">
        <v>1</v>
      </c>
      <c r="AI755">
        <v>0</v>
      </c>
      <c r="AJ755">
        <v>0</v>
      </c>
      <c r="AK755">
        <v>0</v>
      </c>
      <c r="AL755">
        <v>0</v>
      </c>
    </row>
    <row r="756" spans="1:38" x14ac:dyDescent="0.25">
      <c r="A756" t="s">
        <v>1791</v>
      </c>
      <c r="B756" t="s">
        <v>1791</v>
      </c>
      <c r="C756" s="1">
        <v>625</v>
      </c>
      <c r="D756" s="1" t="s">
        <v>1790</v>
      </c>
      <c r="E756">
        <v>5</v>
      </c>
      <c r="F756">
        <v>1.6</v>
      </c>
      <c r="G756">
        <v>70</v>
      </c>
      <c r="H756" t="s">
        <v>135</v>
      </c>
      <c r="I756" t="s">
        <v>171</v>
      </c>
      <c r="J756" t="s">
        <v>282</v>
      </c>
      <c r="K756" t="s">
        <v>221</v>
      </c>
      <c r="L756" t="s">
        <v>581</v>
      </c>
      <c r="M756" t="s">
        <v>60</v>
      </c>
      <c r="N756">
        <v>50</v>
      </c>
      <c r="O756">
        <v>50</v>
      </c>
      <c r="P756">
        <v>0</v>
      </c>
      <c r="Q756">
        <v>20</v>
      </c>
      <c r="R756" t="s">
        <v>307</v>
      </c>
      <c r="T756">
        <v>45</v>
      </c>
      <c r="U756">
        <v>172</v>
      </c>
      <c r="V756">
        <v>1000000</v>
      </c>
      <c r="W756" t="s">
        <v>46</v>
      </c>
      <c r="Z756">
        <v>65</v>
      </c>
      <c r="AA756">
        <v>125</v>
      </c>
      <c r="AB756">
        <v>100</v>
      </c>
      <c r="AC756">
        <v>60</v>
      </c>
      <c r="AD756">
        <v>70</v>
      </c>
      <c r="AE756">
        <v>70</v>
      </c>
      <c r="AF756">
        <v>490</v>
      </c>
      <c r="AG756">
        <v>0</v>
      </c>
      <c r="AH756">
        <v>2</v>
      </c>
      <c r="AI756">
        <v>0</v>
      </c>
      <c r="AJ756">
        <v>0</v>
      </c>
      <c r="AK756">
        <v>0</v>
      </c>
      <c r="AL756">
        <v>0</v>
      </c>
    </row>
    <row r="757" spans="1:38" x14ac:dyDescent="0.25">
      <c r="A757" t="s">
        <v>1793</v>
      </c>
      <c r="B757" t="s">
        <v>1793</v>
      </c>
      <c r="C757" s="1">
        <v>626</v>
      </c>
      <c r="D757" s="1" t="s">
        <v>1792</v>
      </c>
      <c r="E757">
        <v>5</v>
      </c>
      <c r="F757">
        <v>1.6</v>
      </c>
      <c r="G757">
        <v>94.6</v>
      </c>
      <c r="H757" t="s">
        <v>116</v>
      </c>
      <c r="J757" t="s">
        <v>469</v>
      </c>
      <c r="K757" t="s">
        <v>691</v>
      </c>
      <c r="L757" t="s">
        <v>445</v>
      </c>
      <c r="M757" t="s">
        <v>103</v>
      </c>
      <c r="N757">
        <v>50</v>
      </c>
      <c r="O757">
        <v>50</v>
      </c>
      <c r="P757">
        <v>0</v>
      </c>
      <c r="Q757">
        <v>20</v>
      </c>
      <c r="R757" t="s">
        <v>132</v>
      </c>
      <c r="T757">
        <v>45</v>
      </c>
      <c r="U757">
        <v>172</v>
      </c>
      <c r="V757">
        <v>1000000</v>
      </c>
      <c r="W757" t="s">
        <v>46</v>
      </c>
      <c r="Z757">
        <v>95</v>
      </c>
      <c r="AA757">
        <v>110</v>
      </c>
      <c r="AB757">
        <v>95</v>
      </c>
      <c r="AC757">
        <v>40</v>
      </c>
      <c r="AD757">
        <v>95</v>
      </c>
      <c r="AE757">
        <v>55</v>
      </c>
      <c r="AF757">
        <v>490</v>
      </c>
      <c r="AG757">
        <v>0</v>
      </c>
      <c r="AH757">
        <v>2</v>
      </c>
      <c r="AI757">
        <v>0</v>
      </c>
      <c r="AJ757">
        <v>0</v>
      </c>
      <c r="AK757">
        <v>0</v>
      </c>
      <c r="AL757">
        <v>0</v>
      </c>
    </row>
    <row r="758" spans="1:38" x14ac:dyDescent="0.25">
      <c r="A758" t="s">
        <v>1795</v>
      </c>
      <c r="B758" t="s">
        <v>1795</v>
      </c>
      <c r="C758" s="1">
        <v>627</v>
      </c>
      <c r="D758" s="1" t="s">
        <v>1794</v>
      </c>
      <c r="E758">
        <v>5</v>
      </c>
      <c r="F758">
        <v>0.5</v>
      </c>
      <c r="G758">
        <v>10.5</v>
      </c>
      <c r="H758" t="s">
        <v>116</v>
      </c>
      <c r="I758" t="s">
        <v>66</v>
      </c>
      <c r="J758" t="s">
        <v>117</v>
      </c>
      <c r="K758" t="s">
        <v>187</v>
      </c>
      <c r="L758" t="s">
        <v>130</v>
      </c>
      <c r="M758" t="s">
        <v>100</v>
      </c>
      <c r="N758">
        <v>100</v>
      </c>
      <c r="O758">
        <v>0</v>
      </c>
      <c r="P758">
        <v>0</v>
      </c>
      <c r="Q758">
        <v>20</v>
      </c>
      <c r="R758" t="s">
        <v>66</v>
      </c>
      <c r="T758">
        <v>190</v>
      </c>
      <c r="U758">
        <v>70</v>
      </c>
      <c r="V758">
        <v>1250000</v>
      </c>
      <c r="W758" t="s">
        <v>46</v>
      </c>
      <c r="Z758">
        <v>70</v>
      </c>
      <c r="AA758">
        <v>83</v>
      </c>
      <c r="AB758">
        <v>50</v>
      </c>
      <c r="AC758">
        <v>37</v>
      </c>
      <c r="AD758">
        <v>50</v>
      </c>
      <c r="AE758">
        <v>60</v>
      </c>
      <c r="AF758">
        <v>350</v>
      </c>
      <c r="AG758">
        <v>0</v>
      </c>
      <c r="AH758">
        <v>1</v>
      </c>
      <c r="AI758">
        <v>0</v>
      </c>
      <c r="AJ758">
        <v>0</v>
      </c>
      <c r="AK758">
        <v>0</v>
      </c>
      <c r="AL758">
        <v>0</v>
      </c>
    </row>
    <row r="759" spans="1:38" x14ac:dyDescent="0.25">
      <c r="A759" t="s">
        <v>1797</v>
      </c>
      <c r="B759" t="s">
        <v>1797</v>
      </c>
      <c r="C759" s="1">
        <v>628</v>
      </c>
      <c r="D759" s="1" t="s">
        <v>1796</v>
      </c>
      <c r="E759">
        <v>5</v>
      </c>
      <c r="F759">
        <v>1.5</v>
      </c>
      <c r="G759">
        <v>41</v>
      </c>
      <c r="H759" t="s">
        <v>116</v>
      </c>
      <c r="I759" t="s">
        <v>66</v>
      </c>
      <c r="J759" t="s">
        <v>117</v>
      </c>
      <c r="K759" t="s">
        <v>187</v>
      </c>
      <c r="L759" t="s">
        <v>282</v>
      </c>
      <c r="M759" t="s">
        <v>60</v>
      </c>
      <c r="N759">
        <v>100</v>
      </c>
      <c r="O759">
        <v>0</v>
      </c>
      <c r="P759">
        <v>0</v>
      </c>
      <c r="Q759">
        <v>20</v>
      </c>
      <c r="R759" t="s">
        <v>66</v>
      </c>
      <c r="T759">
        <v>60</v>
      </c>
      <c r="U759">
        <v>179</v>
      </c>
      <c r="V759">
        <v>1250000</v>
      </c>
      <c r="W759" t="s">
        <v>46</v>
      </c>
      <c r="Z759">
        <v>100</v>
      </c>
      <c r="AA759">
        <v>123</v>
      </c>
      <c r="AB759">
        <v>75</v>
      </c>
      <c r="AC759">
        <v>57</v>
      </c>
      <c r="AD759">
        <v>75</v>
      </c>
      <c r="AE759">
        <v>80</v>
      </c>
      <c r="AF759">
        <v>510</v>
      </c>
      <c r="AG759">
        <v>0</v>
      </c>
      <c r="AH759">
        <v>2</v>
      </c>
      <c r="AI759">
        <v>0</v>
      </c>
      <c r="AJ759">
        <v>0</v>
      </c>
      <c r="AK759">
        <v>0</v>
      </c>
      <c r="AL759">
        <v>0</v>
      </c>
    </row>
    <row r="760" spans="1:38" x14ac:dyDescent="0.25">
      <c r="A760" t="s">
        <v>1797</v>
      </c>
      <c r="B760" t="s">
        <v>1799</v>
      </c>
      <c r="C760" s="1">
        <v>628</v>
      </c>
      <c r="D760" s="1" t="s">
        <v>1798</v>
      </c>
      <c r="E760">
        <v>8</v>
      </c>
      <c r="F760">
        <v>1.7</v>
      </c>
      <c r="G760">
        <v>43.4</v>
      </c>
      <c r="H760" t="s">
        <v>162</v>
      </c>
      <c r="I760" t="s">
        <v>66</v>
      </c>
      <c r="J760" t="s">
        <v>117</v>
      </c>
      <c r="K760" t="s">
        <v>187</v>
      </c>
      <c r="L760" t="s">
        <v>99</v>
      </c>
      <c r="M760" t="s">
        <v>60</v>
      </c>
      <c r="N760">
        <v>100</v>
      </c>
      <c r="O760">
        <v>0</v>
      </c>
      <c r="P760">
        <v>0</v>
      </c>
      <c r="Q760">
        <v>20</v>
      </c>
      <c r="R760" t="s">
        <v>66</v>
      </c>
      <c r="T760">
        <v>60</v>
      </c>
      <c r="U760">
        <v>179</v>
      </c>
      <c r="V760">
        <v>1250000</v>
      </c>
      <c r="W760" t="s">
        <v>46</v>
      </c>
      <c r="Y760" t="s">
        <v>292</v>
      </c>
      <c r="Z760">
        <v>110</v>
      </c>
      <c r="AA760">
        <v>83</v>
      </c>
      <c r="AB760">
        <v>70</v>
      </c>
      <c r="AC760">
        <v>112</v>
      </c>
      <c r="AD760">
        <v>70</v>
      </c>
      <c r="AE760">
        <v>65</v>
      </c>
      <c r="AF760">
        <v>510</v>
      </c>
      <c r="AG760">
        <v>0</v>
      </c>
      <c r="AH760">
        <v>0</v>
      </c>
      <c r="AI760">
        <v>0</v>
      </c>
      <c r="AJ760">
        <v>2</v>
      </c>
      <c r="AK760">
        <v>0</v>
      </c>
      <c r="AL760">
        <v>0</v>
      </c>
    </row>
    <row r="761" spans="1:38" x14ac:dyDescent="0.25">
      <c r="A761" t="s">
        <v>1801</v>
      </c>
      <c r="B761" t="s">
        <v>1801</v>
      </c>
      <c r="C761" s="1">
        <v>629</v>
      </c>
      <c r="D761" s="1" t="s">
        <v>1800</v>
      </c>
      <c r="E761">
        <v>5</v>
      </c>
      <c r="F761">
        <v>0.5</v>
      </c>
      <c r="G761">
        <v>9</v>
      </c>
      <c r="H761" t="s">
        <v>135</v>
      </c>
      <c r="I761" t="s">
        <v>66</v>
      </c>
      <c r="J761" t="s">
        <v>119</v>
      </c>
      <c r="K761" t="s">
        <v>414</v>
      </c>
      <c r="L761" t="s">
        <v>431</v>
      </c>
      <c r="M761" t="s">
        <v>103</v>
      </c>
      <c r="N761">
        <v>0</v>
      </c>
      <c r="O761">
        <v>100</v>
      </c>
      <c r="P761">
        <v>0</v>
      </c>
      <c r="Q761">
        <v>20</v>
      </c>
      <c r="R761" t="s">
        <v>66</v>
      </c>
      <c r="T761">
        <v>190</v>
      </c>
      <c r="U761">
        <v>74</v>
      </c>
      <c r="V761">
        <v>1250000</v>
      </c>
      <c r="W761" t="s">
        <v>46</v>
      </c>
      <c r="Z761">
        <v>70</v>
      </c>
      <c r="AA761">
        <v>55</v>
      </c>
      <c r="AB761">
        <v>75</v>
      </c>
      <c r="AC761">
        <v>45</v>
      </c>
      <c r="AD761">
        <v>65</v>
      </c>
      <c r="AE761">
        <v>60</v>
      </c>
      <c r="AF761">
        <v>370</v>
      </c>
      <c r="AG761">
        <v>0</v>
      </c>
      <c r="AH761">
        <v>0</v>
      </c>
      <c r="AI761">
        <v>1</v>
      </c>
      <c r="AJ761">
        <v>0</v>
      </c>
      <c r="AK761">
        <v>0</v>
      </c>
      <c r="AL761">
        <v>0</v>
      </c>
    </row>
    <row r="762" spans="1:38" x14ac:dyDescent="0.25">
      <c r="A762" t="s">
        <v>1803</v>
      </c>
      <c r="B762" t="s">
        <v>1803</v>
      </c>
      <c r="C762" s="1">
        <v>630</v>
      </c>
      <c r="D762" s="1" t="s">
        <v>1802</v>
      </c>
      <c r="E762">
        <v>5</v>
      </c>
      <c r="F762">
        <v>1.2</v>
      </c>
      <c r="G762">
        <v>39.5</v>
      </c>
      <c r="H762" t="s">
        <v>135</v>
      </c>
      <c r="I762" t="s">
        <v>66</v>
      </c>
      <c r="J762" t="s">
        <v>119</v>
      </c>
      <c r="K762" t="s">
        <v>414</v>
      </c>
      <c r="L762" t="s">
        <v>431</v>
      </c>
      <c r="M762" t="s">
        <v>103</v>
      </c>
      <c r="N762">
        <v>0</v>
      </c>
      <c r="O762">
        <v>100</v>
      </c>
      <c r="P762">
        <v>0</v>
      </c>
      <c r="Q762">
        <v>20</v>
      </c>
      <c r="R762" t="s">
        <v>66</v>
      </c>
      <c r="T762">
        <v>60</v>
      </c>
      <c r="U762">
        <v>179</v>
      </c>
      <c r="V762">
        <v>1250000</v>
      </c>
      <c r="W762" t="s">
        <v>46</v>
      </c>
      <c r="Z762">
        <v>110</v>
      </c>
      <c r="AA762">
        <v>65</v>
      </c>
      <c r="AB762">
        <v>105</v>
      </c>
      <c r="AC762">
        <v>55</v>
      </c>
      <c r="AD762">
        <v>95</v>
      </c>
      <c r="AE762">
        <v>80</v>
      </c>
      <c r="AF762">
        <v>510</v>
      </c>
      <c r="AG762">
        <v>0</v>
      </c>
      <c r="AH762">
        <v>0</v>
      </c>
      <c r="AI762">
        <v>0</v>
      </c>
      <c r="AJ762">
        <v>2</v>
      </c>
      <c r="AK762">
        <v>0</v>
      </c>
      <c r="AL762">
        <v>0</v>
      </c>
    </row>
    <row r="763" spans="1:38" x14ac:dyDescent="0.25">
      <c r="A763" t="s">
        <v>1805</v>
      </c>
      <c r="B763" t="s">
        <v>1805</v>
      </c>
      <c r="C763" s="1">
        <v>631</v>
      </c>
      <c r="D763" s="1" t="s">
        <v>1804</v>
      </c>
      <c r="E763">
        <v>5</v>
      </c>
      <c r="F763">
        <v>1.4</v>
      </c>
      <c r="G763">
        <v>58</v>
      </c>
      <c r="H763" t="s">
        <v>57</v>
      </c>
      <c r="J763" t="s">
        <v>136</v>
      </c>
      <c r="K763" t="s">
        <v>205</v>
      </c>
      <c r="L763" t="s">
        <v>1046</v>
      </c>
      <c r="M763" t="s">
        <v>60</v>
      </c>
      <c r="N763">
        <v>50</v>
      </c>
      <c r="O763">
        <v>50</v>
      </c>
      <c r="P763">
        <v>0</v>
      </c>
      <c r="Q763">
        <v>20</v>
      </c>
      <c r="R763" t="s">
        <v>132</v>
      </c>
      <c r="T763">
        <v>90</v>
      </c>
      <c r="U763">
        <v>169</v>
      </c>
      <c r="V763">
        <v>1000000</v>
      </c>
      <c r="W763" t="s">
        <v>46</v>
      </c>
      <c r="Z763">
        <v>85</v>
      </c>
      <c r="AA763">
        <v>97</v>
      </c>
      <c r="AB763">
        <v>66</v>
      </c>
      <c r="AC763">
        <v>105</v>
      </c>
      <c r="AD763">
        <v>66</v>
      </c>
      <c r="AE763">
        <v>65</v>
      </c>
      <c r="AF763">
        <v>484</v>
      </c>
      <c r="AG763">
        <v>0</v>
      </c>
      <c r="AH763">
        <v>0</v>
      </c>
      <c r="AI763">
        <v>0</v>
      </c>
      <c r="AJ763">
        <v>2</v>
      </c>
      <c r="AK763">
        <v>0</v>
      </c>
      <c r="AL763">
        <v>0</v>
      </c>
    </row>
    <row r="764" spans="1:38" x14ac:dyDescent="0.25">
      <c r="A764" t="s">
        <v>1807</v>
      </c>
      <c r="B764" t="s">
        <v>1807</v>
      </c>
      <c r="C764" s="1">
        <v>632</v>
      </c>
      <c r="D764" s="1" t="s">
        <v>1806</v>
      </c>
      <c r="E764">
        <v>5</v>
      </c>
      <c r="F764">
        <v>0.3</v>
      </c>
      <c r="G764">
        <v>33</v>
      </c>
      <c r="H764" t="s">
        <v>90</v>
      </c>
      <c r="I764" t="s">
        <v>171</v>
      </c>
      <c r="J764" t="s">
        <v>109</v>
      </c>
      <c r="K764" t="s">
        <v>130</v>
      </c>
      <c r="L764" t="s">
        <v>947</v>
      </c>
      <c r="M764" t="s">
        <v>318</v>
      </c>
      <c r="N764">
        <v>50</v>
      </c>
      <c r="O764">
        <v>50</v>
      </c>
      <c r="P764">
        <v>0</v>
      </c>
      <c r="Q764">
        <v>20</v>
      </c>
      <c r="R764" t="s">
        <v>90</v>
      </c>
      <c r="T764">
        <v>90</v>
      </c>
      <c r="U764">
        <v>169</v>
      </c>
      <c r="V764">
        <v>1000000</v>
      </c>
      <c r="W764" t="s">
        <v>46</v>
      </c>
      <c r="Z764">
        <v>58</v>
      </c>
      <c r="AA764">
        <v>109</v>
      </c>
      <c r="AB764">
        <v>112</v>
      </c>
      <c r="AC764">
        <v>48</v>
      </c>
      <c r="AD764">
        <v>48</v>
      </c>
      <c r="AE764">
        <v>109</v>
      </c>
      <c r="AF764">
        <v>484</v>
      </c>
      <c r="AG764">
        <v>0</v>
      </c>
      <c r="AH764">
        <v>0</v>
      </c>
      <c r="AI764">
        <v>2</v>
      </c>
      <c r="AJ764">
        <v>0</v>
      </c>
      <c r="AK764">
        <v>0</v>
      </c>
      <c r="AL764">
        <v>0</v>
      </c>
    </row>
    <row r="765" spans="1:38" x14ac:dyDescent="0.25">
      <c r="A765" t="s">
        <v>1809</v>
      </c>
      <c r="B765" t="s">
        <v>1809</v>
      </c>
      <c r="C765" s="1">
        <v>633</v>
      </c>
      <c r="D765" s="1" t="s">
        <v>1808</v>
      </c>
      <c r="E765">
        <v>5</v>
      </c>
      <c r="F765">
        <v>0.8</v>
      </c>
      <c r="G765">
        <v>17.3</v>
      </c>
      <c r="H765" t="s">
        <v>135</v>
      </c>
      <c r="I765" t="s">
        <v>61</v>
      </c>
      <c r="J765" t="s">
        <v>130</v>
      </c>
      <c r="M765" t="s">
        <v>79</v>
      </c>
      <c r="N765">
        <v>50</v>
      </c>
      <c r="O765">
        <v>50</v>
      </c>
      <c r="P765">
        <v>0</v>
      </c>
      <c r="Q765">
        <v>40</v>
      </c>
      <c r="R765" t="s">
        <v>61</v>
      </c>
      <c r="T765">
        <v>45</v>
      </c>
      <c r="U765">
        <v>60</v>
      </c>
      <c r="V765">
        <v>1250000</v>
      </c>
      <c r="W765" t="s">
        <v>46</v>
      </c>
      <c r="Z765">
        <v>52</v>
      </c>
      <c r="AA765">
        <v>65</v>
      </c>
      <c r="AB765">
        <v>50</v>
      </c>
      <c r="AC765">
        <v>45</v>
      </c>
      <c r="AD765">
        <v>50</v>
      </c>
      <c r="AE765">
        <v>38</v>
      </c>
      <c r="AF765">
        <v>300</v>
      </c>
      <c r="AG765">
        <v>0</v>
      </c>
      <c r="AH765">
        <v>1</v>
      </c>
      <c r="AI765">
        <v>0</v>
      </c>
      <c r="AJ765">
        <v>0</v>
      </c>
      <c r="AK765">
        <v>0</v>
      </c>
      <c r="AL765">
        <v>0</v>
      </c>
    </row>
    <row r="766" spans="1:38" x14ac:dyDescent="0.25">
      <c r="A766" t="s">
        <v>1811</v>
      </c>
      <c r="B766" t="s">
        <v>1811</v>
      </c>
      <c r="C766" s="1">
        <v>634</v>
      </c>
      <c r="D766" s="1" t="s">
        <v>1810</v>
      </c>
      <c r="E766">
        <v>5</v>
      </c>
      <c r="F766">
        <v>1.4</v>
      </c>
      <c r="G766">
        <v>50</v>
      </c>
      <c r="H766" t="s">
        <v>135</v>
      </c>
      <c r="I766" t="s">
        <v>61</v>
      </c>
      <c r="J766" t="s">
        <v>130</v>
      </c>
      <c r="M766" t="s">
        <v>79</v>
      </c>
      <c r="N766">
        <v>50</v>
      </c>
      <c r="O766">
        <v>50</v>
      </c>
      <c r="P766">
        <v>0</v>
      </c>
      <c r="Q766">
        <v>40</v>
      </c>
      <c r="R766" t="s">
        <v>61</v>
      </c>
      <c r="T766">
        <v>45</v>
      </c>
      <c r="U766">
        <v>147</v>
      </c>
      <c r="V766">
        <v>1250000</v>
      </c>
      <c r="W766" t="s">
        <v>46</v>
      </c>
      <c r="Z766">
        <v>72</v>
      </c>
      <c r="AA766">
        <v>85</v>
      </c>
      <c r="AB766">
        <v>70</v>
      </c>
      <c r="AC766">
        <v>65</v>
      </c>
      <c r="AD766">
        <v>70</v>
      </c>
      <c r="AE766">
        <v>58</v>
      </c>
      <c r="AF766">
        <v>420</v>
      </c>
      <c r="AG766">
        <v>0</v>
      </c>
      <c r="AH766">
        <v>2</v>
      </c>
      <c r="AI766">
        <v>0</v>
      </c>
      <c r="AJ766">
        <v>0</v>
      </c>
      <c r="AK766">
        <v>0</v>
      </c>
      <c r="AL766">
        <v>0</v>
      </c>
    </row>
    <row r="767" spans="1:38" x14ac:dyDescent="0.25">
      <c r="A767" t="s">
        <v>1813</v>
      </c>
      <c r="B767" t="s">
        <v>1813</v>
      </c>
      <c r="C767" s="1">
        <v>635</v>
      </c>
      <c r="D767" s="1" t="s">
        <v>1812</v>
      </c>
      <c r="E767">
        <v>5</v>
      </c>
      <c r="F767">
        <v>1.8</v>
      </c>
      <c r="G767">
        <v>160</v>
      </c>
      <c r="H767" t="s">
        <v>135</v>
      </c>
      <c r="I767" t="s">
        <v>61</v>
      </c>
      <c r="J767" t="s">
        <v>420</v>
      </c>
      <c r="M767" t="s">
        <v>79</v>
      </c>
      <c r="N767">
        <v>50</v>
      </c>
      <c r="O767">
        <v>50</v>
      </c>
      <c r="P767">
        <v>0</v>
      </c>
      <c r="Q767">
        <v>40</v>
      </c>
      <c r="R767" t="s">
        <v>61</v>
      </c>
      <c r="T767">
        <v>45</v>
      </c>
      <c r="U767">
        <v>300</v>
      </c>
      <c r="V767">
        <v>1250000</v>
      </c>
      <c r="W767" t="s">
        <v>46</v>
      </c>
      <c r="Z767">
        <v>92</v>
      </c>
      <c r="AA767">
        <v>105</v>
      </c>
      <c r="AB767">
        <v>90</v>
      </c>
      <c r="AC767">
        <v>125</v>
      </c>
      <c r="AD767">
        <v>90</v>
      </c>
      <c r="AE767">
        <v>98</v>
      </c>
      <c r="AF767">
        <v>600</v>
      </c>
      <c r="AG767">
        <v>0</v>
      </c>
      <c r="AH767">
        <v>0</v>
      </c>
      <c r="AI767">
        <v>0</v>
      </c>
      <c r="AJ767">
        <v>3</v>
      </c>
      <c r="AK767">
        <v>0</v>
      </c>
      <c r="AL767">
        <v>0</v>
      </c>
    </row>
    <row r="768" spans="1:38" x14ac:dyDescent="0.25">
      <c r="A768" t="s">
        <v>1815</v>
      </c>
      <c r="B768" t="s">
        <v>1815</v>
      </c>
      <c r="C768" s="1">
        <v>636</v>
      </c>
      <c r="D768" s="1" t="s">
        <v>1814</v>
      </c>
      <c r="E768">
        <v>5</v>
      </c>
      <c r="F768">
        <v>1.1000000000000001</v>
      </c>
      <c r="G768">
        <v>28.8</v>
      </c>
      <c r="H768" t="s">
        <v>90</v>
      </c>
      <c r="I768" t="s">
        <v>57</v>
      </c>
      <c r="J768" t="s">
        <v>354</v>
      </c>
      <c r="L768" t="s">
        <v>109</v>
      </c>
      <c r="M768" t="s">
        <v>100</v>
      </c>
      <c r="N768">
        <v>50</v>
      </c>
      <c r="O768">
        <v>50</v>
      </c>
      <c r="P768">
        <v>0</v>
      </c>
      <c r="Q768">
        <v>40</v>
      </c>
      <c r="R768" t="s">
        <v>90</v>
      </c>
      <c r="T768">
        <v>45</v>
      </c>
      <c r="U768">
        <v>72</v>
      </c>
      <c r="V768">
        <v>1250000</v>
      </c>
      <c r="W768" t="s">
        <v>46</v>
      </c>
      <c r="Z768">
        <v>55</v>
      </c>
      <c r="AA768">
        <v>85</v>
      </c>
      <c r="AB768">
        <v>55</v>
      </c>
      <c r="AC768">
        <v>50</v>
      </c>
      <c r="AD768">
        <v>55</v>
      </c>
      <c r="AE768">
        <v>60</v>
      </c>
      <c r="AF768">
        <v>360</v>
      </c>
      <c r="AG768">
        <v>0</v>
      </c>
      <c r="AH768">
        <v>1</v>
      </c>
      <c r="AI768">
        <v>0</v>
      </c>
      <c r="AJ768">
        <v>0</v>
      </c>
      <c r="AK768">
        <v>0</v>
      </c>
      <c r="AL768">
        <v>0</v>
      </c>
    </row>
    <row r="769" spans="1:38" x14ac:dyDescent="0.25">
      <c r="A769" t="s">
        <v>1817</v>
      </c>
      <c r="B769" t="s">
        <v>1817</v>
      </c>
      <c r="C769" s="1">
        <v>637</v>
      </c>
      <c r="D769" s="1" t="s">
        <v>1816</v>
      </c>
      <c r="E769">
        <v>5</v>
      </c>
      <c r="F769">
        <v>1.6</v>
      </c>
      <c r="G769">
        <v>46</v>
      </c>
      <c r="H769" t="s">
        <v>90</v>
      </c>
      <c r="I769" t="s">
        <v>57</v>
      </c>
      <c r="J769" t="s">
        <v>354</v>
      </c>
      <c r="L769" t="s">
        <v>109</v>
      </c>
      <c r="M769" t="s">
        <v>100</v>
      </c>
      <c r="N769">
        <v>50</v>
      </c>
      <c r="O769">
        <v>50</v>
      </c>
      <c r="P769">
        <v>0</v>
      </c>
      <c r="Q769">
        <v>40</v>
      </c>
      <c r="R769" t="s">
        <v>90</v>
      </c>
      <c r="T769">
        <v>15</v>
      </c>
      <c r="U769">
        <v>275</v>
      </c>
      <c r="V769">
        <v>1250000</v>
      </c>
      <c r="W769" t="s">
        <v>46</v>
      </c>
      <c r="Z769">
        <v>85</v>
      </c>
      <c r="AA769">
        <v>60</v>
      </c>
      <c r="AB769">
        <v>65</v>
      </c>
      <c r="AC769">
        <v>135</v>
      </c>
      <c r="AD769">
        <v>105</v>
      </c>
      <c r="AE769">
        <v>100</v>
      </c>
      <c r="AF769">
        <v>550</v>
      </c>
      <c r="AG769">
        <v>0</v>
      </c>
      <c r="AH769">
        <v>0</v>
      </c>
      <c r="AI769">
        <v>0</v>
      </c>
      <c r="AJ769">
        <v>3</v>
      </c>
      <c r="AK769">
        <v>0</v>
      </c>
      <c r="AL769">
        <v>0</v>
      </c>
    </row>
    <row r="770" spans="1:38" x14ac:dyDescent="0.25">
      <c r="A770" t="s">
        <v>1819</v>
      </c>
      <c r="B770" t="s">
        <v>1819</v>
      </c>
      <c r="C770" s="1">
        <v>638</v>
      </c>
      <c r="D770" s="1" t="s">
        <v>1818</v>
      </c>
      <c r="E770">
        <v>5</v>
      </c>
      <c r="F770">
        <v>2.1</v>
      </c>
      <c r="G770">
        <v>250</v>
      </c>
      <c r="H770" t="s">
        <v>171</v>
      </c>
      <c r="I770" t="s">
        <v>279</v>
      </c>
      <c r="J770" t="s">
        <v>287</v>
      </c>
      <c r="M770" t="s">
        <v>79</v>
      </c>
      <c r="N770">
        <v>0</v>
      </c>
      <c r="O770">
        <v>0</v>
      </c>
      <c r="P770">
        <v>100</v>
      </c>
      <c r="Q770">
        <v>80</v>
      </c>
      <c r="R770" t="s">
        <v>184</v>
      </c>
      <c r="T770">
        <v>3</v>
      </c>
      <c r="U770">
        <v>290</v>
      </c>
      <c r="V770">
        <v>1250000</v>
      </c>
      <c r="W770" t="s">
        <v>589</v>
      </c>
      <c r="Z770">
        <v>91</v>
      </c>
      <c r="AA770">
        <v>90</v>
      </c>
      <c r="AB770">
        <v>129</v>
      </c>
      <c r="AC770">
        <v>90</v>
      </c>
      <c r="AD770">
        <v>72</v>
      </c>
      <c r="AE770">
        <v>108</v>
      </c>
      <c r="AF770">
        <v>580</v>
      </c>
      <c r="AG770">
        <v>0</v>
      </c>
      <c r="AH770">
        <v>0</v>
      </c>
      <c r="AI770">
        <v>3</v>
      </c>
      <c r="AJ770">
        <v>0</v>
      </c>
      <c r="AK770">
        <v>0</v>
      </c>
      <c r="AL770">
        <v>0</v>
      </c>
    </row>
    <row r="771" spans="1:38" x14ac:dyDescent="0.25">
      <c r="A771" t="s">
        <v>1821</v>
      </c>
      <c r="B771" t="s">
        <v>1821</v>
      </c>
      <c r="C771" s="1">
        <v>639</v>
      </c>
      <c r="D771" s="1" t="s">
        <v>1820</v>
      </c>
      <c r="E771">
        <v>5</v>
      </c>
      <c r="F771">
        <v>1.9</v>
      </c>
      <c r="G771">
        <v>260</v>
      </c>
      <c r="H771" t="s">
        <v>290</v>
      </c>
      <c r="I771" t="s">
        <v>279</v>
      </c>
      <c r="J771" t="s">
        <v>287</v>
      </c>
      <c r="M771" t="s">
        <v>318</v>
      </c>
      <c r="N771">
        <v>0</v>
      </c>
      <c r="O771">
        <v>0</v>
      </c>
      <c r="P771">
        <v>100</v>
      </c>
      <c r="Q771">
        <v>80</v>
      </c>
      <c r="R771" t="s">
        <v>184</v>
      </c>
      <c r="T771">
        <v>3</v>
      </c>
      <c r="U771">
        <v>290</v>
      </c>
      <c r="V771">
        <v>1250000</v>
      </c>
      <c r="W771" t="s">
        <v>589</v>
      </c>
      <c r="Z771">
        <v>91</v>
      </c>
      <c r="AA771">
        <v>129</v>
      </c>
      <c r="AB771">
        <v>90</v>
      </c>
      <c r="AC771">
        <v>72</v>
      </c>
      <c r="AD771">
        <v>90</v>
      </c>
      <c r="AE771">
        <v>108</v>
      </c>
      <c r="AF771">
        <v>580</v>
      </c>
      <c r="AG771">
        <v>0</v>
      </c>
      <c r="AH771">
        <v>3</v>
      </c>
      <c r="AI771">
        <v>0</v>
      </c>
      <c r="AJ771">
        <v>0</v>
      </c>
      <c r="AK771">
        <v>0</v>
      </c>
      <c r="AL771">
        <v>0</v>
      </c>
    </row>
    <row r="772" spans="1:38" x14ac:dyDescent="0.25">
      <c r="A772" t="s">
        <v>1823</v>
      </c>
      <c r="B772" t="s">
        <v>1823</v>
      </c>
      <c r="C772" s="1">
        <v>640</v>
      </c>
      <c r="D772" s="1" t="s">
        <v>1822</v>
      </c>
      <c r="E772">
        <v>5</v>
      </c>
      <c r="F772">
        <v>2</v>
      </c>
      <c r="G772">
        <v>200</v>
      </c>
      <c r="H772" t="s">
        <v>40</v>
      </c>
      <c r="I772" t="s">
        <v>279</v>
      </c>
      <c r="J772" t="s">
        <v>287</v>
      </c>
      <c r="M772" t="s">
        <v>44</v>
      </c>
      <c r="N772">
        <v>0</v>
      </c>
      <c r="O772">
        <v>0</v>
      </c>
      <c r="P772">
        <v>100</v>
      </c>
      <c r="Q772">
        <v>80</v>
      </c>
      <c r="R772" t="s">
        <v>184</v>
      </c>
      <c r="T772">
        <v>3</v>
      </c>
      <c r="U772">
        <v>290</v>
      </c>
      <c r="V772">
        <v>1250000</v>
      </c>
      <c r="W772" t="s">
        <v>589</v>
      </c>
      <c r="Z772">
        <v>91</v>
      </c>
      <c r="AA772">
        <v>90</v>
      </c>
      <c r="AB772">
        <v>72</v>
      </c>
      <c r="AC772">
        <v>90</v>
      </c>
      <c r="AD772">
        <v>129</v>
      </c>
      <c r="AE772">
        <v>108</v>
      </c>
      <c r="AF772">
        <v>580</v>
      </c>
      <c r="AG772">
        <v>0</v>
      </c>
      <c r="AH772">
        <v>0</v>
      </c>
      <c r="AI772">
        <v>0</v>
      </c>
      <c r="AJ772">
        <v>0</v>
      </c>
      <c r="AK772">
        <v>3</v>
      </c>
      <c r="AL772">
        <v>0</v>
      </c>
    </row>
    <row r="773" spans="1:38" x14ac:dyDescent="0.25">
      <c r="A773" t="s">
        <v>1825</v>
      </c>
      <c r="B773" t="s">
        <v>1826</v>
      </c>
      <c r="C773" s="1">
        <v>641</v>
      </c>
      <c r="D773" s="1" t="s">
        <v>1824</v>
      </c>
      <c r="E773">
        <v>5</v>
      </c>
      <c r="F773">
        <v>1.5</v>
      </c>
      <c r="G773">
        <v>63</v>
      </c>
      <c r="H773" t="s">
        <v>66</v>
      </c>
      <c r="J773" t="s">
        <v>726</v>
      </c>
      <c r="L773" t="s">
        <v>282</v>
      </c>
      <c r="M773" t="s">
        <v>44</v>
      </c>
      <c r="N773">
        <v>100</v>
      </c>
      <c r="O773">
        <v>0</v>
      </c>
      <c r="P773">
        <v>0</v>
      </c>
      <c r="Q773">
        <v>120</v>
      </c>
      <c r="R773" t="s">
        <v>184</v>
      </c>
      <c r="T773">
        <v>3</v>
      </c>
      <c r="U773">
        <v>290</v>
      </c>
      <c r="V773">
        <v>1250000</v>
      </c>
      <c r="W773" t="s">
        <v>589</v>
      </c>
      <c r="Z773">
        <v>79</v>
      </c>
      <c r="AA773">
        <v>115</v>
      </c>
      <c r="AB773">
        <v>70</v>
      </c>
      <c r="AC773">
        <v>125</v>
      </c>
      <c r="AD773">
        <v>80</v>
      </c>
      <c r="AE773">
        <v>111</v>
      </c>
      <c r="AF773">
        <v>580</v>
      </c>
      <c r="AG773">
        <v>0</v>
      </c>
      <c r="AH773">
        <v>3</v>
      </c>
      <c r="AI773">
        <v>0</v>
      </c>
      <c r="AJ773">
        <v>0</v>
      </c>
      <c r="AK773">
        <v>0</v>
      </c>
      <c r="AL773">
        <v>0</v>
      </c>
    </row>
    <row r="774" spans="1:38" x14ac:dyDescent="0.25">
      <c r="A774" t="s">
        <v>1825</v>
      </c>
      <c r="B774" t="s">
        <v>1828</v>
      </c>
      <c r="C774" s="1">
        <v>641</v>
      </c>
      <c r="D774" s="1" t="s">
        <v>1827</v>
      </c>
      <c r="E774">
        <v>5</v>
      </c>
      <c r="F774">
        <v>1.4</v>
      </c>
      <c r="G774">
        <v>63</v>
      </c>
      <c r="H774" t="s">
        <v>66</v>
      </c>
      <c r="J774" t="s">
        <v>367</v>
      </c>
      <c r="M774" t="s">
        <v>44</v>
      </c>
      <c r="N774">
        <v>100</v>
      </c>
      <c r="O774">
        <v>0</v>
      </c>
      <c r="P774">
        <v>0</v>
      </c>
      <c r="Q774">
        <v>120</v>
      </c>
      <c r="R774" t="s">
        <v>184</v>
      </c>
      <c r="T774">
        <v>3</v>
      </c>
      <c r="U774">
        <v>290</v>
      </c>
      <c r="V774">
        <v>1250000</v>
      </c>
      <c r="W774" t="s">
        <v>589</v>
      </c>
      <c r="Z774">
        <v>79</v>
      </c>
      <c r="AA774">
        <v>100</v>
      </c>
      <c r="AB774">
        <v>80</v>
      </c>
      <c r="AC774">
        <v>110</v>
      </c>
      <c r="AD774">
        <v>90</v>
      </c>
      <c r="AE774">
        <v>121</v>
      </c>
      <c r="AF774">
        <v>580</v>
      </c>
      <c r="AG774">
        <v>0</v>
      </c>
      <c r="AH774">
        <v>0</v>
      </c>
      <c r="AI774">
        <v>0</v>
      </c>
      <c r="AJ774">
        <v>0</v>
      </c>
      <c r="AK774">
        <v>0</v>
      </c>
      <c r="AL774">
        <v>3</v>
      </c>
    </row>
    <row r="775" spans="1:38" x14ac:dyDescent="0.25">
      <c r="A775" t="s">
        <v>1830</v>
      </c>
      <c r="B775" t="s">
        <v>1831</v>
      </c>
      <c r="C775" s="1">
        <v>642</v>
      </c>
      <c r="D775" s="1" t="s">
        <v>1829</v>
      </c>
      <c r="E775">
        <v>5</v>
      </c>
      <c r="F775">
        <v>1.5</v>
      </c>
      <c r="G775">
        <v>61</v>
      </c>
      <c r="H775" t="s">
        <v>154</v>
      </c>
      <c r="I775" t="s">
        <v>66</v>
      </c>
      <c r="J775" t="s">
        <v>726</v>
      </c>
      <c r="L775" t="s">
        <v>282</v>
      </c>
      <c r="M775" t="s">
        <v>79</v>
      </c>
      <c r="N775">
        <v>100</v>
      </c>
      <c r="O775">
        <v>0</v>
      </c>
      <c r="P775">
        <v>0</v>
      </c>
      <c r="Q775">
        <v>120</v>
      </c>
      <c r="R775" t="s">
        <v>184</v>
      </c>
      <c r="T775">
        <v>3</v>
      </c>
      <c r="U775">
        <v>290</v>
      </c>
      <c r="V775">
        <v>1250000</v>
      </c>
      <c r="W775" t="s">
        <v>589</v>
      </c>
      <c r="Z775">
        <v>79</v>
      </c>
      <c r="AA775">
        <v>115</v>
      </c>
      <c r="AB775">
        <v>70</v>
      </c>
      <c r="AC775">
        <v>125</v>
      </c>
      <c r="AD775">
        <v>80</v>
      </c>
      <c r="AE775">
        <v>111</v>
      </c>
      <c r="AF775">
        <v>580</v>
      </c>
      <c r="AG775">
        <v>0</v>
      </c>
      <c r="AH775">
        <v>3</v>
      </c>
      <c r="AI775">
        <v>0</v>
      </c>
      <c r="AJ775">
        <v>0</v>
      </c>
      <c r="AK775">
        <v>0</v>
      </c>
      <c r="AL775">
        <v>0</v>
      </c>
    </row>
    <row r="776" spans="1:38" x14ac:dyDescent="0.25">
      <c r="A776" t="s">
        <v>1830</v>
      </c>
      <c r="B776" t="s">
        <v>1833</v>
      </c>
      <c r="C776" s="1">
        <v>642</v>
      </c>
      <c r="D776" s="1" t="s">
        <v>1832</v>
      </c>
      <c r="E776">
        <v>5</v>
      </c>
      <c r="F776">
        <v>3</v>
      </c>
      <c r="G776">
        <v>61</v>
      </c>
      <c r="H776" t="s">
        <v>154</v>
      </c>
      <c r="I776" t="s">
        <v>66</v>
      </c>
      <c r="J776" t="s">
        <v>564</v>
      </c>
      <c r="M776" t="s">
        <v>79</v>
      </c>
      <c r="N776">
        <v>100</v>
      </c>
      <c r="O776">
        <v>0</v>
      </c>
      <c r="P776">
        <v>0</v>
      </c>
      <c r="Q776">
        <v>120</v>
      </c>
      <c r="R776" t="s">
        <v>184</v>
      </c>
      <c r="T776">
        <v>3</v>
      </c>
      <c r="U776">
        <v>290</v>
      </c>
      <c r="V776">
        <v>1250000</v>
      </c>
      <c r="W776" t="s">
        <v>589</v>
      </c>
      <c r="Z776">
        <v>79</v>
      </c>
      <c r="AA776">
        <v>105</v>
      </c>
      <c r="AB776">
        <v>70</v>
      </c>
      <c r="AC776">
        <v>145</v>
      </c>
      <c r="AD776">
        <v>80</v>
      </c>
      <c r="AE776">
        <v>101</v>
      </c>
      <c r="AF776">
        <v>580</v>
      </c>
      <c r="AG776">
        <v>0</v>
      </c>
      <c r="AH776">
        <v>0</v>
      </c>
      <c r="AI776">
        <v>0</v>
      </c>
      <c r="AJ776">
        <v>3</v>
      </c>
      <c r="AK776">
        <v>0</v>
      </c>
      <c r="AL776">
        <v>0</v>
      </c>
    </row>
    <row r="777" spans="1:38" x14ac:dyDescent="0.25">
      <c r="A777" t="s">
        <v>1835</v>
      </c>
      <c r="B777" t="s">
        <v>1835</v>
      </c>
      <c r="C777" s="1">
        <v>643</v>
      </c>
      <c r="D777" s="1" t="s">
        <v>1834</v>
      </c>
      <c r="E777">
        <v>5</v>
      </c>
      <c r="F777">
        <v>3.2</v>
      </c>
      <c r="G777">
        <v>330</v>
      </c>
      <c r="H777" t="s">
        <v>61</v>
      </c>
      <c r="I777" t="s">
        <v>57</v>
      </c>
      <c r="J777" t="s">
        <v>1836</v>
      </c>
      <c r="M777" t="s">
        <v>100</v>
      </c>
      <c r="N777">
        <v>0</v>
      </c>
      <c r="O777">
        <v>0</v>
      </c>
      <c r="P777">
        <v>100</v>
      </c>
      <c r="Q777">
        <v>120</v>
      </c>
      <c r="R777" t="s">
        <v>184</v>
      </c>
      <c r="T777">
        <v>3</v>
      </c>
      <c r="U777">
        <v>340</v>
      </c>
      <c r="V777">
        <v>1250000</v>
      </c>
      <c r="W777" t="s">
        <v>611</v>
      </c>
      <c r="Z777">
        <v>100</v>
      </c>
      <c r="AA777">
        <v>120</v>
      </c>
      <c r="AB777">
        <v>100</v>
      </c>
      <c r="AC777">
        <v>150</v>
      </c>
      <c r="AD777">
        <v>120</v>
      </c>
      <c r="AE777">
        <v>90</v>
      </c>
      <c r="AF777">
        <v>680</v>
      </c>
      <c r="AG777">
        <v>0</v>
      </c>
      <c r="AH777">
        <v>0</v>
      </c>
      <c r="AI777">
        <v>0</v>
      </c>
      <c r="AJ777">
        <v>3</v>
      </c>
      <c r="AK777">
        <v>0</v>
      </c>
      <c r="AL777">
        <v>0</v>
      </c>
    </row>
    <row r="778" spans="1:38" x14ac:dyDescent="0.25">
      <c r="A778" t="s">
        <v>1838</v>
      </c>
      <c r="B778" t="s">
        <v>1838</v>
      </c>
      <c r="C778" s="1">
        <v>644</v>
      </c>
      <c r="D778" s="1" t="s">
        <v>1837</v>
      </c>
      <c r="E778">
        <v>5</v>
      </c>
      <c r="F778">
        <v>2.9</v>
      </c>
      <c r="G778">
        <v>345</v>
      </c>
      <c r="H778" t="s">
        <v>61</v>
      </c>
      <c r="I778" t="s">
        <v>154</v>
      </c>
      <c r="J778" t="s">
        <v>1839</v>
      </c>
      <c r="M778" t="s">
        <v>70</v>
      </c>
      <c r="N778">
        <v>0</v>
      </c>
      <c r="O778">
        <v>0</v>
      </c>
      <c r="P778">
        <v>100</v>
      </c>
      <c r="Q778">
        <v>120</v>
      </c>
      <c r="R778" t="s">
        <v>184</v>
      </c>
      <c r="T778">
        <v>3</v>
      </c>
      <c r="U778">
        <v>340</v>
      </c>
      <c r="V778">
        <v>1250000</v>
      </c>
      <c r="W778" t="s">
        <v>611</v>
      </c>
      <c r="Z778">
        <v>100</v>
      </c>
      <c r="AA778">
        <v>150</v>
      </c>
      <c r="AB778">
        <v>120</v>
      </c>
      <c r="AC778">
        <v>120</v>
      </c>
      <c r="AD778">
        <v>100</v>
      </c>
      <c r="AE778">
        <v>90</v>
      </c>
      <c r="AF778">
        <v>680</v>
      </c>
      <c r="AG778">
        <v>0</v>
      </c>
      <c r="AH778">
        <v>3</v>
      </c>
      <c r="AI778">
        <v>0</v>
      </c>
      <c r="AJ778">
        <v>0</v>
      </c>
      <c r="AK778">
        <v>0</v>
      </c>
      <c r="AL778">
        <v>0</v>
      </c>
    </row>
    <row r="779" spans="1:38" x14ac:dyDescent="0.25">
      <c r="A779" t="s">
        <v>1841</v>
      </c>
      <c r="B779" t="s">
        <v>1842</v>
      </c>
      <c r="C779" s="1">
        <v>645</v>
      </c>
      <c r="D779" s="1" t="s">
        <v>1840</v>
      </c>
      <c r="E779">
        <v>5</v>
      </c>
      <c r="F779">
        <v>1.5</v>
      </c>
      <c r="G779">
        <v>68</v>
      </c>
      <c r="H779" t="s">
        <v>132</v>
      </c>
      <c r="I779" t="s">
        <v>66</v>
      </c>
      <c r="J779" t="s">
        <v>247</v>
      </c>
      <c r="L779" t="s">
        <v>187</v>
      </c>
      <c r="M779" t="s">
        <v>103</v>
      </c>
      <c r="N779">
        <v>100</v>
      </c>
      <c r="O779">
        <v>0</v>
      </c>
      <c r="P779">
        <v>0</v>
      </c>
      <c r="Q779">
        <v>120</v>
      </c>
      <c r="R779" t="s">
        <v>184</v>
      </c>
      <c r="T779">
        <v>3</v>
      </c>
      <c r="U779">
        <v>300</v>
      </c>
      <c r="V779">
        <v>1250000</v>
      </c>
      <c r="W779" t="s">
        <v>589</v>
      </c>
      <c r="Z779">
        <v>89</v>
      </c>
      <c r="AA779">
        <v>125</v>
      </c>
      <c r="AB779">
        <v>90</v>
      </c>
      <c r="AC779">
        <v>115</v>
      </c>
      <c r="AD779">
        <v>80</v>
      </c>
      <c r="AE779">
        <v>101</v>
      </c>
      <c r="AF779">
        <v>600</v>
      </c>
      <c r="AG779">
        <v>0</v>
      </c>
      <c r="AH779">
        <v>0</v>
      </c>
      <c r="AI779">
        <v>0</v>
      </c>
      <c r="AJ779">
        <v>3</v>
      </c>
      <c r="AK779">
        <v>0</v>
      </c>
      <c r="AL779">
        <v>0</v>
      </c>
    </row>
    <row r="780" spans="1:38" x14ac:dyDescent="0.25">
      <c r="A780" t="s">
        <v>1841</v>
      </c>
      <c r="B780" t="s">
        <v>1844</v>
      </c>
      <c r="C780" s="1">
        <v>645</v>
      </c>
      <c r="D780" s="1" t="s">
        <v>1843</v>
      </c>
      <c r="E780">
        <v>5</v>
      </c>
      <c r="F780">
        <v>1.3</v>
      </c>
      <c r="G780">
        <v>68</v>
      </c>
      <c r="H780" t="s">
        <v>132</v>
      </c>
      <c r="I780" t="s">
        <v>66</v>
      </c>
      <c r="J780" t="s">
        <v>148</v>
      </c>
      <c r="M780" t="s">
        <v>103</v>
      </c>
      <c r="N780">
        <v>100</v>
      </c>
      <c r="O780">
        <v>0</v>
      </c>
      <c r="P780">
        <v>0</v>
      </c>
      <c r="Q780">
        <v>120</v>
      </c>
      <c r="R780" t="s">
        <v>184</v>
      </c>
      <c r="T780">
        <v>3</v>
      </c>
      <c r="U780">
        <v>300</v>
      </c>
      <c r="V780">
        <v>1250000</v>
      </c>
      <c r="W780" t="s">
        <v>589</v>
      </c>
      <c r="Z780">
        <v>89</v>
      </c>
      <c r="AA780">
        <v>145</v>
      </c>
      <c r="AB780">
        <v>90</v>
      </c>
      <c r="AC780">
        <v>105</v>
      </c>
      <c r="AD780">
        <v>80</v>
      </c>
      <c r="AE780">
        <v>91</v>
      </c>
      <c r="AF780">
        <v>600</v>
      </c>
      <c r="AG780">
        <v>0</v>
      </c>
      <c r="AH780">
        <v>3</v>
      </c>
      <c r="AI780">
        <v>0</v>
      </c>
      <c r="AJ780">
        <v>0</v>
      </c>
      <c r="AK780">
        <v>0</v>
      </c>
      <c r="AL780">
        <v>0</v>
      </c>
    </row>
    <row r="781" spans="1:38" x14ac:dyDescent="0.25">
      <c r="A781" t="s">
        <v>1846</v>
      </c>
      <c r="B781" t="s">
        <v>1846</v>
      </c>
      <c r="C781" s="1">
        <v>646</v>
      </c>
      <c r="D781" s="1" t="s">
        <v>1845</v>
      </c>
      <c r="E781">
        <v>5</v>
      </c>
      <c r="F781">
        <v>3</v>
      </c>
      <c r="G781">
        <v>325</v>
      </c>
      <c r="H781" t="s">
        <v>61</v>
      </c>
      <c r="I781" t="s">
        <v>170</v>
      </c>
      <c r="J781" t="s">
        <v>581</v>
      </c>
      <c r="M781" t="s">
        <v>318</v>
      </c>
      <c r="N781">
        <v>0</v>
      </c>
      <c r="O781">
        <v>0</v>
      </c>
      <c r="P781">
        <v>100</v>
      </c>
      <c r="Q781">
        <v>120</v>
      </c>
      <c r="R781" t="s">
        <v>184</v>
      </c>
      <c r="T781">
        <v>3</v>
      </c>
      <c r="U781">
        <v>330</v>
      </c>
      <c r="V781">
        <v>1250000</v>
      </c>
      <c r="W781" t="s">
        <v>611</v>
      </c>
      <c r="Z781">
        <v>125</v>
      </c>
      <c r="AA781">
        <v>130</v>
      </c>
      <c r="AB781">
        <v>90</v>
      </c>
      <c r="AC781">
        <v>130</v>
      </c>
      <c r="AD781">
        <v>90</v>
      </c>
      <c r="AE781">
        <v>95</v>
      </c>
      <c r="AF781">
        <v>660</v>
      </c>
      <c r="AG781">
        <v>1</v>
      </c>
      <c r="AH781">
        <v>1</v>
      </c>
      <c r="AI781">
        <v>0</v>
      </c>
      <c r="AJ781">
        <v>1</v>
      </c>
      <c r="AK781">
        <v>0</v>
      </c>
      <c r="AL781">
        <v>0</v>
      </c>
    </row>
    <row r="782" spans="1:38" x14ac:dyDescent="0.25">
      <c r="A782" t="s">
        <v>1846</v>
      </c>
      <c r="B782" t="s">
        <v>1848</v>
      </c>
      <c r="C782" s="1">
        <v>646</v>
      </c>
      <c r="D782" s="1" t="s">
        <v>1847</v>
      </c>
      <c r="E782">
        <v>5</v>
      </c>
      <c r="F782">
        <v>3.6</v>
      </c>
      <c r="G782">
        <v>325</v>
      </c>
      <c r="H782" t="s">
        <v>61</v>
      </c>
      <c r="I782" t="s">
        <v>170</v>
      </c>
      <c r="J782" t="s">
        <v>1836</v>
      </c>
      <c r="M782" t="s">
        <v>318</v>
      </c>
      <c r="N782">
        <v>0</v>
      </c>
      <c r="O782">
        <v>0</v>
      </c>
      <c r="P782">
        <v>100</v>
      </c>
      <c r="Q782">
        <v>120</v>
      </c>
      <c r="R782" t="s">
        <v>184</v>
      </c>
      <c r="T782">
        <v>3</v>
      </c>
      <c r="U782">
        <v>350</v>
      </c>
      <c r="V782">
        <v>1250000</v>
      </c>
      <c r="W782" t="s">
        <v>611</v>
      </c>
      <c r="Z782">
        <v>125</v>
      </c>
      <c r="AA782">
        <v>120</v>
      </c>
      <c r="AB782">
        <v>90</v>
      </c>
      <c r="AC782">
        <v>170</v>
      </c>
      <c r="AD782">
        <v>100</v>
      </c>
      <c r="AE782">
        <v>95</v>
      </c>
      <c r="AF782">
        <v>700</v>
      </c>
      <c r="AG782">
        <v>0</v>
      </c>
      <c r="AH782">
        <v>0</v>
      </c>
      <c r="AI782">
        <v>0</v>
      </c>
      <c r="AJ782">
        <v>3</v>
      </c>
      <c r="AK782">
        <v>0</v>
      </c>
      <c r="AL782">
        <v>0</v>
      </c>
    </row>
    <row r="783" spans="1:38" x14ac:dyDescent="0.25">
      <c r="A783" t="s">
        <v>1846</v>
      </c>
      <c r="B783" t="s">
        <v>1850</v>
      </c>
      <c r="C783" s="1">
        <v>646</v>
      </c>
      <c r="D783" s="1" t="s">
        <v>1849</v>
      </c>
      <c r="E783">
        <v>5</v>
      </c>
      <c r="F783">
        <v>3.3</v>
      </c>
      <c r="G783">
        <v>325</v>
      </c>
      <c r="H783" t="s">
        <v>61</v>
      </c>
      <c r="I783" t="s">
        <v>170</v>
      </c>
      <c r="J783" t="s">
        <v>1839</v>
      </c>
      <c r="M783" t="s">
        <v>318</v>
      </c>
      <c r="N783">
        <v>0</v>
      </c>
      <c r="O783">
        <v>0</v>
      </c>
      <c r="P783">
        <v>100</v>
      </c>
      <c r="Q783">
        <v>120</v>
      </c>
      <c r="R783" t="s">
        <v>184</v>
      </c>
      <c r="T783">
        <v>3</v>
      </c>
      <c r="U783">
        <v>350</v>
      </c>
      <c r="V783">
        <v>1250000</v>
      </c>
      <c r="W783" t="s">
        <v>611</v>
      </c>
      <c r="Z783">
        <v>125</v>
      </c>
      <c r="AA783">
        <v>170</v>
      </c>
      <c r="AB783">
        <v>100</v>
      </c>
      <c r="AC783">
        <v>120</v>
      </c>
      <c r="AD783">
        <v>90</v>
      </c>
      <c r="AE783">
        <v>95</v>
      </c>
      <c r="AF783">
        <v>700</v>
      </c>
      <c r="AG783">
        <v>0</v>
      </c>
      <c r="AH783">
        <v>3</v>
      </c>
      <c r="AI783">
        <v>0</v>
      </c>
      <c r="AJ783">
        <v>0</v>
      </c>
      <c r="AK783">
        <v>0</v>
      </c>
      <c r="AL783">
        <v>0</v>
      </c>
    </row>
    <row r="784" spans="1:38" x14ac:dyDescent="0.25">
      <c r="A784" t="s">
        <v>1852</v>
      </c>
      <c r="B784" t="s">
        <v>1853</v>
      </c>
      <c r="C784" s="1">
        <v>647</v>
      </c>
      <c r="D784" s="1" t="s">
        <v>1851</v>
      </c>
      <c r="E784">
        <v>5</v>
      </c>
      <c r="F784">
        <v>1.4</v>
      </c>
      <c r="G784">
        <v>48.5</v>
      </c>
      <c r="H784" t="s">
        <v>76</v>
      </c>
      <c r="I784" t="s">
        <v>279</v>
      </c>
      <c r="J784" t="s">
        <v>287</v>
      </c>
      <c r="M784" t="s">
        <v>106</v>
      </c>
      <c r="N784">
        <v>0</v>
      </c>
      <c r="O784">
        <v>0</v>
      </c>
      <c r="P784">
        <v>100</v>
      </c>
      <c r="Q784">
        <v>80</v>
      </c>
      <c r="R784" t="s">
        <v>184</v>
      </c>
      <c r="T784">
        <v>3</v>
      </c>
      <c r="U784">
        <v>290</v>
      </c>
      <c r="V784">
        <v>1250000</v>
      </c>
      <c r="W784" t="s">
        <v>618</v>
      </c>
      <c r="Z784">
        <v>91</v>
      </c>
      <c r="AA784">
        <v>72</v>
      </c>
      <c r="AB784">
        <v>90</v>
      </c>
      <c r="AC784">
        <v>129</v>
      </c>
      <c r="AD784">
        <v>90</v>
      </c>
      <c r="AE784">
        <v>108</v>
      </c>
      <c r="AF784">
        <v>580</v>
      </c>
      <c r="AG784">
        <v>0</v>
      </c>
      <c r="AH784">
        <v>0</v>
      </c>
      <c r="AI784">
        <v>0</v>
      </c>
      <c r="AJ784">
        <v>3</v>
      </c>
      <c r="AK784">
        <v>0</v>
      </c>
      <c r="AL784">
        <v>0</v>
      </c>
    </row>
    <row r="785" spans="1:38" x14ac:dyDescent="0.25">
      <c r="A785" t="s">
        <v>1852</v>
      </c>
      <c r="B785" t="s">
        <v>1855</v>
      </c>
      <c r="C785" s="1">
        <v>647</v>
      </c>
      <c r="D785" s="1" t="s">
        <v>1854</v>
      </c>
      <c r="E785">
        <v>5</v>
      </c>
      <c r="F785">
        <v>1.4</v>
      </c>
      <c r="G785">
        <v>48.5</v>
      </c>
      <c r="H785" t="s">
        <v>76</v>
      </c>
      <c r="I785" t="s">
        <v>279</v>
      </c>
      <c r="J785" t="s">
        <v>287</v>
      </c>
      <c r="M785" t="s">
        <v>106</v>
      </c>
      <c r="N785">
        <v>0</v>
      </c>
      <c r="O785">
        <v>0</v>
      </c>
      <c r="P785">
        <v>100</v>
      </c>
      <c r="Q785">
        <v>80</v>
      </c>
      <c r="R785" t="s">
        <v>184</v>
      </c>
      <c r="T785">
        <v>3</v>
      </c>
      <c r="U785">
        <v>290</v>
      </c>
      <c r="V785">
        <v>1250000</v>
      </c>
      <c r="W785" t="s">
        <v>618</v>
      </c>
      <c r="Z785">
        <v>91</v>
      </c>
      <c r="AA785">
        <v>72</v>
      </c>
      <c r="AB785">
        <v>90</v>
      </c>
      <c r="AC785">
        <v>129</v>
      </c>
      <c r="AD785">
        <v>90</v>
      </c>
      <c r="AE785">
        <v>108</v>
      </c>
      <c r="AF785">
        <v>580</v>
      </c>
      <c r="AG785">
        <v>0</v>
      </c>
      <c r="AH785">
        <v>0</v>
      </c>
      <c r="AI785">
        <v>0</v>
      </c>
      <c r="AJ785">
        <v>3</v>
      </c>
      <c r="AK785">
        <v>0</v>
      </c>
      <c r="AL785">
        <v>0</v>
      </c>
    </row>
    <row r="786" spans="1:38" x14ac:dyDescent="0.25">
      <c r="A786" t="s">
        <v>1857</v>
      </c>
      <c r="B786" t="s">
        <v>1858</v>
      </c>
      <c r="C786" s="1">
        <v>648</v>
      </c>
      <c r="D786" s="1" t="s">
        <v>1856</v>
      </c>
      <c r="E786">
        <v>5</v>
      </c>
      <c r="F786">
        <v>0.6</v>
      </c>
      <c r="G786">
        <v>6.5</v>
      </c>
      <c r="H786" t="s">
        <v>116</v>
      </c>
      <c r="I786" t="s">
        <v>162</v>
      </c>
      <c r="J786" t="s">
        <v>491</v>
      </c>
      <c r="M786" t="s">
        <v>100</v>
      </c>
      <c r="N786">
        <v>0</v>
      </c>
      <c r="O786">
        <v>0</v>
      </c>
      <c r="P786">
        <v>100</v>
      </c>
      <c r="Q786">
        <v>120</v>
      </c>
      <c r="R786" t="s">
        <v>184</v>
      </c>
      <c r="T786">
        <v>3</v>
      </c>
      <c r="U786">
        <v>300</v>
      </c>
      <c r="V786">
        <v>1250000</v>
      </c>
      <c r="W786" t="s">
        <v>618</v>
      </c>
      <c r="Z786">
        <v>100</v>
      </c>
      <c r="AA786">
        <v>77</v>
      </c>
      <c r="AB786">
        <v>77</v>
      </c>
      <c r="AC786">
        <v>128</v>
      </c>
      <c r="AD786">
        <v>128</v>
      </c>
      <c r="AE786">
        <v>90</v>
      </c>
      <c r="AF786">
        <v>600</v>
      </c>
      <c r="AG786">
        <v>0</v>
      </c>
      <c r="AH786">
        <v>0</v>
      </c>
      <c r="AI786">
        <v>0</v>
      </c>
      <c r="AJ786">
        <v>1</v>
      </c>
      <c r="AK786">
        <v>1</v>
      </c>
      <c r="AL786">
        <v>1</v>
      </c>
    </row>
    <row r="787" spans="1:38" x14ac:dyDescent="0.25">
      <c r="A787" t="s">
        <v>1857</v>
      </c>
      <c r="B787" t="s">
        <v>1860</v>
      </c>
      <c r="C787" s="1">
        <v>648</v>
      </c>
      <c r="D787" s="1" t="s">
        <v>1859</v>
      </c>
      <c r="E787">
        <v>5</v>
      </c>
      <c r="F787">
        <v>0.6</v>
      </c>
      <c r="G787">
        <v>6.5</v>
      </c>
      <c r="H787" t="s">
        <v>116</v>
      </c>
      <c r="I787" t="s">
        <v>279</v>
      </c>
      <c r="J787" t="s">
        <v>491</v>
      </c>
      <c r="M787" t="s">
        <v>100</v>
      </c>
      <c r="N787">
        <v>0</v>
      </c>
      <c r="O787">
        <v>0</v>
      </c>
      <c r="P787">
        <v>100</v>
      </c>
      <c r="Q787">
        <v>120</v>
      </c>
      <c r="R787" t="s">
        <v>184</v>
      </c>
      <c r="T787">
        <v>3</v>
      </c>
      <c r="U787">
        <v>300</v>
      </c>
      <c r="V787">
        <v>1250000</v>
      </c>
      <c r="W787" t="s">
        <v>618</v>
      </c>
      <c r="Z787">
        <v>100</v>
      </c>
      <c r="AA787">
        <v>128</v>
      </c>
      <c r="AB787">
        <v>90</v>
      </c>
      <c r="AC787">
        <v>77</v>
      </c>
      <c r="AD787">
        <v>77</v>
      </c>
      <c r="AE787">
        <v>128</v>
      </c>
      <c r="AF787">
        <v>600</v>
      </c>
      <c r="AG787">
        <v>0</v>
      </c>
      <c r="AH787">
        <v>1</v>
      </c>
      <c r="AI787">
        <v>1</v>
      </c>
      <c r="AJ787">
        <v>0</v>
      </c>
      <c r="AK787">
        <v>0</v>
      </c>
      <c r="AL787">
        <v>1</v>
      </c>
    </row>
    <row r="788" spans="1:38" x14ac:dyDescent="0.25">
      <c r="A788" t="s">
        <v>1862</v>
      </c>
      <c r="B788" t="s">
        <v>1862</v>
      </c>
      <c r="C788" s="1">
        <v>649</v>
      </c>
      <c r="D788" s="1" t="s">
        <v>1861</v>
      </c>
      <c r="E788">
        <v>5</v>
      </c>
      <c r="F788">
        <v>1.5</v>
      </c>
      <c r="G788">
        <v>82.5</v>
      </c>
      <c r="H788" t="s">
        <v>90</v>
      </c>
      <c r="I788" t="s">
        <v>171</v>
      </c>
      <c r="J788" t="s">
        <v>570</v>
      </c>
      <c r="M788" t="s">
        <v>131</v>
      </c>
      <c r="N788">
        <v>0</v>
      </c>
      <c r="O788">
        <v>0</v>
      </c>
      <c r="P788">
        <v>100</v>
      </c>
      <c r="Q788">
        <v>120</v>
      </c>
      <c r="R788" t="s">
        <v>184</v>
      </c>
      <c r="T788">
        <v>3</v>
      </c>
      <c r="U788">
        <v>300</v>
      </c>
      <c r="V788">
        <v>1250000</v>
      </c>
      <c r="W788" t="s">
        <v>618</v>
      </c>
      <c r="Z788">
        <v>71</v>
      </c>
      <c r="AA788">
        <v>120</v>
      </c>
      <c r="AB788">
        <v>95</v>
      </c>
      <c r="AC788">
        <v>120</v>
      </c>
      <c r="AD788">
        <v>95</v>
      </c>
      <c r="AE788">
        <v>99</v>
      </c>
      <c r="AF788">
        <v>600</v>
      </c>
      <c r="AG788">
        <v>0</v>
      </c>
      <c r="AH788">
        <v>1</v>
      </c>
      <c r="AI788">
        <v>0</v>
      </c>
      <c r="AJ788">
        <v>1</v>
      </c>
      <c r="AK788">
        <v>0</v>
      </c>
      <c r="AL788">
        <v>1</v>
      </c>
    </row>
    <row r="789" spans="1:38" x14ac:dyDescent="0.25">
      <c r="A789" t="s">
        <v>1864</v>
      </c>
      <c r="B789" t="s">
        <v>1864</v>
      </c>
      <c r="C789" s="1">
        <v>650</v>
      </c>
      <c r="D789" s="1" t="s">
        <v>1863</v>
      </c>
      <c r="E789">
        <v>6</v>
      </c>
      <c r="F789">
        <v>0.4</v>
      </c>
      <c r="G789">
        <v>9</v>
      </c>
      <c r="H789" t="s">
        <v>40</v>
      </c>
      <c r="J789" t="s">
        <v>42</v>
      </c>
      <c r="L789" t="s">
        <v>1865</v>
      </c>
      <c r="M789" t="s">
        <v>44</v>
      </c>
      <c r="N789">
        <v>87.5</v>
      </c>
      <c r="O789">
        <v>12.5</v>
      </c>
      <c r="P789">
        <v>0</v>
      </c>
      <c r="Q789">
        <v>20</v>
      </c>
      <c r="R789" t="s">
        <v>132</v>
      </c>
      <c r="T789">
        <v>45</v>
      </c>
      <c r="U789">
        <v>63</v>
      </c>
      <c r="V789">
        <v>1059860</v>
      </c>
      <c r="W789" t="s">
        <v>46</v>
      </c>
      <c r="Z789">
        <v>56</v>
      </c>
      <c r="AA789">
        <v>61</v>
      </c>
      <c r="AB789">
        <v>65</v>
      </c>
      <c r="AC789">
        <v>48</v>
      </c>
      <c r="AD789">
        <v>45</v>
      </c>
      <c r="AE789">
        <v>38</v>
      </c>
      <c r="AF789">
        <v>313</v>
      </c>
      <c r="AG789">
        <v>0</v>
      </c>
      <c r="AH789">
        <v>0</v>
      </c>
      <c r="AI789">
        <v>1</v>
      </c>
      <c r="AJ789">
        <v>0</v>
      </c>
      <c r="AK789">
        <v>0</v>
      </c>
      <c r="AL789">
        <v>0</v>
      </c>
    </row>
    <row r="790" spans="1:38" x14ac:dyDescent="0.25">
      <c r="A790" t="s">
        <v>1867</v>
      </c>
      <c r="B790" t="s">
        <v>1867</v>
      </c>
      <c r="C790" s="1">
        <v>651</v>
      </c>
      <c r="D790" s="1" t="s">
        <v>1866</v>
      </c>
      <c r="E790">
        <v>6</v>
      </c>
      <c r="F790">
        <v>0.7</v>
      </c>
      <c r="G790">
        <v>29</v>
      </c>
      <c r="H790" t="s">
        <v>40</v>
      </c>
      <c r="J790" t="s">
        <v>42</v>
      </c>
      <c r="L790" t="s">
        <v>1865</v>
      </c>
      <c r="M790" t="s">
        <v>44</v>
      </c>
      <c r="N790">
        <v>87.5</v>
      </c>
      <c r="O790">
        <v>12.5</v>
      </c>
      <c r="P790">
        <v>0</v>
      </c>
      <c r="Q790">
        <v>20</v>
      </c>
      <c r="R790" t="s">
        <v>132</v>
      </c>
      <c r="T790">
        <v>45</v>
      </c>
      <c r="U790">
        <v>142</v>
      </c>
      <c r="V790">
        <v>1059860</v>
      </c>
      <c r="W790" t="s">
        <v>46</v>
      </c>
      <c r="Z790">
        <v>61</v>
      </c>
      <c r="AA790">
        <v>78</v>
      </c>
      <c r="AB790">
        <v>95</v>
      </c>
      <c r="AC790">
        <v>56</v>
      </c>
      <c r="AD790">
        <v>58</v>
      </c>
      <c r="AE790">
        <v>57</v>
      </c>
      <c r="AF790">
        <v>405</v>
      </c>
      <c r="AG790">
        <v>0</v>
      </c>
      <c r="AH790">
        <v>0</v>
      </c>
      <c r="AI790">
        <v>2</v>
      </c>
      <c r="AJ790">
        <v>0</v>
      </c>
      <c r="AK790">
        <v>0</v>
      </c>
      <c r="AL790">
        <v>0</v>
      </c>
    </row>
    <row r="791" spans="1:38" x14ac:dyDescent="0.25">
      <c r="A791" t="s">
        <v>1869</v>
      </c>
      <c r="B791" t="s">
        <v>1869</v>
      </c>
      <c r="C791" s="1">
        <v>652</v>
      </c>
      <c r="D791" s="1" t="s">
        <v>1868</v>
      </c>
      <c r="E791">
        <v>6</v>
      </c>
      <c r="F791">
        <v>1.6</v>
      </c>
      <c r="G791">
        <v>90</v>
      </c>
      <c r="H791" t="s">
        <v>40</v>
      </c>
      <c r="I791" t="s">
        <v>279</v>
      </c>
      <c r="J791" t="s">
        <v>42</v>
      </c>
      <c r="L791" t="s">
        <v>1865</v>
      </c>
      <c r="M791" t="s">
        <v>44</v>
      </c>
      <c r="N791">
        <v>87.5</v>
      </c>
      <c r="O791">
        <v>12.5</v>
      </c>
      <c r="P791">
        <v>0</v>
      </c>
      <c r="Q791">
        <v>20</v>
      </c>
      <c r="R791" t="s">
        <v>132</v>
      </c>
      <c r="T791">
        <v>45</v>
      </c>
      <c r="U791">
        <v>265</v>
      </c>
      <c r="V791">
        <v>1059860</v>
      </c>
      <c r="W791" t="s">
        <v>46</v>
      </c>
      <c r="Z791">
        <v>88</v>
      </c>
      <c r="AA791">
        <v>107</v>
      </c>
      <c r="AB791">
        <v>122</v>
      </c>
      <c r="AC791">
        <v>74</v>
      </c>
      <c r="AD791">
        <v>75</v>
      </c>
      <c r="AE791">
        <v>64</v>
      </c>
      <c r="AF791">
        <v>530</v>
      </c>
      <c r="AG791">
        <v>0</v>
      </c>
      <c r="AH791">
        <v>0</v>
      </c>
      <c r="AI791">
        <v>3</v>
      </c>
      <c r="AJ791">
        <v>0</v>
      </c>
      <c r="AK791">
        <v>0</v>
      </c>
      <c r="AL791">
        <v>0</v>
      </c>
    </row>
    <row r="792" spans="1:38" x14ac:dyDescent="0.25">
      <c r="A792" t="s">
        <v>1871</v>
      </c>
      <c r="B792" t="s">
        <v>1871</v>
      </c>
      <c r="C792" s="1">
        <v>653</v>
      </c>
      <c r="D792" s="1" t="s">
        <v>1870</v>
      </c>
      <c r="E792">
        <v>6</v>
      </c>
      <c r="F792">
        <v>0.4</v>
      </c>
      <c r="G792">
        <v>9.4</v>
      </c>
      <c r="H792" t="s">
        <v>57</v>
      </c>
      <c r="J792" t="s">
        <v>58</v>
      </c>
      <c r="L792" t="s">
        <v>1872</v>
      </c>
      <c r="M792" t="s">
        <v>60</v>
      </c>
      <c r="N792">
        <v>87.5</v>
      </c>
      <c r="O792">
        <v>12.5</v>
      </c>
      <c r="P792">
        <v>0</v>
      </c>
      <c r="Q792">
        <v>20</v>
      </c>
      <c r="R792" t="s">
        <v>132</v>
      </c>
      <c r="T792">
        <v>45</v>
      </c>
      <c r="U792">
        <v>61</v>
      </c>
      <c r="V792">
        <v>1059860</v>
      </c>
      <c r="W792" t="s">
        <v>46</v>
      </c>
      <c r="Z792">
        <v>40</v>
      </c>
      <c r="AA792">
        <v>45</v>
      </c>
      <c r="AB792">
        <v>40</v>
      </c>
      <c r="AC792">
        <v>62</v>
      </c>
      <c r="AD792">
        <v>60</v>
      </c>
      <c r="AE792">
        <v>60</v>
      </c>
      <c r="AF792">
        <v>307</v>
      </c>
      <c r="AG792">
        <v>0</v>
      </c>
      <c r="AH792">
        <v>0</v>
      </c>
      <c r="AI792">
        <v>0</v>
      </c>
      <c r="AJ792">
        <v>1</v>
      </c>
      <c r="AK792">
        <v>0</v>
      </c>
      <c r="AL792">
        <v>0</v>
      </c>
    </row>
    <row r="793" spans="1:38" x14ac:dyDescent="0.25">
      <c r="A793" t="s">
        <v>1874</v>
      </c>
      <c r="B793" t="s">
        <v>1874</v>
      </c>
      <c r="C793" s="1">
        <v>654</v>
      </c>
      <c r="D793" s="1" t="s">
        <v>1873</v>
      </c>
      <c r="E793">
        <v>6</v>
      </c>
      <c r="F793">
        <v>1</v>
      </c>
      <c r="G793">
        <v>14.5</v>
      </c>
      <c r="H793" t="s">
        <v>57</v>
      </c>
      <c r="J793" t="s">
        <v>58</v>
      </c>
      <c r="L793" t="s">
        <v>1872</v>
      </c>
      <c r="M793" t="s">
        <v>60</v>
      </c>
      <c r="N793">
        <v>87.5</v>
      </c>
      <c r="O793">
        <v>12.5</v>
      </c>
      <c r="P793">
        <v>0</v>
      </c>
      <c r="Q793">
        <v>20</v>
      </c>
      <c r="R793" t="s">
        <v>132</v>
      </c>
      <c r="T793">
        <v>45</v>
      </c>
      <c r="U793">
        <v>143</v>
      </c>
      <c r="V793">
        <v>1059860</v>
      </c>
      <c r="W793" t="s">
        <v>46</v>
      </c>
      <c r="Z793">
        <v>59</v>
      </c>
      <c r="AA793">
        <v>59</v>
      </c>
      <c r="AB793">
        <v>58</v>
      </c>
      <c r="AC793">
        <v>90</v>
      </c>
      <c r="AD793">
        <v>70</v>
      </c>
      <c r="AE793">
        <v>73</v>
      </c>
      <c r="AF793">
        <v>409</v>
      </c>
      <c r="AG793">
        <v>0</v>
      </c>
      <c r="AH793">
        <v>0</v>
      </c>
      <c r="AI793">
        <v>0</v>
      </c>
      <c r="AJ793">
        <v>2</v>
      </c>
      <c r="AK793">
        <v>0</v>
      </c>
      <c r="AL793">
        <v>0</v>
      </c>
    </row>
    <row r="794" spans="1:38" x14ac:dyDescent="0.25">
      <c r="A794" t="s">
        <v>1876</v>
      </c>
      <c r="B794" t="s">
        <v>1876</v>
      </c>
      <c r="C794" s="1">
        <v>655</v>
      </c>
      <c r="D794" s="1" t="s">
        <v>1875</v>
      </c>
      <c r="E794">
        <v>6</v>
      </c>
      <c r="F794">
        <v>1.5</v>
      </c>
      <c r="G794">
        <v>39</v>
      </c>
      <c r="H794" t="s">
        <v>57</v>
      </c>
      <c r="I794" t="s">
        <v>162</v>
      </c>
      <c r="J794" t="s">
        <v>58</v>
      </c>
      <c r="L794" t="s">
        <v>1872</v>
      </c>
      <c r="M794" t="s">
        <v>60</v>
      </c>
      <c r="N794">
        <v>87.5</v>
      </c>
      <c r="O794">
        <v>12.5</v>
      </c>
      <c r="P794">
        <v>0</v>
      </c>
      <c r="Q794">
        <v>20</v>
      </c>
      <c r="R794" t="s">
        <v>132</v>
      </c>
      <c r="T794">
        <v>45</v>
      </c>
      <c r="U794">
        <v>267</v>
      </c>
      <c r="V794">
        <v>1059860</v>
      </c>
      <c r="W794" t="s">
        <v>46</v>
      </c>
      <c r="Z794">
        <v>75</v>
      </c>
      <c r="AA794">
        <v>69</v>
      </c>
      <c r="AB794">
        <v>72</v>
      </c>
      <c r="AC794">
        <v>114</v>
      </c>
      <c r="AD794">
        <v>100</v>
      </c>
      <c r="AE794">
        <v>104</v>
      </c>
      <c r="AF794">
        <v>534</v>
      </c>
      <c r="AG794">
        <v>0</v>
      </c>
      <c r="AH794">
        <v>0</v>
      </c>
      <c r="AI794">
        <v>0</v>
      </c>
      <c r="AJ794">
        <v>3</v>
      </c>
      <c r="AK794">
        <v>0</v>
      </c>
      <c r="AL794">
        <v>0</v>
      </c>
    </row>
    <row r="795" spans="1:38" x14ac:dyDescent="0.25">
      <c r="A795" t="s">
        <v>1878</v>
      </c>
      <c r="B795" t="s">
        <v>1878</v>
      </c>
      <c r="C795" s="1">
        <v>656</v>
      </c>
      <c r="D795" s="1" t="s">
        <v>1877</v>
      </c>
      <c r="E795">
        <v>6</v>
      </c>
      <c r="F795">
        <v>0.3</v>
      </c>
      <c r="G795">
        <v>7</v>
      </c>
      <c r="H795" t="s">
        <v>76</v>
      </c>
      <c r="J795" t="s">
        <v>77</v>
      </c>
      <c r="L795" t="s">
        <v>1115</v>
      </c>
      <c r="M795" t="s">
        <v>79</v>
      </c>
      <c r="N795">
        <v>87.5</v>
      </c>
      <c r="O795">
        <v>12.5</v>
      </c>
      <c r="P795">
        <v>0</v>
      </c>
      <c r="Q795">
        <v>20</v>
      </c>
      <c r="R795" t="s">
        <v>80</v>
      </c>
      <c r="T795">
        <v>45</v>
      </c>
      <c r="U795">
        <v>63</v>
      </c>
      <c r="V795">
        <v>1059860</v>
      </c>
      <c r="W795" t="s">
        <v>46</v>
      </c>
      <c r="Z795">
        <v>41</v>
      </c>
      <c r="AA795">
        <v>56</v>
      </c>
      <c r="AB795">
        <v>40</v>
      </c>
      <c r="AC795">
        <v>62</v>
      </c>
      <c r="AD795">
        <v>44</v>
      </c>
      <c r="AE795">
        <v>71</v>
      </c>
      <c r="AF795">
        <v>314</v>
      </c>
      <c r="AG795">
        <v>0</v>
      </c>
      <c r="AH795">
        <v>0</v>
      </c>
      <c r="AI795">
        <v>0</v>
      </c>
      <c r="AJ795">
        <v>0</v>
      </c>
      <c r="AK795">
        <v>0</v>
      </c>
      <c r="AL795">
        <v>1</v>
      </c>
    </row>
    <row r="796" spans="1:38" x14ac:dyDescent="0.25">
      <c r="A796" t="s">
        <v>1880</v>
      </c>
      <c r="B796" t="s">
        <v>1880</v>
      </c>
      <c r="C796" s="1">
        <v>657</v>
      </c>
      <c r="D796" s="1" t="s">
        <v>1879</v>
      </c>
      <c r="E796">
        <v>6</v>
      </c>
      <c r="F796">
        <v>0.6</v>
      </c>
      <c r="G796">
        <v>10.9</v>
      </c>
      <c r="H796" t="s">
        <v>76</v>
      </c>
      <c r="J796" t="s">
        <v>77</v>
      </c>
      <c r="L796" t="s">
        <v>1115</v>
      </c>
      <c r="M796" t="s">
        <v>79</v>
      </c>
      <c r="N796">
        <v>87.5</v>
      </c>
      <c r="O796">
        <v>12.5</v>
      </c>
      <c r="P796">
        <v>0</v>
      </c>
      <c r="Q796">
        <v>20</v>
      </c>
      <c r="R796" t="s">
        <v>80</v>
      </c>
      <c r="T796">
        <v>45</v>
      </c>
      <c r="U796">
        <v>142</v>
      </c>
      <c r="V796">
        <v>1059860</v>
      </c>
      <c r="W796" t="s">
        <v>46</v>
      </c>
      <c r="Z796">
        <v>54</v>
      </c>
      <c r="AA796">
        <v>63</v>
      </c>
      <c r="AB796">
        <v>52</v>
      </c>
      <c r="AC796">
        <v>83</v>
      </c>
      <c r="AD796">
        <v>56</v>
      </c>
      <c r="AE796">
        <v>97</v>
      </c>
      <c r="AF796">
        <v>405</v>
      </c>
      <c r="AG796">
        <v>0</v>
      </c>
      <c r="AH796">
        <v>0</v>
      </c>
      <c r="AI796">
        <v>0</v>
      </c>
      <c r="AJ796">
        <v>0</v>
      </c>
      <c r="AK796">
        <v>0</v>
      </c>
      <c r="AL796">
        <v>2</v>
      </c>
    </row>
    <row r="797" spans="1:38" x14ac:dyDescent="0.25">
      <c r="A797" t="s">
        <v>1882</v>
      </c>
      <c r="B797" t="s">
        <v>1882</v>
      </c>
      <c r="C797" s="1">
        <v>658</v>
      </c>
      <c r="D797" s="1" t="s">
        <v>1881</v>
      </c>
      <c r="E797">
        <v>6</v>
      </c>
      <c r="F797">
        <v>1.5</v>
      </c>
      <c r="G797">
        <v>40</v>
      </c>
      <c r="H797" t="s">
        <v>76</v>
      </c>
      <c r="I797" t="s">
        <v>135</v>
      </c>
      <c r="J797" t="s">
        <v>77</v>
      </c>
      <c r="L797" t="s">
        <v>1115</v>
      </c>
      <c r="M797" t="s">
        <v>79</v>
      </c>
      <c r="N797">
        <v>100</v>
      </c>
      <c r="O797">
        <v>0</v>
      </c>
      <c r="P797">
        <v>0</v>
      </c>
      <c r="Q797">
        <v>20</v>
      </c>
      <c r="R797" t="s">
        <v>80</v>
      </c>
      <c r="T797">
        <v>45</v>
      </c>
      <c r="U797">
        <v>265</v>
      </c>
      <c r="V797">
        <v>1059860</v>
      </c>
      <c r="W797" t="s">
        <v>46</v>
      </c>
      <c r="Z797">
        <v>72</v>
      </c>
      <c r="AA797">
        <v>95</v>
      </c>
      <c r="AB797">
        <v>67</v>
      </c>
      <c r="AC797">
        <v>103</v>
      </c>
      <c r="AD797">
        <v>71</v>
      </c>
      <c r="AE797">
        <v>122</v>
      </c>
      <c r="AF797">
        <v>530</v>
      </c>
      <c r="AG797">
        <v>0</v>
      </c>
      <c r="AH797">
        <v>0</v>
      </c>
      <c r="AI797">
        <v>0</v>
      </c>
      <c r="AJ797">
        <v>0</v>
      </c>
      <c r="AK797">
        <v>0</v>
      </c>
      <c r="AL797">
        <v>3</v>
      </c>
    </row>
    <row r="798" spans="1:38" x14ac:dyDescent="0.25">
      <c r="A798" t="s">
        <v>1882</v>
      </c>
      <c r="B798" t="s">
        <v>1884</v>
      </c>
      <c r="C798" s="1">
        <v>658</v>
      </c>
      <c r="D798" s="1" t="s">
        <v>1883</v>
      </c>
      <c r="E798">
        <v>6</v>
      </c>
      <c r="F798">
        <v>1.5</v>
      </c>
      <c r="G798">
        <v>40</v>
      </c>
      <c r="H798" t="s">
        <v>76</v>
      </c>
      <c r="I798" t="s">
        <v>135</v>
      </c>
      <c r="J798" t="s">
        <v>1885</v>
      </c>
      <c r="M798" t="s">
        <v>79</v>
      </c>
      <c r="N798">
        <v>100</v>
      </c>
      <c r="O798">
        <v>0</v>
      </c>
      <c r="P798">
        <v>0</v>
      </c>
      <c r="Q798">
        <v>20</v>
      </c>
      <c r="R798" t="s">
        <v>184</v>
      </c>
      <c r="T798">
        <v>45</v>
      </c>
      <c r="U798">
        <v>288</v>
      </c>
      <c r="V798">
        <v>1059860</v>
      </c>
      <c r="W798" t="s">
        <v>46</v>
      </c>
      <c r="Z798">
        <v>72</v>
      </c>
      <c r="AA798">
        <v>145</v>
      </c>
      <c r="AB798">
        <v>67</v>
      </c>
      <c r="AC798">
        <v>153</v>
      </c>
      <c r="AD798">
        <v>71</v>
      </c>
      <c r="AE798">
        <v>132</v>
      </c>
      <c r="AF798">
        <v>640</v>
      </c>
      <c r="AG798">
        <v>0</v>
      </c>
      <c r="AH798">
        <v>0</v>
      </c>
      <c r="AI798">
        <v>0</v>
      </c>
      <c r="AJ798">
        <v>0</v>
      </c>
      <c r="AK798">
        <v>0</v>
      </c>
      <c r="AL798">
        <v>3</v>
      </c>
    </row>
    <row r="799" spans="1:38" x14ac:dyDescent="0.25">
      <c r="A799" t="s">
        <v>1887</v>
      </c>
      <c r="B799" t="s">
        <v>1887</v>
      </c>
      <c r="C799" s="1">
        <v>659</v>
      </c>
      <c r="D799" s="1" t="s">
        <v>1886</v>
      </c>
      <c r="E799">
        <v>6</v>
      </c>
      <c r="F799">
        <v>0.4</v>
      </c>
      <c r="G799">
        <v>5</v>
      </c>
      <c r="H799" t="s">
        <v>116</v>
      </c>
      <c r="J799" t="s">
        <v>257</v>
      </c>
      <c r="K799" t="s">
        <v>1888</v>
      </c>
      <c r="L799" t="s">
        <v>690</v>
      </c>
      <c r="M799" t="s">
        <v>103</v>
      </c>
      <c r="N799">
        <v>50</v>
      </c>
      <c r="O799">
        <v>50</v>
      </c>
      <c r="P799">
        <v>0</v>
      </c>
      <c r="Q799">
        <v>15</v>
      </c>
      <c r="R799" t="s">
        <v>132</v>
      </c>
      <c r="T799">
        <v>255</v>
      </c>
      <c r="U799">
        <v>47</v>
      </c>
      <c r="V799">
        <v>1000000</v>
      </c>
      <c r="W799" t="s">
        <v>46</v>
      </c>
      <c r="Z799">
        <v>38</v>
      </c>
      <c r="AA799">
        <v>36</v>
      </c>
      <c r="AB799">
        <v>38</v>
      </c>
      <c r="AC799">
        <v>32</v>
      </c>
      <c r="AD799">
        <v>36</v>
      </c>
      <c r="AE799">
        <v>57</v>
      </c>
      <c r="AF799">
        <v>237</v>
      </c>
      <c r="AG799">
        <v>0</v>
      </c>
      <c r="AH799">
        <v>0</v>
      </c>
      <c r="AI799">
        <v>0</v>
      </c>
      <c r="AJ799">
        <v>0</v>
      </c>
      <c r="AK799">
        <v>0</v>
      </c>
      <c r="AL799">
        <v>1</v>
      </c>
    </row>
    <row r="800" spans="1:38" x14ac:dyDescent="0.25">
      <c r="A800" t="s">
        <v>1890</v>
      </c>
      <c r="B800" t="s">
        <v>1890</v>
      </c>
      <c r="C800" s="1">
        <v>660</v>
      </c>
      <c r="D800" s="1" t="s">
        <v>1889</v>
      </c>
      <c r="E800">
        <v>6</v>
      </c>
      <c r="F800">
        <v>1</v>
      </c>
      <c r="G800">
        <v>42.4</v>
      </c>
      <c r="H800" t="s">
        <v>116</v>
      </c>
      <c r="I800" t="s">
        <v>132</v>
      </c>
      <c r="J800" t="s">
        <v>257</v>
      </c>
      <c r="K800" t="s">
        <v>1888</v>
      </c>
      <c r="L800" t="s">
        <v>690</v>
      </c>
      <c r="M800" t="s">
        <v>103</v>
      </c>
      <c r="N800">
        <v>50</v>
      </c>
      <c r="O800">
        <v>50</v>
      </c>
      <c r="P800">
        <v>0</v>
      </c>
      <c r="Q800">
        <v>15</v>
      </c>
      <c r="R800" t="s">
        <v>132</v>
      </c>
      <c r="T800">
        <v>127</v>
      </c>
      <c r="U800">
        <v>148</v>
      </c>
      <c r="V800">
        <v>1000000</v>
      </c>
      <c r="W800" t="s">
        <v>46</v>
      </c>
      <c r="Z800">
        <v>85</v>
      </c>
      <c r="AA800">
        <v>56</v>
      </c>
      <c r="AB800">
        <v>77</v>
      </c>
      <c r="AC800">
        <v>50</v>
      </c>
      <c r="AD800">
        <v>77</v>
      </c>
      <c r="AE800">
        <v>78</v>
      </c>
      <c r="AF800">
        <v>423</v>
      </c>
      <c r="AG800">
        <v>2</v>
      </c>
      <c r="AH800">
        <v>0</v>
      </c>
      <c r="AI800">
        <v>0</v>
      </c>
      <c r="AJ800">
        <v>0</v>
      </c>
      <c r="AK800">
        <v>0</v>
      </c>
      <c r="AL800">
        <v>0</v>
      </c>
    </row>
    <row r="801" spans="1:38" x14ac:dyDescent="0.25">
      <c r="A801" t="s">
        <v>1892</v>
      </c>
      <c r="B801" t="s">
        <v>1892</v>
      </c>
      <c r="C801" s="1">
        <v>661</v>
      </c>
      <c r="D801" s="1" t="s">
        <v>1891</v>
      </c>
      <c r="E801">
        <v>6</v>
      </c>
      <c r="F801">
        <v>0.3</v>
      </c>
      <c r="G801">
        <v>1.7</v>
      </c>
      <c r="H801" t="s">
        <v>116</v>
      </c>
      <c r="I801" t="s">
        <v>66</v>
      </c>
      <c r="J801" t="s">
        <v>119</v>
      </c>
      <c r="L801" t="s">
        <v>1893</v>
      </c>
      <c r="M801" t="s">
        <v>60</v>
      </c>
      <c r="N801">
        <v>50</v>
      </c>
      <c r="O801">
        <v>50</v>
      </c>
      <c r="P801">
        <v>0</v>
      </c>
      <c r="Q801">
        <v>15</v>
      </c>
      <c r="R801" t="s">
        <v>66</v>
      </c>
      <c r="T801">
        <v>255</v>
      </c>
      <c r="U801">
        <v>56</v>
      </c>
      <c r="V801">
        <v>1059860</v>
      </c>
      <c r="W801" t="s">
        <v>46</v>
      </c>
      <c r="Z801">
        <v>45</v>
      </c>
      <c r="AA801">
        <v>50</v>
      </c>
      <c r="AB801">
        <v>43</v>
      </c>
      <c r="AC801">
        <v>40</v>
      </c>
      <c r="AD801">
        <v>38</v>
      </c>
      <c r="AE801">
        <v>62</v>
      </c>
      <c r="AF801">
        <v>278</v>
      </c>
      <c r="AG801">
        <v>0</v>
      </c>
      <c r="AH801">
        <v>0</v>
      </c>
      <c r="AI801">
        <v>0</v>
      </c>
      <c r="AJ801">
        <v>0</v>
      </c>
      <c r="AK801">
        <v>0</v>
      </c>
      <c r="AL801">
        <v>1</v>
      </c>
    </row>
    <row r="802" spans="1:38" x14ac:dyDescent="0.25">
      <c r="A802" t="s">
        <v>1895</v>
      </c>
      <c r="B802" t="s">
        <v>1895</v>
      </c>
      <c r="C802" s="1">
        <v>662</v>
      </c>
      <c r="D802" s="1" t="s">
        <v>1894</v>
      </c>
      <c r="E802">
        <v>6</v>
      </c>
      <c r="F802">
        <v>0.7</v>
      </c>
      <c r="G802">
        <v>16</v>
      </c>
      <c r="H802" t="s">
        <v>57</v>
      </c>
      <c r="I802" t="s">
        <v>66</v>
      </c>
      <c r="J802" t="s">
        <v>354</v>
      </c>
      <c r="L802" t="s">
        <v>1893</v>
      </c>
      <c r="M802" t="s">
        <v>60</v>
      </c>
      <c r="N802">
        <v>50</v>
      </c>
      <c r="O802">
        <v>50</v>
      </c>
      <c r="P802">
        <v>0</v>
      </c>
      <c r="Q802">
        <v>15</v>
      </c>
      <c r="R802" t="s">
        <v>66</v>
      </c>
      <c r="T802">
        <v>120</v>
      </c>
      <c r="U802">
        <v>134</v>
      </c>
      <c r="V802">
        <v>1059860</v>
      </c>
      <c r="W802" t="s">
        <v>46</v>
      </c>
      <c r="Z802">
        <v>62</v>
      </c>
      <c r="AA802">
        <v>73</v>
      </c>
      <c r="AB802">
        <v>55</v>
      </c>
      <c r="AC802">
        <v>56</v>
      </c>
      <c r="AD802">
        <v>52</v>
      </c>
      <c r="AE802">
        <v>84</v>
      </c>
      <c r="AF802">
        <v>382</v>
      </c>
      <c r="AG802">
        <v>0</v>
      </c>
      <c r="AH802">
        <v>0</v>
      </c>
      <c r="AI802">
        <v>0</v>
      </c>
      <c r="AJ802">
        <v>0</v>
      </c>
      <c r="AK802">
        <v>0</v>
      </c>
      <c r="AL802">
        <v>2</v>
      </c>
    </row>
    <row r="803" spans="1:38" x14ac:dyDescent="0.25">
      <c r="A803" t="s">
        <v>1897</v>
      </c>
      <c r="B803" t="s">
        <v>1897</v>
      </c>
      <c r="C803" s="1">
        <v>663</v>
      </c>
      <c r="D803" s="1" t="s">
        <v>1896</v>
      </c>
      <c r="E803">
        <v>6</v>
      </c>
      <c r="F803">
        <v>1.2</v>
      </c>
      <c r="G803">
        <v>24.5</v>
      </c>
      <c r="H803" t="s">
        <v>57</v>
      </c>
      <c r="I803" t="s">
        <v>66</v>
      </c>
      <c r="J803" t="s">
        <v>354</v>
      </c>
      <c r="L803" t="s">
        <v>1893</v>
      </c>
      <c r="M803" t="s">
        <v>60</v>
      </c>
      <c r="N803">
        <v>50</v>
      </c>
      <c r="O803">
        <v>50</v>
      </c>
      <c r="P803">
        <v>0</v>
      </c>
      <c r="Q803">
        <v>15</v>
      </c>
      <c r="R803" t="s">
        <v>66</v>
      </c>
      <c r="T803">
        <v>45</v>
      </c>
      <c r="U803">
        <v>175</v>
      </c>
      <c r="V803">
        <v>1059860</v>
      </c>
      <c r="W803" t="s">
        <v>46</v>
      </c>
      <c r="Z803">
        <v>78</v>
      </c>
      <c r="AA803">
        <v>81</v>
      </c>
      <c r="AB803">
        <v>71</v>
      </c>
      <c r="AC803">
        <v>74</v>
      </c>
      <c r="AD803">
        <v>69</v>
      </c>
      <c r="AE803">
        <v>126</v>
      </c>
      <c r="AF803">
        <v>499</v>
      </c>
      <c r="AG803">
        <v>0</v>
      </c>
      <c r="AH803">
        <v>0</v>
      </c>
      <c r="AI803">
        <v>0</v>
      </c>
      <c r="AJ803">
        <v>0</v>
      </c>
      <c r="AK803">
        <v>0</v>
      </c>
      <c r="AL803">
        <v>3</v>
      </c>
    </row>
    <row r="804" spans="1:38" x14ac:dyDescent="0.25">
      <c r="A804" t="s">
        <v>1899</v>
      </c>
      <c r="B804" t="s">
        <v>1899</v>
      </c>
      <c r="C804" s="1">
        <v>664</v>
      </c>
      <c r="D804" s="1" t="s">
        <v>1898</v>
      </c>
      <c r="E804">
        <v>6</v>
      </c>
      <c r="F804">
        <v>0.3</v>
      </c>
      <c r="G804">
        <v>2.5</v>
      </c>
      <c r="H804" t="s">
        <v>90</v>
      </c>
      <c r="J804" t="s">
        <v>91</v>
      </c>
      <c r="K804" t="s">
        <v>98</v>
      </c>
      <c r="L804" t="s">
        <v>198</v>
      </c>
      <c r="M804" t="s">
        <v>70</v>
      </c>
      <c r="N804">
        <v>50</v>
      </c>
      <c r="O804">
        <v>50</v>
      </c>
      <c r="P804">
        <v>0</v>
      </c>
      <c r="Q804">
        <v>15</v>
      </c>
      <c r="R804" t="s">
        <v>90</v>
      </c>
      <c r="T804">
        <v>255</v>
      </c>
      <c r="U804">
        <v>40</v>
      </c>
      <c r="V804">
        <v>1000000</v>
      </c>
      <c r="W804" t="s">
        <v>46</v>
      </c>
      <c r="Z804">
        <v>38</v>
      </c>
      <c r="AA804">
        <v>35</v>
      </c>
      <c r="AB804">
        <v>40</v>
      </c>
      <c r="AC804">
        <v>27</v>
      </c>
      <c r="AD804">
        <v>25</v>
      </c>
      <c r="AE804">
        <v>35</v>
      </c>
      <c r="AF804">
        <v>200</v>
      </c>
      <c r="AG804">
        <v>0</v>
      </c>
      <c r="AH804">
        <v>0</v>
      </c>
      <c r="AI804">
        <v>1</v>
      </c>
      <c r="AJ804">
        <v>0</v>
      </c>
      <c r="AK804">
        <v>0</v>
      </c>
      <c r="AL804">
        <v>0</v>
      </c>
    </row>
    <row r="805" spans="1:38" x14ac:dyDescent="0.25">
      <c r="A805" t="s">
        <v>1901</v>
      </c>
      <c r="B805" t="s">
        <v>1901</v>
      </c>
      <c r="C805" s="1">
        <v>665</v>
      </c>
      <c r="D805" s="1" t="s">
        <v>1900</v>
      </c>
      <c r="E805">
        <v>6</v>
      </c>
      <c r="F805">
        <v>0.3</v>
      </c>
      <c r="G805">
        <v>8.4</v>
      </c>
      <c r="H805" t="s">
        <v>90</v>
      </c>
      <c r="J805" t="s">
        <v>95</v>
      </c>
      <c r="L805" t="s">
        <v>198</v>
      </c>
      <c r="M805" t="s">
        <v>70</v>
      </c>
      <c r="N805">
        <v>50</v>
      </c>
      <c r="O805">
        <v>50</v>
      </c>
      <c r="P805">
        <v>0</v>
      </c>
      <c r="Q805">
        <v>15</v>
      </c>
      <c r="R805" t="s">
        <v>90</v>
      </c>
      <c r="T805">
        <v>120</v>
      </c>
      <c r="U805">
        <v>75</v>
      </c>
      <c r="V805">
        <v>1000000</v>
      </c>
      <c r="W805" t="s">
        <v>46</v>
      </c>
      <c r="Z805">
        <v>45</v>
      </c>
      <c r="AA805">
        <v>22</v>
      </c>
      <c r="AB805">
        <v>60</v>
      </c>
      <c r="AC805">
        <v>27</v>
      </c>
      <c r="AD805">
        <v>30</v>
      </c>
      <c r="AE805">
        <v>29</v>
      </c>
      <c r="AF805">
        <v>213</v>
      </c>
      <c r="AG805">
        <v>0</v>
      </c>
      <c r="AH805">
        <v>0</v>
      </c>
      <c r="AI805">
        <v>2</v>
      </c>
      <c r="AJ805">
        <v>0</v>
      </c>
      <c r="AK805">
        <v>0</v>
      </c>
      <c r="AL805">
        <v>0</v>
      </c>
    </row>
    <row r="806" spans="1:38" x14ac:dyDescent="0.25">
      <c r="A806" t="s">
        <v>1903</v>
      </c>
      <c r="B806" t="s">
        <v>1903</v>
      </c>
      <c r="C806" s="1">
        <v>666</v>
      </c>
      <c r="D806" s="1" t="s">
        <v>1902</v>
      </c>
      <c r="E806">
        <v>6</v>
      </c>
      <c r="F806">
        <v>1.2</v>
      </c>
      <c r="G806">
        <v>17</v>
      </c>
      <c r="H806" t="s">
        <v>90</v>
      </c>
      <c r="I806" t="s">
        <v>66</v>
      </c>
      <c r="J806" t="s">
        <v>91</v>
      </c>
      <c r="K806" t="s">
        <v>98</v>
      </c>
      <c r="L806" t="s">
        <v>198</v>
      </c>
      <c r="M806" t="s">
        <v>100</v>
      </c>
      <c r="N806">
        <v>50</v>
      </c>
      <c r="O806">
        <v>50</v>
      </c>
      <c r="P806">
        <v>0</v>
      </c>
      <c r="Q806">
        <v>15</v>
      </c>
      <c r="R806" t="s">
        <v>90</v>
      </c>
      <c r="T806">
        <v>45</v>
      </c>
      <c r="U806">
        <v>206</v>
      </c>
      <c r="V806">
        <v>1000000</v>
      </c>
      <c r="W806" t="s">
        <v>46</v>
      </c>
      <c r="Z806">
        <v>80</v>
      </c>
      <c r="AA806">
        <v>52</v>
      </c>
      <c r="AB806">
        <v>50</v>
      </c>
      <c r="AC806">
        <v>90</v>
      </c>
      <c r="AD806">
        <v>50</v>
      </c>
      <c r="AE806">
        <v>89</v>
      </c>
      <c r="AF806">
        <v>411</v>
      </c>
      <c r="AG806">
        <v>1</v>
      </c>
      <c r="AH806">
        <v>0</v>
      </c>
      <c r="AI806">
        <v>0</v>
      </c>
      <c r="AJ806">
        <v>1</v>
      </c>
      <c r="AK806">
        <v>0</v>
      </c>
      <c r="AL806">
        <v>1</v>
      </c>
    </row>
    <row r="807" spans="1:38" x14ac:dyDescent="0.25">
      <c r="A807" t="s">
        <v>1905</v>
      </c>
      <c r="B807" t="s">
        <v>1905</v>
      </c>
      <c r="C807" s="1">
        <v>667</v>
      </c>
      <c r="D807" s="1" t="s">
        <v>1904</v>
      </c>
      <c r="E807">
        <v>6</v>
      </c>
      <c r="F807">
        <v>0.6</v>
      </c>
      <c r="G807">
        <v>13.5</v>
      </c>
      <c r="H807" t="s">
        <v>57</v>
      </c>
      <c r="I807" t="s">
        <v>116</v>
      </c>
      <c r="J807" t="s">
        <v>181</v>
      </c>
      <c r="K807" t="s">
        <v>149</v>
      </c>
      <c r="L807" t="s">
        <v>533</v>
      </c>
      <c r="M807" t="s">
        <v>103</v>
      </c>
      <c r="N807">
        <v>12.5</v>
      </c>
      <c r="O807">
        <v>87.5</v>
      </c>
      <c r="P807">
        <v>0</v>
      </c>
      <c r="Q807">
        <v>20</v>
      </c>
      <c r="R807" t="s">
        <v>132</v>
      </c>
      <c r="T807">
        <v>220</v>
      </c>
      <c r="U807">
        <v>74</v>
      </c>
      <c r="V807">
        <v>1059860</v>
      </c>
      <c r="W807" t="s">
        <v>46</v>
      </c>
      <c r="Z807">
        <v>62</v>
      </c>
      <c r="AA807">
        <v>50</v>
      </c>
      <c r="AB807">
        <v>58</v>
      </c>
      <c r="AC807">
        <v>73</v>
      </c>
      <c r="AD807">
        <v>54</v>
      </c>
      <c r="AE807">
        <v>72</v>
      </c>
      <c r="AF807">
        <v>369</v>
      </c>
      <c r="AG807">
        <v>0</v>
      </c>
      <c r="AH807">
        <v>0</v>
      </c>
      <c r="AI807">
        <v>0</v>
      </c>
      <c r="AJ807">
        <v>1</v>
      </c>
      <c r="AK807">
        <v>0</v>
      </c>
      <c r="AL807">
        <v>0</v>
      </c>
    </row>
    <row r="808" spans="1:38" x14ac:dyDescent="0.25">
      <c r="A808" t="s">
        <v>1907</v>
      </c>
      <c r="B808" t="s">
        <v>1907</v>
      </c>
      <c r="C808" s="1">
        <v>668</v>
      </c>
      <c r="D808" s="1" t="s">
        <v>1906</v>
      </c>
      <c r="E808">
        <v>6</v>
      </c>
      <c r="F808">
        <v>1.5</v>
      </c>
      <c r="G808">
        <v>81.5</v>
      </c>
      <c r="H808" t="s">
        <v>57</v>
      </c>
      <c r="I808" t="s">
        <v>116</v>
      </c>
      <c r="J808" t="s">
        <v>181</v>
      </c>
      <c r="K808" t="s">
        <v>149</v>
      </c>
      <c r="L808" t="s">
        <v>533</v>
      </c>
      <c r="M808" t="s">
        <v>103</v>
      </c>
      <c r="N808">
        <v>12.5</v>
      </c>
      <c r="O808">
        <v>87.5</v>
      </c>
      <c r="P808">
        <v>0</v>
      </c>
      <c r="Q808">
        <v>20</v>
      </c>
      <c r="R808" t="s">
        <v>132</v>
      </c>
      <c r="T808">
        <v>65</v>
      </c>
      <c r="U808">
        <v>177</v>
      </c>
      <c r="V808">
        <v>1059860</v>
      </c>
      <c r="W808" t="s">
        <v>46</v>
      </c>
      <c r="Z808">
        <v>86</v>
      </c>
      <c r="AA808">
        <v>68</v>
      </c>
      <c r="AB808">
        <v>72</v>
      </c>
      <c r="AC808">
        <v>109</v>
      </c>
      <c r="AD808">
        <v>66</v>
      </c>
      <c r="AE808">
        <v>106</v>
      </c>
      <c r="AF808">
        <v>507</v>
      </c>
      <c r="AG808">
        <v>0</v>
      </c>
      <c r="AH808">
        <v>0</v>
      </c>
      <c r="AI808">
        <v>0</v>
      </c>
      <c r="AJ808">
        <v>2</v>
      </c>
      <c r="AK808">
        <v>0</v>
      </c>
      <c r="AL808">
        <v>0</v>
      </c>
    </row>
    <row r="809" spans="1:38" x14ac:dyDescent="0.25">
      <c r="A809" t="s">
        <v>1909</v>
      </c>
      <c r="B809" t="s">
        <v>1909</v>
      </c>
      <c r="C809" s="1">
        <v>669</v>
      </c>
      <c r="D809" s="1" t="s">
        <v>1908</v>
      </c>
      <c r="E809">
        <v>6</v>
      </c>
      <c r="F809">
        <v>0.1</v>
      </c>
      <c r="G809">
        <v>0.1</v>
      </c>
      <c r="H809" t="s">
        <v>157</v>
      </c>
      <c r="J809" t="s">
        <v>1910</v>
      </c>
      <c r="L809" t="s">
        <v>1911</v>
      </c>
      <c r="M809" t="s">
        <v>100</v>
      </c>
      <c r="N809">
        <v>0</v>
      </c>
      <c r="O809">
        <v>100</v>
      </c>
      <c r="P809">
        <v>0</v>
      </c>
      <c r="Q809">
        <v>20</v>
      </c>
      <c r="R809" t="s">
        <v>157</v>
      </c>
      <c r="T809">
        <v>225</v>
      </c>
      <c r="U809">
        <v>61</v>
      </c>
      <c r="V809">
        <v>1000000</v>
      </c>
      <c r="W809" t="s">
        <v>46</v>
      </c>
      <c r="Z809">
        <v>44</v>
      </c>
      <c r="AA809">
        <v>38</v>
      </c>
      <c r="AB809">
        <v>39</v>
      </c>
      <c r="AC809">
        <v>61</v>
      </c>
      <c r="AD809">
        <v>79</v>
      </c>
      <c r="AE809">
        <v>42</v>
      </c>
      <c r="AF809">
        <v>303</v>
      </c>
      <c r="AG809">
        <v>0</v>
      </c>
      <c r="AH809">
        <v>0</v>
      </c>
      <c r="AI809">
        <v>0</v>
      </c>
      <c r="AJ809">
        <v>0</v>
      </c>
      <c r="AK809">
        <v>1</v>
      </c>
      <c r="AL809">
        <v>0</v>
      </c>
    </row>
    <row r="810" spans="1:38" x14ac:dyDescent="0.25">
      <c r="A810" t="s">
        <v>1913</v>
      </c>
      <c r="B810" t="s">
        <v>1913</v>
      </c>
      <c r="C810" s="1">
        <v>670</v>
      </c>
      <c r="D810" s="1" t="s">
        <v>1912</v>
      </c>
      <c r="E810">
        <v>6</v>
      </c>
      <c r="F810">
        <v>0.2</v>
      </c>
      <c r="G810">
        <v>0.9</v>
      </c>
      <c r="H810" t="s">
        <v>157</v>
      </c>
      <c r="J810" t="s">
        <v>1910</v>
      </c>
      <c r="L810" t="s">
        <v>1911</v>
      </c>
      <c r="M810" t="s">
        <v>100</v>
      </c>
      <c r="N810">
        <v>0</v>
      </c>
      <c r="O810">
        <v>100</v>
      </c>
      <c r="P810">
        <v>0</v>
      </c>
      <c r="Q810">
        <v>20</v>
      </c>
      <c r="R810" t="s">
        <v>157</v>
      </c>
      <c r="T810">
        <v>120</v>
      </c>
      <c r="U810">
        <v>130</v>
      </c>
      <c r="V810">
        <v>1000000</v>
      </c>
      <c r="W810" t="s">
        <v>46</v>
      </c>
      <c r="Z810">
        <v>54</v>
      </c>
      <c r="AA810">
        <v>45</v>
      </c>
      <c r="AB810">
        <v>47</v>
      </c>
      <c r="AC810">
        <v>75</v>
      </c>
      <c r="AD810">
        <v>98</v>
      </c>
      <c r="AE810">
        <v>52</v>
      </c>
      <c r="AF810">
        <v>371</v>
      </c>
      <c r="AG810">
        <v>0</v>
      </c>
      <c r="AH810">
        <v>0</v>
      </c>
      <c r="AI810">
        <v>0</v>
      </c>
      <c r="AJ810">
        <v>0</v>
      </c>
      <c r="AK810">
        <v>2</v>
      </c>
      <c r="AL810">
        <v>0</v>
      </c>
    </row>
    <row r="811" spans="1:38" x14ac:dyDescent="0.25">
      <c r="A811" t="s">
        <v>1915</v>
      </c>
      <c r="B811" t="s">
        <v>1915</v>
      </c>
      <c r="C811" s="1">
        <v>671</v>
      </c>
      <c r="D811" s="1" t="s">
        <v>1914</v>
      </c>
      <c r="E811">
        <v>6</v>
      </c>
      <c r="F811">
        <v>1.1000000000000001</v>
      </c>
      <c r="G811">
        <v>10</v>
      </c>
      <c r="H811" t="s">
        <v>157</v>
      </c>
      <c r="J811" t="s">
        <v>1910</v>
      </c>
      <c r="L811" t="s">
        <v>1911</v>
      </c>
      <c r="M811" t="s">
        <v>100</v>
      </c>
      <c r="N811">
        <v>0</v>
      </c>
      <c r="O811">
        <v>100</v>
      </c>
      <c r="P811">
        <v>0</v>
      </c>
      <c r="Q811">
        <v>20</v>
      </c>
      <c r="R811" t="s">
        <v>157</v>
      </c>
      <c r="T811">
        <v>45</v>
      </c>
      <c r="U811">
        <v>276</v>
      </c>
      <c r="V811">
        <v>1000000</v>
      </c>
      <c r="W811" t="s">
        <v>46</v>
      </c>
      <c r="Z811">
        <v>78</v>
      </c>
      <c r="AA811">
        <v>65</v>
      </c>
      <c r="AB811">
        <v>68</v>
      </c>
      <c r="AC811">
        <v>112</v>
      </c>
      <c r="AD811">
        <v>154</v>
      </c>
      <c r="AE811">
        <v>75</v>
      </c>
      <c r="AF811">
        <v>552</v>
      </c>
      <c r="AG811">
        <v>0</v>
      </c>
      <c r="AH811">
        <v>0</v>
      </c>
      <c r="AI811">
        <v>0</v>
      </c>
      <c r="AJ811">
        <v>0</v>
      </c>
      <c r="AK811">
        <v>3</v>
      </c>
      <c r="AL811">
        <v>0</v>
      </c>
    </row>
    <row r="812" spans="1:38" x14ac:dyDescent="0.25">
      <c r="A812" t="s">
        <v>1917</v>
      </c>
      <c r="B812" t="s">
        <v>1917</v>
      </c>
      <c r="C812" s="1">
        <v>672</v>
      </c>
      <c r="D812" s="1" t="s">
        <v>1916</v>
      </c>
      <c r="E812">
        <v>6</v>
      </c>
      <c r="F812">
        <v>0.9</v>
      </c>
      <c r="G812">
        <v>31</v>
      </c>
      <c r="H812" t="s">
        <v>40</v>
      </c>
      <c r="J812" t="s">
        <v>691</v>
      </c>
      <c r="L812" t="s">
        <v>1918</v>
      </c>
      <c r="M812" t="s">
        <v>103</v>
      </c>
      <c r="N812">
        <v>50</v>
      </c>
      <c r="O812">
        <v>50</v>
      </c>
      <c r="P812">
        <v>0</v>
      </c>
      <c r="Q812">
        <v>20</v>
      </c>
      <c r="R812" t="s">
        <v>132</v>
      </c>
      <c r="T812">
        <v>200</v>
      </c>
      <c r="U812">
        <v>70</v>
      </c>
      <c r="V812">
        <v>1000000</v>
      </c>
      <c r="W812" t="s">
        <v>46</v>
      </c>
      <c r="Z812">
        <v>66</v>
      </c>
      <c r="AA812">
        <v>65</v>
      </c>
      <c r="AB812">
        <v>48</v>
      </c>
      <c r="AC812">
        <v>62</v>
      </c>
      <c r="AD812">
        <v>57</v>
      </c>
      <c r="AE812">
        <v>52</v>
      </c>
      <c r="AF812">
        <v>350</v>
      </c>
      <c r="AG812">
        <v>1</v>
      </c>
      <c r="AH812">
        <v>0</v>
      </c>
      <c r="AI812">
        <v>0</v>
      </c>
      <c r="AJ812">
        <v>0</v>
      </c>
      <c r="AK812">
        <v>0</v>
      </c>
      <c r="AL812">
        <v>0</v>
      </c>
    </row>
    <row r="813" spans="1:38" x14ac:dyDescent="0.25">
      <c r="A813" t="s">
        <v>1920</v>
      </c>
      <c r="B813" t="s">
        <v>1920</v>
      </c>
      <c r="C813" s="1">
        <v>673</v>
      </c>
      <c r="D813" s="1" t="s">
        <v>1919</v>
      </c>
      <c r="E813">
        <v>6</v>
      </c>
      <c r="F813">
        <v>1.7</v>
      </c>
      <c r="G813">
        <v>91</v>
      </c>
      <c r="H813" t="s">
        <v>40</v>
      </c>
      <c r="J813" t="s">
        <v>691</v>
      </c>
      <c r="L813" t="s">
        <v>1918</v>
      </c>
      <c r="M813" t="s">
        <v>103</v>
      </c>
      <c r="N813">
        <v>50</v>
      </c>
      <c r="O813">
        <v>50</v>
      </c>
      <c r="P813">
        <v>0</v>
      </c>
      <c r="Q813">
        <v>20</v>
      </c>
      <c r="R813" t="s">
        <v>132</v>
      </c>
      <c r="T813">
        <v>45</v>
      </c>
      <c r="U813">
        <v>186</v>
      </c>
      <c r="V813">
        <v>1000000</v>
      </c>
      <c r="W813" t="s">
        <v>46</v>
      </c>
      <c r="Z813">
        <v>123</v>
      </c>
      <c r="AA813">
        <v>100</v>
      </c>
      <c r="AB813">
        <v>62</v>
      </c>
      <c r="AC813">
        <v>97</v>
      </c>
      <c r="AD813">
        <v>81</v>
      </c>
      <c r="AE813">
        <v>68</v>
      </c>
      <c r="AF813">
        <v>531</v>
      </c>
      <c r="AG813">
        <v>2</v>
      </c>
      <c r="AH813">
        <v>0</v>
      </c>
      <c r="AI813">
        <v>0</v>
      </c>
      <c r="AJ813">
        <v>0</v>
      </c>
      <c r="AK813">
        <v>0</v>
      </c>
      <c r="AL813">
        <v>0</v>
      </c>
    </row>
    <row r="814" spans="1:38" x14ac:dyDescent="0.25">
      <c r="A814" t="s">
        <v>1922</v>
      </c>
      <c r="B814" t="s">
        <v>1922</v>
      </c>
      <c r="C814" s="1">
        <v>674</v>
      </c>
      <c r="D814" s="1" t="s">
        <v>1921</v>
      </c>
      <c r="E814">
        <v>6</v>
      </c>
      <c r="F814">
        <v>0.6</v>
      </c>
      <c r="G814">
        <v>8</v>
      </c>
      <c r="H814" t="s">
        <v>279</v>
      </c>
      <c r="J814" t="s">
        <v>473</v>
      </c>
      <c r="K814" t="s">
        <v>532</v>
      </c>
      <c r="L814" t="s">
        <v>387</v>
      </c>
      <c r="M814" t="s">
        <v>100</v>
      </c>
      <c r="N814">
        <v>50</v>
      </c>
      <c r="O814">
        <v>50</v>
      </c>
      <c r="P814">
        <v>0</v>
      </c>
      <c r="Q814">
        <v>25</v>
      </c>
      <c r="R814" t="s">
        <v>132</v>
      </c>
      <c r="S814" t="s">
        <v>307</v>
      </c>
      <c r="T814">
        <v>220</v>
      </c>
      <c r="U814">
        <v>70</v>
      </c>
      <c r="V814">
        <v>1000000</v>
      </c>
      <c r="W814" t="s">
        <v>46</v>
      </c>
      <c r="Z814">
        <v>67</v>
      </c>
      <c r="AA814">
        <v>82</v>
      </c>
      <c r="AB814">
        <v>62</v>
      </c>
      <c r="AC814">
        <v>46</v>
      </c>
      <c r="AD814">
        <v>48</v>
      </c>
      <c r="AE814">
        <v>43</v>
      </c>
      <c r="AF814">
        <v>348</v>
      </c>
      <c r="AG814">
        <v>0</v>
      </c>
      <c r="AH814">
        <v>1</v>
      </c>
      <c r="AI814">
        <v>0</v>
      </c>
      <c r="AJ814">
        <v>0</v>
      </c>
      <c r="AK814">
        <v>0</v>
      </c>
      <c r="AL814">
        <v>0</v>
      </c>
    </row>
    <row r="815" spans="1:38" x14ac:dyDescent="0.25">
      <c r="A815" t="s">
        <v>1924</v>
      </c>
      <c r="B815" t="s">
        <v>1924</v>
      </c>
      <c r="C815" s="1">
        <v>675</v>
      </c>
      <c r="D815" s="1" t="s">
        <v>1923</v>
      </c>
      <c r="E815">
        <v>6</v>
      </c>
      <c r="F815">
        <v>2.1</v>
      </c>
      <c r="G815">
        <v>136</v>
      </c>
      <c r="H815" t="s">
        <v>279</v>
      </c>
      <c r="I815" t="s">
        <v>135</v>
      </c>
      <c r="J815" t="s">
        <v>473</v>
      </c>
      <c r="K815" t="s">
        <v>532</v>
      </c>
      <c r="L815" t="s">
        <v>387</v>
      </c>
      <c r="M815" t="s">
        <v>100</v>
      </c>
      <c r="N815">
        <v>50</v>
      </c>
      <c r="O815">
        <v>50</v>
      </c>
      <c r="P815">
        <v>0</v>
      </c>
      <c r="Q815">
        <v>25</v>
      </c>
      <c r="R815" t="s">
        <v>132</v>
      </c>
      <c r="S815" t="s">
        <v>307</v>
      </c>
      <c r="T815">
        <v>65</v>
      </c>
      <c r="U815">
        <v>173</v>
      </c>
      <c r="V815">
        <v>1000000</v>
      </c>
      <c r="W815" t="s">
        <v>46</v>
      </c>
      <c r="Z815">
        <v>95</v>
      </c>
      <c r="AA815">
        <v>124</v>
      </c>
      <c r="AB815">
        <v>78</v>
      </c>
      <c r="AC815">
        <v>69</v>
      </c>
      <c r="AD815">
        <v>71</v>
      </c>
      <c r="AE815">
        <v>58</v>
      </c>
      <c r="AF815">
        <v>495</v>
      </c>
      <c r="AG815">
        <v>0</v>
      </c>
      <c r="AH815">
        <v>2</v>
      </c>
      <c r="AI815">
        <v>0</v>
      </c>
      <c r="AJ815">
        <v>0</v>
      </c>
      <c r="AK815">
        <v>0</v>
      </c>
      <c r="AL815">
        <v>0</v>
      </c>
    </row>
    <row r="816" spans="1:38" x14ac:dyDescent="0.25">
      <c r="A816" t="s">
        <v>1926</v>
      </c>
      <c r="B816" t="s">
        <v>1926</v>
      </c>
      <c r="C816" s="1">
        <v>676</v>
      </c>
      <c r="D816" s="1" t="s">
        <v>1925</v>
      </c>
      <c r="E816">
        <v>6</v>
      </c>
      <c r="F816">
        <v>1.2</v>
      </c>
      <c r="G816">
        <v>28</v>
      </c>
      <c r="H816" t="s">
        <v>116</v>
      </c>
      <c r="J816" t="s">
        <v>270</v>
      </c>
      <c r="M816" t="s">
        <v>100</v>
      </c>
      <c r="N816">
        <v>50</v>
      </c>
      <c r="O816">
        <v>50</v>
      </c>
      <c r="P816">
        <v>0</v>
      </c>
      <c r="Q816">
        <v>20</v>
      </c>
      <c r="R816" t="s">
        <v>132</v>
      </c>
      <c r="T816">
        <v>160</v>
      </c>
      <c r="U816">
        <v>165</v>
      </c>
      <c r="V816">
        <v>1000000</v>
      </c>
      <c r="W816" t="s">
        <v>46</v>
      </c>
      <c r="Z816">
        <v>75</v>
      </c>
      <c r="AA816">
        <v>80</v>
      </c>
      <c r="AB816">
        <v>60</v>
      </c>
      <c r="AC816">
        <v>65</v>
      </c>
      <c r="AD816">
        <v>90</v>
      </c>
      <c r="AE816">
        <v>102</v>
      </c>
      <c r="AF816">
        <v>472</v>
      </c>
      <c r="AG816">
        <v>0</v>
      </c>
      <c r="AH816">
        <v>0</v>
      </c>
      <c r="AI816">
        <v>0</v>
      </c>
      <c r="AJ816">
        <v>0</v>
      </c>
      <c r="AK816">
        <v>0</v>
      </c>
      <c r="AL816">
        <v>1</v>
      </c>
    </row>
    <row r="817" spans="1:38" x14ac:dyDescent="0.25">
      <c r="A817" t="s">
        <v>1928</v>
      </c>
      <c r="B817" t="s">
        <v>1928</v>
      </c>
      <c r="C817" s="1">
        <v>677</v>
      </c>
      <c r="D817" s="1" t="s">
        <v>1927</v>
      </c>
      <c r="E817">
        <v>6</v>
      </c>
      <c r="F817">
        <v>0.3</v>
      </c>
      <c r="G817">
        <v>3.5</v>
      </c>
      <c r="H817" t="s">
        <v>162</v>
      </c>
      <c r="J817" t="s">
        <v>117</v>
      </c>
      <c r="K817" t="s">
        <v>222</v>
      </c>
      <c r="L817" t="s">
        <v>366</v>
      </c>
      <c r="M817" t="s">
        <v>318</v>
      </c>
      <c r="N817">
        <v>50</v>
      </c>
      <c r="O817">
        <v>50</v>
      </c>
      <c r="P817">
        <v>0</v>
      </c>
      <c r="Q817">
        <v>20</v>
      </c>
      <c r="R817" t="s">
        <v>132</v>
      </c>
      <c r="T817">
        <v>190</v>
      </c>
      <c r="U817">
        <v>71</v>
      </c>
      <c r="V817">
        <v>1000000</v>
      </c>
      <c r="W817" t="s">
        <v>46</v>
      </c>
      <c r="Z817">
        <v>62</v>
      </c>
      <c r="AA817">
        <v>48</v>
      </c>
      <c r="AB817">
        <v>54</v>
      </c>
      <c r="AC817">
        <v>63</v>
      </c>
      <c r="AD817">
        <v>60</v>
      </c>
      <c r="AE817">
        <v>68</v>
      </c>
      <c r="AF817">
        <v>355</v>
      </c>
      <c r="AG817">
        <v>0</v>
      </c>
      <c r="AH817">
        <v>0</v>
      </c>
      <c r="AI817">
        <v>0</v>
      </c>
      <c r="AJ817">
        <v>0</v>
      </c>
      <c r="AK817">
        <v>0</v>
      </c>
      <c r="AL817">
        <v>1</v>
      </c>
    </row>
    <row r="818" spans="1:38" x14ac:dyDescent="0.25">
      <c r="A818" t="s">
        <v>1930</v>
      </c>
      <c r="B818" t="s">
        <v>1931</v>
      </c>
      <c r="C818" s="1">
        <v>678</v>
      </c>
      <c r="D818" s="1" t="s">
        <v>1929</v>
      </c>
      <c r="E818">
        <v>6</v>
      </c>
      <c r="F818">
        <v>0.6</v>
      </c>
      <c r="G818">
        <v>8.5</v>
      </c>
      <c r="H818" t="s">
        <v>162</v>
      </c>
      <c r="J818" t="s">
        <v>117</v>
      </c>
      <c r="K818" t="s">
        <v>222</v>
      </c>
      <c r="L818" t="s">
        <v>726</v>
      </c>
      <c r="M818" t="s">
        <v>79</v>
      </c>
      <c r="N818">
        <v>100</v>
      </c>
      <c r="O818">
        <v>0</v>
      </c>
      <c r="P818">
        <v>0</v>
      </c>
      <c r="Q818">
        <v>20</v>
      </c>
      <c r="R818" t="s">
        <v>132</v>
      </c>
      <c r="T818">
        <v>75</v>
      </c>
      <c r="U818">
        <v>163</v>
      </c>
      <c r="V818">
        <v>1000000</v>
      </c>
      <c r="W818" t="s">
        <v>46</v>
      </c>
      <c r="Z818">
        <v>74</v>
      </c>
      <c r="AA818">
        <v>48</v>
      </c>
      <c r="AB818">
        <v>76</v>
      </c>
      <c r="AC818">
        <v>83</v>
      </c>
      <c r="AD818">
        <v>81</v>
      </c>
      <c r="AE818">
        <v>104</v>
      </c>
      <c r="AF818">
        <v>466</v>
      </c>
      <c r="AG818">
        <v>0</v>
      </c>
      <c r="AH818">
        <v>0</v>
      </c>
      <c r="AI818">
        <v>0</v>
      </c>
      <c r="AJ818">
        <v>0</v>
      </c>
      <c r="AK818">
        <v>0</v>
      </c>
      <c r="AL818">
        <v>2</v>
      </c>
    </row>
    <row r="819" spans="1:38" x14ac:dyDescent="0.25">
      <c r="A819" t="s">
        <v>1930</v>
      </c>
      <c r="B819" t="s">
        <v>1933</v>
      </c>
      <c r="C819" s="1">
        <v>678</v>
      </c>
      <c r="D819" s="1" t="s">
        <v>1932</v>
      </c>
      <c r="E819">
        <v>6</v>
      </c>
      <c r="F819">
        <v>0.6</v>
      </c>
      <c r="G819">
        <v>8.5</v>
      </c>
      <c r="H819" t="s">
        <v>162</v>
      </c>
      <c r="J819" t="s">
        <v>117</v>
      </c>
      <c r="K819" t="s">
        <v>222</v>
      </c>
      <c r="L819" t="s">
        <v>215</v>
      </c>
      <c r="M819" t="s">
        <v>100</v>
      </c>
      <c r="N819">
        <v>0</v>
      </c>
      <c r="O819">
        <v>100</v>
      </c>
      <c r="P819">
        <v>0</v>
      </c>
      <c r="Q819">
        <v>20</v>
      </c>
      <c r="R819" t="s">
        <v>132</v>
      </c>
      <c r="T819">
        <v>75</v>
      </c>
      <c r="U819">
        <v>163</v>
      </c>
      <c r="V819">
        <v>1000000</v>
      </c>
      <c r="W819" t="s">
        <v>46</v>
      </c>
      <c r="Z819">
        <v>74</v>
      </c>
      <c r="AA819">
        <v>48</v>
      </c>
      <c r="AB819">
        <v>76</v>
      </c>
      <c r="AC819">
        <v>83</v>
      </c>
      <c r="AD819">
        <v>81</v>
      </c>
      <c r="AE819">
        <v>104</v>
      </c>
      <c r="AF819">
        <v>466</v>
      </c>
      <c r="AG819">
        <v>0</v>
      </c>
      <c r="AH819">
        <v>0</v>
      </c>
      <c r="AI819">
        <v>0</v>
      </c>
      <c r="AJ819">
        <v>0</v>
      </c>
      <c r="AK819">
        <v>0</v>
      </c>
      <c r="AL819">
        <v>2</v>
      </c>
    </row>
    <row r="820" spans="1:38" x14ac:dyDescent="0.25">
      <c r="A820" t="s">
        <v>1935</v>
      </c>
      <c r="B820" t="s">
        <v>1935</v>
      </c>
      <c r="C820" s="1">
        <v>679</v>
      </c>
      <c r="D820" s="1" t="s">
        <v>1934</v>
      </c>
      <c r="E820">
        <v>6</v>
      </c>
      <c r="F820">
        <v>0.8</v>
      </c>
      <c r="G820">
        <v>2</v>
      </c>
      <c r="H820" t="s">
        <v>171</v>
      </c>
      <c r="I820" t="s">
        <v>419</v>
      </c>
      <c r="J820" t="s">
        <v>126</v>
      </c>
      <c r="M820" t="s">
        <v>103</v>
      </c>
      <c r="N820">
        <v>50</v>
      </c>
      <c r="O820">
        <v>50</v>
      </c>
      <c r="P820">
        <v>0</v>
      </c>
      <c r="Q820">
        <v>20</v>
      </c>
      <c r="R820" t="s">
        <v>339</v>
      </c>
      <c r="T820">
        <v>180</v>
      </c>
      <c r="U820">
        <v>65</v>
      </c>
      <c r="V820">
        <v>1000000</v>
      </c>
      <c r="W820" t="s">
        <v>46</v>
      </c>
      <c r="Z820">
        <v>45</v>
      </c>
      <c r="AA820">
        <v>80</v>
      </c>
      <c r="AB820">
        <v>100</v>
      </c>
      <c r="AC820">
        <v>35</v>
      </c>
      <c r="AD820">
        <v>37</v>
      </c>
      <c r="AE820">
        <v>28</v>
      </c>
      <c r="AF820">
        <v>325</v>
      </c>
      <c r="AG820">
        <v>0</v>
      </c>
      <c r="AH820">
        <v>0</v>
      </c>
      <c r="AI820">
        <v>1</v>
      </c>
      <c r="AJ820">
        <v>0</v>
      </c>
      <c r="AK820">
        <v>0</v>
      </c>
      <c r="AL820">
        <v>0</v>
      </c>
    </row>
    <row r="821" spans="1:38" x14ac:dyDescent="0.25">
      <c r="A821" t="s">
        <v>1937</v>
      </c>
      <c r="B821" t="s">
        <v>1937</v>
      </c>
      <c r="C821" s="1">
        <v>680</v>
      </c>
      <c r="D821" s="1" t="s">
        <v>1936</v>
      </c>
      <c r="E821">
        <v>6</v>
      </c>
      <c r="F821">
        <v>0.8</v>
      </c>
      <c r="G821">
        <v>4.5</v>
      </c>
      <c r="H821" t="s">
        <v>171</v>
      </c>
      <c r="I821" t="s">
        <v>419</v>
      </c>
      <c r="J821" t="s">
        <v>126</v>
      </c>
      <c r="M821" t="s">
        <v>103</v>
      </c>
      <c r="N821">
        <v>50</v>
      </c>
      <c r="O821">
        <v>50</v>
      </c>
      <c r="P821">
        <v>0</v>
      </c>
      <c r="Q821">
        <v>20</v>
      </c>
      <c r="R821" t="s">
        <v>339</v>
      </c>
      <c r="T821">
        <v>90</v>
      </c>
      <c r="U821">
        <v>157</v>
      </c>
      <c r="V821">
        <v>1000000</v>
      </c>
      <c r="W821" t="s">
        <v>46</v>
      </c>
      <c r="Z821">
        <v>59</v>
      </c>
      <c r="AA821">
        <v>110</v>
      </c>
      <c r="AB821">
        <v>150</v>
      </c>
      <c r="AC821">
        <v>45</v>
      </c>
      <c r="AD821">
        <v>49</v>
      </c>
      <c r="AE821">
        <v>35</v>
      </c>
      <c r="AF821">
        <v>448</v>
      </c>
      <c r="AG821">
        <v>0</v>
      </c>
      <c r="AH821">
        <v>0</v>
      </c>
      <c r="AI821">
        <v>2</v>
      </c>
      <c r="AJ821">
        <v>0</v>
      </c>
      <c r="AK821">
        <v>0</v>
      </c>
      <c r="AL821">
        <v>0</v>
      </c>
    </row>
    <row r="822" spans="1:38" x14ac:dyDescent="0.25">
      <c r="A822" t="s">
        <v>1939</v>
      </c>
      <c r="B822" t="s">
        <v>1940</v>
      </c>
      <c r="C822" s="1">
        <v>681</v>
      </c>
      <c r="D822" s="1" t="s">
        <v>1938</v>
      </c>
      <c r="E822">
        <v>6</v>
      </c>
      <c r="F822">
        <v>1.7</v>
      </c>
      <c r="G822">
        <v>53</v>
      </c>
      <c r="H822" t="s">
        <v>171</v>
      </c>
      <c r="I822" t="s">
        <v>419</v>
      </c>
      <c r="J822" t="s">
        <v>1941</v>
      </c>
      <c r="M822" t="s">
        <v>103</v>
      </c>
      <c r="N822">
        <v>50</v>
      </c>
      <c r="O822">
        <v>50</v>
      </c>
      <c r="P822">
        <v>0</v>
      </c>
      <c r="Q822">
        <v>20</v>
      </c>
      <c r="R822" t="s">
        <v>339</v>
      </c>
      <c r="T822">
        <v>45</v>
      </c>
      <c r="U822">
        <v>250</v>
      </c>
      <c r="V822">
        <v>1000000</v>
      </c>
      <c r="W822" t="s">
        <v>46</v>
      </c>
      <c r="Z822">
        <v>60</v>
      </c>
      <c r="AA822">
        <v>50</v>
      </c>
      <c r="AB822">
        <v>140</v>
      </c>
      <c r="AC822">
        <v>50</v>
      </c>
      <c r="AD822">
        <v>140</v>
      </c>
      <c r="AE822">
        <v>60</v>
      </c>
      <c r="AF822">
        <v>500</v>
      </c>
      <c r="AG822">
        <v>0</v>
      </c>
      <c r="AH822">
        <v>0</v>
      </c>
      <c r="AI822">
        <v>2</v>
      </c>
      <c r="AJ822">
        <v>0</v>
      </c>
      <c r="AK822">
        <v>1</v>
      </c>
      <c r="AL822">
        <v>0</v>
      </c>
    </row>
    <row r="823" spans="1:38" x14ac:dyDescent="0.25">
      <c r="A823" t="s">
        <v>1939</v>
      </c>
      <c r="B823" t="s">
        <v>1943</v>
      </c>
      <c r="C823" s="1">
        <v>681</v>
      </c>
      <c r="D823" s="1" t="s">
        <v>1942</v>
      </c>
      <c r="E823">
        <v>6</v>
      </c>
      <c r="F823">
        <v>1.7</v>
      </c>
      <c r="G823">
        <v>53</v>
      </c>
      <c r="H823" t="s">
        <v>171</v>
      </c>
      <c r="I823" t="s">
        <v>419</v>
      </c>
      <c r="J823" t="s">
        <v>1941</v>
      </c>
      <c r="M823" t="s">
        <v>103</v>
      </c>
      <c r="N823">
        <v>50</v>
      </c>
      <c r="O823">
        <v>50</v>
      </c>
      <c r="P823">
        <v>0</v>
      </c>
      <c r="Q823">
        <v>20</v>
      </c>
      <c r="R823" t="s">
        <v>339</v>
      </c>
      <c r="T823">
        <v>45</v>
      </c>
      <c r="U823">
        <v>250</v>
      </c>
      <c r="V823">
        <v>1000000</v>
      </c>
      <c r="W823" t="s">
        <v>46</v>
      </c>
      <c r="Z823">
        <v>60</v>
      </c>
      <c r="AA823">
        <v>140</v>
      </c>
      <c r="AB823">
        <v>50</v>
      </c>
      <c r="AC823">
        <v>140</v>
      </c>
      <c r="AD823">
        <v>50</v>
      </c>
      <c r="AE823">
        <v>60</v>
      </c>
      <c r="AF823">
        <v>500</v>
      </c>
      <c r="AG823">
        <v>0</v>
      </c>
      <c r="AH823">
        <v>2</v>
      </c>
      <c r="AI823">
        <v>0</v>
      </c>
      <c r="AJ823">
        <v>1</v>
      </c>
      <c r="AK823">
        <v>0</v>
      </c>
      <c r="AL823">
        <v>0</v>
      </c>
    </row>
    <row r="824" spans="1:38" x14ac:dyDescent="0.25">
      <c r="A824" t="s">
        <v>1945</v>
      </c>
      <c r="B824" t="s">
        <v>1945</v>
      </c>
      <c r="C824" s="1">
        <v>682</v>
      </c>
      <c r="D824" s="1" t="s">
        <v>1944</v>
      </c>
      <c r="E824">
        <v>6</v>
      </c>
      <c r="F824">
        <v>0.2</v>
      </c>
      <c r="G824">
        <v>0.5</v>
      </c>
      <c r="H824" t="s">
        <v>157</v>
      </c>
      <c r="J824" t="s">
        <v>492</v>
      </c>
      <c r="L824" t="s">
        <v>1946</v>
      </c>
      <c r="M824" t="s">
        <v>199</v>
      </c>
      <c r="N824">
        <v>50</v>
      </c>
      <c r="O824">
        <v>50</v>
      </c>
      <c r="P824">
        <v>0</v>
      </c>
      <c r="Q824">
        <v>20</v>
      </c>
      <c r="R824" t="s">
        <v>157</v>
      </c>
      <c r="T824">
        <v>200</v>
      </c>
      <c r="U824">
        <v>68</v>
      </c>
      <c r="V824">
        <v>1000000</v>
      </c>
      <c r="W824" t="s">
        <v>46</v>
      </c>
      <c r="Z824">
        <v>78</v>
      </c>
      <c r="AA824">
        <v>52</v>
      </c>
      <c r="AB824">
        <v>60</v>
      </c>
      <c r="AC824">
        <v>63</v>
      </c>
      <c r="AD824">
        <v>65</v>
      </c>
      <c r="AE824">
        <v>23</v>
      </c>
      <c r="AF824">
        <v>341</v>
      </c>
      <c r="AG824">
        <v>1</v>
      </c>
      <c r="AH824">
        <v>0</v>
      </c>
      <c r="AI824">
        <v>0</v>
      </c>
      <c r="AJ824">
        <v>0</v>
      </c>
      <c r="AK824">
        <v>0</v>
      </c>
      <c r="AL824">
        <v>0</v>
      </c>
    </row>
    <row r="825" spans="1:38" x14ac:dyDescent="0.25">
      <c r="A825" t="s">
        <v>1948</v>
      </c>
      <c r="B825" t="s">
        <v>1948</v>
      </c>
      <c r="C825" s="1">
        <v>683</v>
      </c>
      <c r="D825" s="1" t="s">
        <v>1947</v>
      </c>
      <c r="E825">
        <v>6</v>
      </c>
      <c r="F825">
        <v>0.8</v>
      </c>
      <c r="G825">
        <v>15.5</v>
      </c>
      <c r="H825" t="s">
        <v>157</v>
      </c>
      <c r="J825" t="s">
        <v>492</v>
      </c>
      <c r="L825" t="s">
        <v>1946</v>
      </c>
      <c r="M825" t="s">
        <v>199</v>
      </c>
      <c r="N825">
        <v>50</v>
      </c>
      <c r="O825">
        <v>50</v>
      </c>
      <c r="P825">
        <v>0</v>
      </c>
      <c r="Q825">
        <v>20</v>
      </c>
      <c r="R825" t="s">
        <v>157</v>
      </c>
      <c r="T825">
        <v>140</v>
      </c>
      <c r="U825">
        <v>162</v>
      </c>
      <c r="V825">
        <v>1000000</v>
      </c>
      <c r="W825" t="s">
        <v>46</v>
      </c>
      <c r="Z825">
        <v>101</v>
      </c>
      <c r="AA825">
        <v>72</v>
      </c>
      <c r="AB825">
        <v>72</v>
      </c>
      <c r="AC825">
        <v>99</v>
      </c>
      <c r="AD825">
        <v>89</v>
      </c>
      <c r="AE825">
        <v>29</v>
      </c>
      <c r="AF825">
        <v>462</v>
      </c>
      <c r="AG825">
        <v>2</v>
      </c>
      <c r="AH825">
        <v>0</v>
      </c>
      <c r="AI825">
        <v>0</v>
      </c>
      <c r="AJ825">
        <v>0</v>
      </c>
      <c r="AK825">
        <v>0</v>
      </c>
      <c r="AL825">
        <v>0</v>
      </c>
    </row>
    <row r="826" spans="1:38" x14ac:dyDescent="0.25">
      <c r="A826" t="s">
        <v>1950</v>
      </c>
      <c r="B826" t="s">
        <v>1950</v>
      </c>
      <c r="C826" s="1">
        <v>684</v>
      </c>
      <c r="D826" s="1" t="s">
        <v>1949</v>
      </c>
      <c r="E826">
        <v>6</v>
      </c>
      <c r="F826">
        <v>0.4</v>
      </c>
      <c r="G826">
        <v>3.5</v>
      </c>
      <c r="H826" t="s">
        <v>157</v>
      </c>
      <c r="J826" t="s">
        <v>1951</v>
      </c>
      <c r="L826" t="s">
        <v>470</v>
      </c>
      <c r="M826" t="s">
        <v>100</v>
      </c>
      <c r="N826">
        <v>50</v>
      </c>
      <c r="O826">
        <v>50</v>
      </c>
      <c r="P826">
        <v>0</v>
      </c>
      <c r="Q826">
        <v>20</v>
      </c>
      <c r="R826" t="s">
        <v>157</v>
      </c>
      <c r="T826">
        <v>200</v>
      </c>
      <c r="U826">
        <v>68</v>
      </c>
      <c r="V826">
        <v>1000000</v>
      </c>
      <c r="W826" t="s">
        <v>46</v>
      </c>
      <c r="Z826">
        <v>62</v>
      </c>
      <c r="AA826">
        <v>48</v>
      </c>
      <c r="AB826">
        <v>66</v>
      </c>
      <c r="AC826">
        <v>59</v>
      </c>
      <c r="AD826">
        <v>57</v>
      </c>
      <c r="AE826">
        <v>49</v>
      </c>
      <c r="AF826">
        <v>341</v>
      </c>
      <c r="AG826">
        <v>0</v>
      </c>
      <c r="AH826">
        <v>0</v>
      </c>
      <c r="AI826">
        <v>1</v>
      </c>
      <c r="AJ826">
        <v>0</v>
      </c>
      <c r="AK826">
        <v>0</v>
      </c>
      <c r="AL826">
        <v>0</v>
      </c>
    </row>
    <row r="827" spans="1:38" x14ac:dyDescent="0.25">
      <c r="A827" t="s">
        <v>1953</v>
      </c>
      <c r="B827" t="s">
        <v>1953</v>
      </c>
      <c r="C827" s="1">
        <v>685</v>
      </c>
      <c r="D827" s="1" t="s">
        <v>1952</v>
      </c>
      <c r="E827">
        <v>6</v>
      </c>
      <c r="F827">
        <v>0.8</v>
      </c>
      <c r="G827">
        <v>5</v>
      </c>
      <c r="H827" t="s">
        <v>157</v>
      </c>
      <c r="J827" t="s">
        <v>1951</v>
      </c>
      <c r="L827" t="s">
        <v>470</v>
      </c>
      <c r="M827" t="s">
        <v>100</v>
      </c>
      <c r="N827">
        <v>50</v>
      </c>
      <c r="O827">
        <v>50</v>
      </c>
      <c r="P827">
        <v>0</v>
      </c>
      <c r="Q827">
        <v>20</v>
      </c>
      <c r="R827" t="s">
        <v>157</v>
      </c>
      <c r="T827">
        <v>140</v>
      </c>
      <c r="U827">
        <v>168</v>
      </c>
      <c r="V827">
        <v>1000000</v>
      </c>
      <c r="W827" t="s">
        <v>46</v>
      </c>
      <c r="Z827">
        <v>82</v>
      </c>
      <c r="AA827">
        <v>80</v>
      </c>
      <c r="AB827">
        <v>86</v>
      </c>
      <c r="AC827">
        <v>85</v>
      </c>
      <c r="AD827">
        <v>75</v>
      </c>
      <c r="AE827">
        <v>72</v>
      </c>
      <c r="AF827">
        <v>480</v>
      </c>
      <c r="AG827">
        <v>0</v>
      </c>
      <c r="AH827">
        <v>0</v>
      </c>
      <c r="AI827">
        <v>2</v>
      </c>
      <c r="AJ827">
        <v>0</v>
      </c>
      <c r="AK827">
        <v>0</v>
      </c>
      <c r="AL827">
        <v>0</v>
      </c>
    </row>
    <row r="828" spans="1:38" x14ac:dyDescent="0.25">
      <c r="A828" t="s">
        <v>1955</v>
      </c>
      <c r="B828" t="s">
        <v>1955</v>
      </c>
      <c r="C828" s="1">
        <v>686</v>
      </c>
      <c r="D828" s="1" t="s">
        <v>1954</v>
      </c>
      <c r="E828">
        <v>6</v>
      </c>
      <c r="F828">
        <v>0.4</v>
      </c>
      <c r="G828">
        <v>3.5</v>
      </c>
      <c r="H828" t="s">
        <v>135</v>
      </c>
      <c r="I828" t="s">
        <v>162</v>
      </c>
      <c r="J828" t="s">
        <v>768</v>
      </c>
      <c r="K828" t="s">
        <v>801</v>
      </c>
      <c r="L828" t="s">
        <v>222</v>
      </c>
      <c r="M828" t="s">
        <v>79</v>
      </c>
      <c r="N828">
        <v>50</v>
      </c>
      <c r="O828">
        <v>50</v>
      </c>
      <c r="P828">
        <v>0</v>
      </c>
      <c r="Q828">
        <v>20</v>
      </c>
      <c r="R828" t="s">
        <v>80</v>
      </c>
      <c r="S828" t="s">
        <v>508</v>
      </c>
      <c r="T828">
        <v>190</v>
      </c>
      <c r="U828">
        <v>58</v>
      </c>
      <c r="V828">
        <v>1000000</v>
      </c>
      <c r="W828" t="s">
        <v>46</v>
      </c>
      <c r="Z828">
        <v>53</v>
      </c>
      <c r="AA828">
        <v>54</v>
      </c>
      <c r="AB828">
        <v>53</v>
      </c>
      <c r="AC828">
        <v>37</v>
      </c>
      <c r="AD828">
        <v>46</v>
      </c>
      <c r="AE828">
        <v>45</v>
      </c>
      <c r="AF828">
        <v>288</v>
      </c>
      <c r="AG828">
        <v>0</v>
      </c>
      <c r="AH828">
        <v>1</v>
      </c>
      <c r="AI828">
        <v>0</v>
      </c>
      <c r="AJ828">
        <v>0</v>
      </c>
      <c r="AK828">
        <v>0</v>
      </c>
      <c r="AL828">
        <v>0</v>
      </c>
    </row>
    <row r="829" spans="1:38" x14ac:dyDescent="0.25">
      <c r="A829" t="s">
        <v>1957</v>
      </c>
      <c r="B829" t="s">
        <v>1957</v>
      </c>
      <c r="C829" s="1">
        <v>687</v>
      </c>
      <c r="D829" s="1" t="s">
        <v>1956</v>
      </c>
      <c r="E829">
        <v>6</v>
      </c>
      <c r="F829">
        <v>1.5</v>
      </c>
      <c r="G829">
        <v>47</v>
      </c>
      <c r="H829" t="s">
        <v>135</v>
      </c>
      <c r="I829" t="s">
        <v>162</v>
      </c>
      <c r="J829" t="s">
        <v>768</v>
      </c>
      <c r="K829" t="s">
        <v>801</v>
      </c>
      <c r="L829" t="s">
        <v>222</v>
      </c>
      <c r="M829" t="s">
        <v>79</v>
      </c>
      <c r="N829">
        <v>50</v>
      </c>
      <c r="O829">
        <v>50</v>
      </c>
      <c r="P829">
        <v>0</v>
      </c>
      <c r="Q829">
        <v>20</v>
      </c>
      <c r="R829" t="s">
        <v>80</v>
      </c>
      <c r="S829" t="s">
        <v>508</v>
      </c>
      <c r="T829">
        <v>80</v>
      </c>
      <c r="U829">
        <v>169</v>
      </c>
      <c r="V829">
        <v>1000000</v>
      </c>
      <c r="W829" t="s">
        <v>46</v>
      </c>
      <c r="Z829">
        <v>86</v>
      </c>
      <c r="AA829">
        <v>92</v>
      </c>
      <c r="AB829">
        <v>88</v>
      </c>
      <c r="AC829">
        <v>68</v>
      </c>
      <c r="AD829">
        <v>75</v>
      </c>
      <c r="AE829">
        <v>73</v>
      </c>
      <c r="AF829">
        <v>482</v>
      </c>
      <c r="AG829">
        <v>0</v>
      </c>
      <c r="AH829">
        <v>2</v>
      </c>
      <c r="AI829">
        <v>0</v>
      </c>
      <c r="AJ829">
        <v>0</v>
      </c>
      <c r="AK829">
        <v>0</v>
      </c>
      <c r="AL829">
        <v>0</v>
      </c>
    </row>
    <row r="830" spans="1:38" x14ac:dyDescent="0.25">
      <c r="A830" t="s">
        <v>1959</v>
      </c>
      <c r="B830" t="s">
        <v>1959</v>
      </c>
      <c r="C830" s="1">
        <v>688</v>
      </c>
      <c r="D830" s="1" t="s">
        <v>1958</v>
      </c>
      <c r="E830">
        <v>6</v>
      </c>
      <c r="F830">
        <v>0.5</v>
      </c>
      <c r="G830">
        <v>31</v>
      </c>
      <c r="H830" t="s">
        <v>290</v>
      </c>
      <c r="I830" t="s">
        <v>76</v>
      </c>
      <c r="J830" t="s">
        <v>69</v>
      </c>
      <c r="K830" t="s">
        <v>110</v>
      </c>
      <c r="L830" t="s">
        <v>775</v>
      </c>
      <c r="M830" t="s">
        <v>103</v>
      </c>
      <c r="N830">
        <v>50</v>
      </c>
      <c r="O830">
        <v>50</v>
      </c>
      <c r="P830">
        <v>0</v>
      </c>
      <c r="Q830">
        <v>20</v>
      </c>
      <c r="R830" t="s">
        <v>333</v>
      </c>
      <c r="T830">
        <v>120</v>
      </c>
      <c r="U830">
        <v>61</v>
      </c>
      <c r="V830">
        <v>1000000</v>
      </c>
      <c r="W830" t="s">
        <v>46</v>
      </c>
      <c r="Z830">
        <v>42</v>
      </c>
      <c r="AA830">
        <v>52</v>
      </c>
      <c r="AB830">
        <v>67</v>
      </c>
      <c r="AC830">
        <v>39</v>
      </c>
      <c r="AD830">
        <v>56</v>
      </c>
      <c r="AE830">
        <v>50</v>
      </c>
      <c r="AF830">
        <v>306</v>
      </c>
      <c r="AG830">
        <v>0</v>
      </c>
      <c r="AH830">
        <v>1</v>
      </c>
      <c r="AI830">
        <v>0</v>
      </c>
      <c r="AJ830">
        <v>0</v>
      </c>
      <c r="AK830">
        <v>0</v>
      </c>
      <c r="AL830">
        <v>0</v>
      </c>
    </row>
    <row r="831" spans="1:38" x14ac:dyDescent="0.25">
      <c r="A831" t="s">
        <v>1961</v>
      </c>
      <c r="B831" t="s">
        <v>1961</v>
      </c>
      <c r="C831" s="1">
        <v>689</v>
      </c>
      <c r="D831" s="1" t="s">
        <v>1960</v>
      </c>
      <c r="E831">
        <v>6</v>
      </c>
      <c r="F831">
        <v>1.3</v>
      </c>
      <c r="G831">
        <v>96</v>
      </c>
      <c r="H831" t="s">
        <v>290</v>
      </c>
      <c r="I831" t="s">
        <v>76</v>
      </c>
      <c r="J831" t="s">
        <v>69</v>
      </c>
      <c r="K831" t="s">
        <v>110</v>
      </c>
      <c r="L831" t="s">
        <v>775</v>
      </c>
      <c r="M831" t="s">
        <v>103</v>
      </c>
      <c r="N831">
        <v>50</v>
      </c>
      <c r="O831">
        <v>50</v>
      </c>
      <c r="P831">
        <v>0</v>
      </c>
      <c r="Q831">
        <v>20</v>
      </c>
      <c r="R831" t="s">
        <v>333</v>
      </c>
      <c r="T831">
        <v>45</v>
      </c>
      <c r="U831">
        <v>175</v>
      </c>
      <c r="V831">
        <v>1000000</v>
      </c>
      <c r="W831" t="s">
        <v>46</v>
      </c>
      <c r="Z831">
        <v>72</v>
      </c>
      <c r="AA831">
        <v>105</v>
      </c>
      <c r="AB831">
        <v>115</v>
      </c>
      <c r="AC831">
        <v>54</v>
      </c>
      <c r="AD831">
        <v>86</v>
      </c>
      <c r="AE831">
        <v>68</v>
      </c>
      <c r="AF831">
        <v>500</v>
      </c>
      <c r="AG831">
        <v>0</v>
      </c>
      <c r="AH831">
        <v>2</v>
      </c>
      <c r="AI831">
        <v>0</v>
      </c>
      <c r="AJ831">
        <v>0</v>
      </c>
      <c r="AK831">
        <v>0</v>
      </c>
      <c r="AL831">
        <v>0</v>
      </c>
    </row>
    <row r="832" spans="1:38" x14ac:dyDescent="0.25">
      <c r="A832" t="s">
        <v>1963</v>
      </c>
      <c r="B832" t="s">
        <v>1963</v>
      </c>
      <c r="C832" s="1">
        <v>690</v>
      </c>
      <c r="D832" s="1" t="s">
        <v>1962</v>
      </c>
      <c r="E832">
        <v>6</v>
      </c>
      <c r="F832">
        <v>0.5</v>
      </c>
      <c r="G832">
        <v>7.3</v>
      </c>
      <c r="H832" t="s">
        <v>41</v>
      </c>
      <c r="I832" t="s">
        <v>76</v>
      </c>
      <c r="J832" t="s">
        <v>180</v>
      </c>
      <c r="K832" t="s">
        <v>402</v>
      </c>
      <c r="L832" t="s">
        <v>113</v>
      </c>
      <c r="M832" t="s">
        <v>103</v>
      </c>
      <c r="N832">
        <v>50</v>
      </c>
      <c r="O832">
        <v>50</v>
      </c>
      <c r="P832">
        <v>0</v>
      </c>
      <c r="Q832">
        <v>20</v>
      </c>
      <c r="R832" t="s">
        <v>80</v>
      </c>
      <c r="S832" t="s">
        <v>61</v>
      </c>
      <c r="T832">
        <v>225</v>
      </c>
      <c r="U832">
        <v>64</v>
      </c>
      <c r="V832">
        <v>1000000</v>
      </c>
      <c r="W832" t="s">
        <v>46</v>
      </c>
      <c r="Z832">
        <v>50</v>
      </c>
      <c r="AA832">
        <v>60</v>
      </c>
      <c r="AB832">
        <v>60</v>
      </c>
      <c r="AC832">
        <v>60</v>
      </c>
      <c r="AD832">
        <v>60</v>
      </c>
      <c r="AE832">
        <v>30</v>
      </c>
      <c r="AF832">
        <v>320</v>
      </c>
      <c r="AG832">
        <v>0</v>
      </c>
      <c r="AH832">
        <v>0</v>
      </c>
      <c r="AI832">
        <v>0</v>
      </c>
      <c r="AJ832">
        <v>0</v>
      </c>
      <c r="AK832">
        <v>1</v>
      </c>
      <c r="AL832">
        <v>0</v>
      </c>
    </row>
    <row r="833" spans="1:38" x14ac:dyDescent="0.25">
      <c r="A833" t="s">
        <v>1965</v>
      </c>
      <c r="B833" t="s">
        <v>1965</v>
      </c>
      <c r="C833" s="1">
        <v>691</v>
      </c>
      <c r="D833" s="1" t="s">
        <v>1964</v>
      </c>
      <c r="E833">
        <v>6</v>
      </c>
      <c r="F833">
        <v>1.8</v>
      </c>
      <c r="G833">
        <v>81.5</v>
      </c>
      <c r="H833" t="s">
        <v>41</v>
      </c>
      <c r="I833" t="s">
        <v>61</v>
      </c>
      <c r="J833" t="s">
        <v>180</v>
      </c>
      <c r="K833" t="s">
        <v>402</v>
      </c>
      <c r="L833" t="s">
        <v>113</v>
      </c>
      <c r="M833" t="s">
        <v>103</v>
      </c>
      <c r="N833">
        <v>50</v>
      </c>
      <c r="O833">
        <v>50</v>
      </c>
      <c r="P833">
        <v>0</v>
      </c>
      <c r="Q833">
        <v>20</v>
      </c>
      <c r="R833" t="s">
        <v>80</v>
      </c>
      <c r="S833" t="s">
        <v>61</v>
      </c>
      <c r="T833">
        <v>55</v>
      </c>
      <c r="U833">
        <v>173</v>
      </c>
      <c r="V833">
        <v>1000000</v>
      </c>
      <c r="W833" t="s">
        <v>46</v>
      </c>
      <c r="Z833">
        <v>65</v>
      </c>
      <c r="AA833">
        <v>75</v>
      </c>
      <c r="AB833">
        <v>90</v>
      </c>
      <c r="AC833">
        <v>97</v>
      </c>
      <c r="AD833">
        <v>123</v>
      </c>
      <c r="AE833">
        <v>44</v>
      </c>
      <c r="AF833">
        <v>494</v>
      </c>
      <c r="AG833">
        <v>0</v>
      </c>
      <c r="AH833">
        <v>0</v>
      </c>
      <c r="AI833">
        <v>0</v>
      </c>
      <c r="AJ833">
        <v>0</v>
      </c>
      <c r="AK833">
        <v>2</v>
      </c>
      <c r="AL833">
        <v>0</v>
      </c>
    </row>
    <row r="834" spans="1:38" x14ac:dyDescent="0.25">
      <c r="A834" t="s">
        <v>1967</v>
      </c>
      <c r="B834" t="s">
        <v>1967</v>
      </c>
      <c r="C834" s="1">
        <v>692</v>
      </c>
      <c r="D834" s="1" t="s">
        <v>1966</v>
      </c>
      <c r="E834">
        <v>6</v>
      </c>
      <c r="F834">
        <v>0.5</v>
      </c>
      <c r="G834">
        <v>8.3000000000000007</v>
      </c>
      <c r="H834" t="s">
        <v>76</v>
      </c>
      <c r="J834" t="s">
        <v>87</v>
      </c>
      <c r="M834" t="s">
        <v>79</v>
      </c>
      <c r="N834">
        <v>50</v>
      </c>
      <c r="O834">
        <v>50</v>
      </c>
      <c r="P834">
        <v>0</v>
      </c>
      <c r="Q834">
        <v>15</v>
      </c>
      <c r="R834" t="s">
        <v>80</v>
      </c>
      <c r="S834" t="s">
        <v>333</v>
      </c>
      <c r="T834">
        <v>225</v>
      </c>
      <c r="U834">
        <v>66</v>
      </c>
      <c r="V834">
        <v>1250000</v>
      </c>
      <c r="W834" t="s">
        <v>46</v>
      </c>
      <c r="Z834">
        <v>50</v>
      </c>
      <c r="AA834">
        <v>53</v>
      </c>
      <c r="AB834">
        <v>62</v>
      </c>
      <c r="AC834">
        <v>58</v>
      </c>
      <c r="AD834">
        <v>63</v>
      </c>
      <c r="AE834">
        <v>44</v>
      </c>
      <c r="AF834">
        <v>330</v>
      </c>
      <c r="AG834">
        <v>0</v>
      </c>
      <c r="AH834">
        <v>0</v>
      </c>
      <c r="AI834">
        <v>0</v>
      </c>
      <c r="AJ834">
        <v>1</v>
      </c>
      <c r="AK834">
        <v>0</v>
      </c>
      <c r="AL834">
        <v>0</v>
      </c>
    </row>
    <row r="835" spans="1:38" x14ac:dyDescent="0.25">
      <c r="A835" t="s">
        <v>1969</v>
      </c>
      <c r="B835" t="s">
        <v>1969</v>
      </c>
      <c r="C835" s="1">
        <v>693</v>
      </c>
      <c r="D835" s="1" t="s">
        <v>1968</v>
      </c>
      <c r="E835">
        <v>6</v>
      </c>
      <c r="F835">
        <v>1.3</v>
      </c>
      <c r="G835">
        <v>35.299999999999997</v>
      </c>
      <c r="H835" t="s">
        <v>76</v>
      </c>
      <c r="J835" t="s">
        <v>87</v>
      </c>
      <c r="M835" t="s">
        <v>79</v>
      </c>
      <c r="N835">
        <v>50</v>
      </c>
      <c r="O835">
        <v>50</v>
      </c>
      <c r="P835">
        <v>0</v>
      </c>
      <c r="Q835">
        <v>15</v>
      </c>
      <c r="R835" t="s">
        <v>80</v>
      </c>
      <c r="S835" t="s">
        <v>333</v>
      </c>
      <c r="T835">
        <v>55</v>
      </c>
      <c r="U835">
        <v>100</v>
      </c>
      <c r="V835">
        <v>1250000</v>
      </c>
      <c r="W835" t="s">
        <v>46</v>
      </c>
      <c r="Z835">
        <v>71</v>
      </c>
      <c r="AA835">
        <v>73</v>
      </c>
      <c r="AB835">
        <v>88</v>
      </c>
      <c r="AC835">
        <v>120</v>
      </c>
      <c r="AD835">
        <v>89</v>
      </c>
      <c r="AE835">
        <v>59</v>
      </c>
      <c r="AF835">
        <v>500</v>
      </c>
      <c r="AG835">
        <v>0</v>
      </c>
      <c r="AH835">
        <v>0</v>
      </c>
      <c r="AI835">
        <v>0</v>
      </c>
      <c r="AJ835">
        <v>2</v>
      </c>
      <c r="AK835">
        <v>0</v>
      </c>
      <c r="AL835">
        <v>0</v>
      </c>
    </row>
    <row r="836" spans="1:38" x14ac:dyDescent="0.25">
      <c r="A836" t="s">
        <v>1971</v>
      </c>
      <c r="B836" t="s">
        <v>1971</v>
      </c>
      <c r="C836" s="1">
        <v>694</v>
      </c>
      <c r="D836" s="1" t="s">
        <v>1970</v>
      </c>
      <c r="E836">
        <v>6</v>
      </c>
      <c r="F836">
        <v>0.5</v>
      </c>
      <c r="G836">
        <v>6</v>
      </c>
      <c r="H836" t="s">
        <v>154</v>
      </c>
      <c r="I836" t="s">
        <v>116</v>
      </c>
      <c r="J836" t="s">
        <v>235</v>
      </c>
      <c r="K836" t="s">
        <v>166</v>
      </c>
      <c r="L836" t="s">
        <v>59</v>
      </c>
      <c r="M836" t="s">
        <v>106</v>
      </c>
      <c r="N836">
        <v>50</v>
      </c>
      <c r="O836">
        <v>50</v>
      </c>
      <c r="P836">
        <v>0</v>
      </c>
      <c r="Q836">
        <v>20</v>
      </c>
      <c r="R836" t="s">
        <v>45</v>
      </c>
      <c r="S836" t="s">
        <v>61</v>
      </c>
      <c r="T836">
        <v>190</v>
      </c>
      <c r="U836">
        <v>58</v>
      </c>
      <c r="V836">
        <v>1000000</v>
      </c>
      <c r="W836" t="s">
        <v>46</v>
      </c>
      <c r="Z836">
        <v>44</v>
      </c>
      <c r="AA836">
        <v>38</v>
      </c>
      <c r="AB836">
        <v>33</v>
      </c>
      <c r="AC836">
        <v>61</v>
      </c>
      <c r="AD836">
        <v>43</v>
      </c>
      <c r="AE836">
        <v>70</v>
      </c>
      <c r="AF836">
        <v>289</v>
      </c>
      <c r="AG836">
        <v>0</v>
      </c>
      <c r="AH836">
        <v>0</v>
      </c>
      <c r="AI836">
        <v>0</v>
      </c>
      <c r="AJ836">
        <v>0</v>
      </c>
      <c r="AK836">
        <v>0</v>
      </c>
      <c r="AL836">
        <v>1</v>
      </c>
    </row>
    <row r="837" spans="1:38" x14ac:dyDescent="0.25">
      <c r="A837" t="s">
        <v>1973</v>
      </c>
      <c r="B837" t="s">
        <v>1973</v>
      </c>
      <c r="C837" s="1">
        <v>695</v>
      </c>
      <c r="D837" s="1" t="s">
        <v>1972</v>
      </c>
      <c r="E837">
        <v>6</v>
      </c>
      <c r="F837">
        <v>1</v>
      </c>
      <c r="G837">
        <v>21</v>
      </c>
      <c r="H837" t="s">
        <v>154</v>
      </c>
      <c r="I837" t="s">
        <v>116</v>
      </c>
      <c r="J837" t="s">
        <v>235</v>
      </c>
      <c r="K837" t="s">
        <v>166</v>
      </c>
      <c r="L837" t="s">
        <v>59</v>
      </c>
      <c r="M837" t="s">
        <v>106</v>
      </c>
      <c r="N837">
        <v>50</v>
      </c>
      <c r="O837">
        <v>50</v>
      </c>
      <c r="P837">
        <v>0</v>
      </c>
      <c r="Q837">
        <v>20</v>
      </c>
      <c r="R837" t="s">
        <v>45</v>
      </c>
      <c r="S837" t="s">
        <v>61</v>
      </c>
      <c r="T837">
        <v>75</v>
      </c>
      <c r="U837">
        <v>168</v>
      </c>
      <c r="V837">
        <v>1000000</v>
      </c>
      <c r="W837" t="s">
        <v>46</v>
      </c>
      <c r="Z837">
        <v>62</v>
      </c>
      <c r="AA837">
        <v>55</v>
      </c>
      <c r="AB837">
        <v>52</v>
      </c>
      <c r="AC837">
        <v>109</v>
      </c>
      <c r="AD837">
        <v>94</v>
      </c>
      <c r="AE837">
        <v>109</v>
      </c>
      <c r="AF837">
        <v>481</v>
      </c>
      <c r="AG837">
        <v>0</v>
      </c>
      <c r="AH837">
        <v>0</v>
      </c>
      <c r="AI837">
        <v>0</v>
      </c>
      <c r="AJ837">
        <v>1</v>
      </c>
      <c r="AK837">
        <v>0</v>
      </c>
      <c r="AL837">
        <v>1</v>
      </c>
    </row>
    <row r="838" spans="1:38" x14ac:dyDescent="0.25">
      <c r="A838" t="s">
        <v>1975</v>
      </c>
      <c r="B838" t="s">
        <v>1975</v>
      </c>
      <c r="C838" s="1">
        <v>696</v>
      </c>
      <c r="D838" s="1" t="s">
        <v>1974</v>
      </c>
      <c r="E838">
        <v>6</v>
      </c>
      <c r="F838">
        <v>0.8</v>
      </c>
      <c r="G838">
        <v>26</v>
      </c>
      <c r="H838" t="s">
        <v>290</v>
      </c>
      <c r="I838" t="s">
        <v>61</v>
      </c>
      <c r="J838" t="s">
        <v>1031</v>
      </c>
      <c r="L838" t="s">
        <v>338</v>
      </c>
      <c r="M838" t="s">
        <v>103</v>
      </c>
      <c r="N838">
        <v>87.5</v>
      </c>
      <c r="O838">
        <v>12.5</v>
      </c>
      <c r="P838">
        <v>0</v>
      </c>
      <c r="Q838">
        <v>30</v>
      </c>
      <c r="R838" t="s">
        <v>45</v>
      </c>
      <c r="S838" t="s">
        <v>61</v>
      </c>
      <c r="T838">
        <v>45</v>
      </c>
      <c r="U838">
        <v>72</v>
      </c>
      <c r="V838">
        <v>1000000</v>
      </c>
      <c r="W838" t="s">
        <v>46</v>
      </c>
      <c r="Z838">
        <v>58</v>
      </c>
      <c r="AA838">
        <v>89</v>
      </c>
      <c r="AB838">
        <v>77</v>
      </c>
      <c r="AC838">
        <v>45</v>
      </c>
      <c r="AD838">
        <v>45</v>
      </c>
      <c r="AE838">
        <v>48</v>
      </c>
      <c r="AF838">
        <v>362</v>
      </c>
      <c r="AG838">
        <v>0</v>
      </c>
      <c r="AH838">
        <v>1</v>
      </c>
      <c r="AI838">
        <v>0</v>
      </c>
      <c r="AJ838">
        <v>0</v>
      </c>
      <c r="AK838">
        <v>0</v>
      </c>
      <c r="AL838">
        <v>0</v>
      </c>
    </row>
    <row r="839" spans="1:38" x14ac:dyDescent="0.25">
      <c r="A839" t="s">
        <v>1977</v>
      </c>
      <c r="B839" t="s">
        <v>1977</v>
      </c>
      <c r="C839" s="1">
        <v>697</v>
      </c>
      <c r="D839" s="1" t="s">
        <v>1976</v>
      </c>
      <c r="E839">
        <v>6</v>
      </c>
      <c r="F839">
        <v>2.5</v>
      </c>
      <c r="G839">
        <v>270</v>
      </c>
      <c r="H839" t="s">
        <v>290</v>
      </c>
      <c r="I839" t="s">
        <v>61</v>
      </c>
      <c r="J839" t="s">
        <v>1031</v>
      </c>
      <c r="L839" t="s">
        <v>291</v>
      </c>
      <c r="M839" t="s">
        <v>60</v>
      </c>
      <c r="N839">
        <v>87.5</v>
      </c>
      <c r="O839">
        <v>12.5</v>
      </c>
      <c r="P839">
        <v>0</v>
      </c>
      <c r="Q839">
        <v>30</v>
      </c>
      <c r="R839" t="s">
        <v>45</v>
      </c>
      <c r="S839" t="s">
        <v>61</v>
      </c>
      <c r="T839">
        <v>45</v>
      </c>
      <c r="U839">
        <v>182</v>
      </c>
      <c r="V839">
        <v>1000000</v>
      </c>
      <c r="W839" t="s">
        <v>46</v>
      </c>
      <c r="Z839">
        <v>82</v>
      </c>
      <c r="AA839">
        <v>121</v>
      </c>
      <c r="AB839">
        <v>119</v>
      </c>
      <c r="AC839">
        <v>69</v>
      </c>
      <c r="AD839">
        <v>59</v>
      </c>
      <c r="AE839">
        <v>71</v>
      </c>
      <c r="AF839">
        <v>521</v>
      </c>
      <c r="AG839">
        <v>0</v>
      </c>
      <c r="AH839">
        <v>2</v>
      </c>
      <c r="AI839">
        <v>0</v>
      </c>
      <c r="AJ839">
        <v>0</v>
      </c>
      <c r="AK839">
        <v>0</v>
      </c>
      <c r="AL839">
        <v>0</v>
      </c>
    </row>
    <row r="840" spans="1:38" x14ac:dyDescent="0.25">
      <c r="A840" t="s">
        <v>1979</v>
      </c>
      <c r="B840" t="s">
        <v>1979</v>
      </c>
      <c r="C840" s="1">
        <v>698</v>
      </c>
      <c r="D840" s="1" t="s">
        <v>1978</v>
      </c>
      <c r="E840">
        <v>6</v>
      </c>
      <c r="F840">
        <v>1.3</v>
      </c>
      <c r="G840">
        <v>25.2</v>
      </c>
      <c r="H840" t="s">
        <v>290</v>
      </c>
      <c r="I840" t="s">
        <v>170</v>
      </c>
      <c r="J840" t="s">
        <v>1142</v>
      </c>
      <c r="L840" t="s">
        <v>208</v>
      </c>
      <c r="M840" t="s">
        <v>79</v>
      </c>
      <c r="N840">
        <v>87.5</v>
      </c>
      <c r="O840">
        <v>12.5</v>
      </c>
      <c r="P840">
        <v>0</v>
      </c>
      <c r="Q840">
        <v>30</v>
      </c>
      <c r="R840" t="s">
        <v>45</v>
      </c>
      <c r="T840">
        <v>45</v>
      </c>
      <c r="U840">
        <v>72</v>
      </c>
      <c r="V840">
        <v>1000000</v>
      </c>
      <c r="W840" t="s">
        <v>46</v>
      </c>
      <c r="Z840">
        <v>77</v>
      </c>
      <c r="AA840">
        <v>59</v>
      </c>
      <c r="AB840">
        <v>50</v>
      </c>
      <c r="AC840">
        <v>67</v>
      </c>
      <c r="AD840">
        <v>63</v>
      </c>
      <c r="AE840">
        <v>46</v>
      </c>
      <c r="AF840">
        <v>362</v>
      </c>
      <c r="AG840">
        <v>1</v>
      </c>
      <c r="AH840">
        <v>0</v>
      </c>
      <c r="AI840">
        <v>0</v>
      </c>
      <c r="AJ840">
        <v>0</v>
      </c>
      <c r="AK840">
        <v>0</v>
      </c>
      <c r="AL840">
        <v>0</v>
      </c>
    </row>
    <row r="841" spans="1:38" x14ac:dyDescent="0.25">
      <c r="A841" t="s">
        <v>1981</v>
      </c>
      <c r="B841" t="s">
        <v>1981</v>
      </c>
      <c r="C841" s="1">
        <v>699</v>
      </c>
      <c r="D841" s="1" t="s">
        <v>1980</v>
      </c>
      <c r="E841">
        <v>6</v>
      </c>
      <c r="F841">
        <v>2.7</v>
      </c>
      <c r="G841">
        <v>225</v>
      </c>
      <c r="H841" t="s">
        <v>290</v>
      </c>
      <c r="I841" t="s">
        <v>170</v>
      </c>
      <c r="J841" t="s">
        <v>1142</v>
      </c>
      <c r="L841" t="s">
        <v>208</v>
      </c>
      <c r="M841" t="s">
        <v>79</v>
      </c>
      <c r="N841">
        <v>87.5</v>
      </c>
      <c r="O841">
        <v>12.5</v>
      </c>
      <c r="P841">
        <v>0</v>
      </c>
      <c r="Q841">
        <v>30</v>
      </c>
      <c r="R841" t="s">
        <v>45</v>
      </c>
      <c r="T841">
        <v>45</v>
      </c>
      <c r="U841">
        <v>104</v>
      </c>
      <c r="V841">
        <v>1000000</v>
      </c>
      <c r="W841" t="s">
        <v>46</v>
      </c>
      <c r="Z841">
        <v>123</v>
      </c>
      <c r="AA841">
        <v>77</v>
      </c>
      <c r="AB841">
        <v>72</v>
      </c>
      <c r="AC841">
        <v>99</v>
      </c>
      <c r="AD841">
        <v>92</v>
      </c>
      <c r="AE841">
        <v>58</v>
      </c>
      <c r="AF841">
        <v>521</v>
      </c>
      <c r="AG841">
        <v>2</v>
      </c>
      <c r="AH841">
        <v>0</v>
      </c>
      <c r="AI841">
        <v>0</v>
      </c>
      <c r="AJ841">
        <v>0</v>
      </c>
      <c r="AK841">
        <v>0</v>
      </c>
      <c r="AL841">
        <v>0</v>
      </c>
    </row>
    <row r="842" spans="1:38" x14ac:dyDescent="0.25">
      <c r="A842" t="s">
        <v>1983</v>
      </c>
      <c r="B842" t="s">
        <v>1983</v>
      </c>
      <c r="C842" s="1">
        <v>700</v>
      </c>
      <c r="D842" s="1" t="s">
        <v>1982</v>
      </c>
      <c r="E842">
        <v>6</v>
      </c>
      <c r="F842">
        <v>1</v>
      </c>
      <c r="G842">
        <v>23.5</v>
      </c>
      <c r="H842" t="s">
        <v>157</v>
      </c>
      <c r="J842" t="s">
        <v>196</v>
      </c>
      <c r="L842" t="s">
        <v>935</v>
      </c>
      <c r="M842" t="s">
        <v>199</v>
      </c>
      <c r="N842">
        <v>87.5</v>
      </c>
      <c r="O842">
        <v>12.5</v>
      </c>
      <c r="P842">
        <v>0</v>
      </c>
      <c r="Q842">
        <v>35</v>
      </c>
      <c r="R842" t="s">
        <v>132</v>
      </c>
      <c r="T842">
        <v>45</v>
      </c>
      <c r="U842">
        <v>184</v>
      </c>
      <c r="V842">
        <v>1000000</v>
      </c>
      <c r="W842" t="s">
        <v>46</v>
      </c>
      <c r="Z842">
        <v>95</v>
      </c>
      <c r="AA842">
        <v>65</v>
      </c>
      <c r="AB842">
        <v>65</v>
      </c>
      <c r="AC842">
        <v>110</v>
      </c>
      <c r="AD842">
        <v>130</v>
      </c>
      <c r="AE842">
        <v>60</v>
      </c>
      <c r="AF842">
        <v>525</v>
      </c>
      <c r="AG842">
        <v>0</v>
      </c>
      <c r="AH842">
        <v>0</v>
      </c>
      <c r="AI842">
        <v>0</v>
      </c>
      <c r="AJ842">
        <v>0</v>
      </c>
      <c r="AK842">
        <v>2</v>
      </c>
      <c r="AL842">
        <v>0</v>
      </c>
    </row>
    <row r="843" spans="1:38" x14ac:dyDescent="0.25">
      <c r="A843" t="s">
        <v>1985</v>
      </c>
      <c r="B843" t="s">
        <v>1985</v>
      </c>
      <c r="C843" s="1">
        <v>701</v>
      </c>
      <c r="D843" s="1" t="s">
        <v>1984</v>
      </c>
      <c r="E843">
        <v>6</v>
      </c>
      <c r="F843">
        <v>0.8</v>
      </c>
      <c r="G843">
        <v>21.5</v>
      </c>
      <c r="H843" t="s">
        <v>279</v>
      </c>
      <c r="I843" t="s">
        <v>66</v>
      </c>
      <c r="J843" t="s">
        <v>267</v>
      </c>
      <c r="K843" t="s">
        <v>470</v>
      </c>
      <c r="L843" t="s">
        <v>532</v>
      </c>
      <c r="M843" t="s">
        <v>44</v>
      </c>
      <c r="N843">
        <v>50</v>
      </c>
      <c r="O843">
        <v>50</v>
      </c>
      <c r="P843">
        <v>0</v>
      </c>
      <c r="Q843">
        <v>20</v>
      </c>
      <c r="R843" t="s">
        <v>66</v>
      </c>
      <c r="S843" t="s">
        <v>307</v>
      </c>
      <c r="T843">
        <v>100</v>
      </c>
      <c r="U843">
        <v>175</v>
      </c>
      <c r="V843">
        <v>1000000</v>
      </c>
      <c r="W843" t="s">
        <v>46</v>
      </c>
      <c r="Z843">
        <v>78</v>
      </c>
      <c r="AA843">
        <v>92</v>
      </c>
      <c r="AB843">
        <v>75</v>
      </c>
      <c r="AC843">
        <v>74</v>
      </c>
      <c r="AD843">
        <v>63</v>
      </c>
      <c r="AE843">
        <v>118</v>
      </c>
      <c r="AF843">
        <v>500</v>
      </c>
      <c r="AG843">
        <v>0</v>
      </c>
      <c r="AH843">
        <v>2</v>
      </c>
      <c r="AI843">
        <v>0</v>
      </c>
      <c r="AJ843">
        <v>0</v>
      </c>
      <c r="AK843">
        <v>0</v>
      </c>
      <c r="AL843">
        <v>0</v>
      </c>
    </row>
    <row r="844" spans="1:38" x14ac:dyDescent="0.25">
      <c r="A844" t="s">
        <v>1987</v>
      </c>
      <c r="B844" t="s">
        <v>1987</v>
      </c>
      <c r="C844" s="1">
        <v>702</v>
      </c>
      <c r="D844" s="1" t="s">
        <v>1986</v>
      </c>
      <c r="E844">
        <v>6</v>
      </c>
      <c r="F844">
        <v>0.2</v>
      </c>
      <c r="G844">
        <v>2.2000000000000002</v>
      </c>
      <c r="H844" t="s">
        <v>154</v>
      </c>
      <c r="I844" t="s">
        <v>157</v>
      </c>
      <c r="J844" t="s">
        <v>1888</v>
      </c>
      <c r="K844" t="s">
        <v>257</v>
      </c>
      <c r="L844" t="s">
        <v>679</v>
      </c>
      <c r="M844" t="s">
        <v>106</v>
      </c>
      <c r="N844">
        <v>50</v>
      </c>
      <c r="O844">
        <v>50</v>
      </c>
      <c r="P844">
        <v>0</v>
      </c>
      <c r="Q844">
        <v>20</v>
      </c>
      <c r="R844" t="s">
        <v>132</v>
      </c>
      <c r="S844" t="s">
        <v>157</v>
      </c>
      <c r="T844">
        <v>180</v>
      </c>
      <c r="U844">
        <v>151</v>
      </c>
      <c r="V844">
        <v>1000000</v>
      </c>
      <c r="W844" t="s">
        <v>46</v>
      </c>
      <c r="Z844">
        <v>67</v>
      </c>
      <c r="AA844">
        <v>58</v>
      </c>
      <c r="AB844">
        <v>57</v>
      </c>
      <c r="AC844">
        <v>81</v>
      </c>
      <c r="AD844">
        <v>67</v>
      </c>
      <c r="AE844">
        <v>101</v>
      </c>
      <c r="AF844">
        <v>431</v>
      </c>
      <c r="AG844">
        <v>0</v>
      </c>
      <c r="AH844">
        <v>0</v>
      </c>
      <c r="AI844">
        <v>0</v>
      </c>
      <c r="AJ844">
        <v>0</v>
      </c>
      <c r="AK844">
        <v>0</v>
      </c>
      <c r="AL844">
        <v>2</v>
      </c>
    </row>
    <row r="845" spans="1:38" x14ac:dyDescent="0.25">
      <c r="A845" t="s">
        <v>1989</v>
      </c>
      <c r="B845" t="s">
        <v>1989</v>
      </c>
      <c r="C845" s="1">
        <v>703</v>
      </c>
      <c r="D845" s="1" t="s">
        <v>1988</v>
      </c>
      <c r="E845">
        <v>6</v>
      </c>
      <c r="F845">
        <v>0.3</v>
      </c>
      <c r="G845">
        <v>5.7</v>
      </c>
      <c r="H845" t="s">
        <v>290</v>
      </c>
      <c r="I845" t="s">
        <v>157</v>
      </c>
      <c r="J845" t="s">
        <v>331</v>
      </c>
      <c r="L845" t="s">
        <v>338</v>
      </c>
      <c r="M845" t="s">
        <v>318</v>
      </c>
      <c r="N845">
        <v>0</v>
      </c>
      <c r="O845">
        <v>0</v>
      </c>
      <c r="P845">
        <v>100</v>
      </c>
      <c r="Q845">
        <v>25</v>
      </c>
      <c r="R845" t="s">
        <v>157</v>
      </c>
      <c r="S845" t="s">
        <v>339</v>
      </c>
      <c r="T845">
        <v>60</v>
      </c>
      <c r="U845">
        <v>100</v>
      </c>
      <c r="V845">
        <v>1250000</v>
      </c>
      <c r="W845" t="s">
        <v>46</v>
      </c>
      <c r="Z845">
        <v>50</v>
      </c>
      <c r="AA845">
        <v>50</v>
      </c>
      <c r="AB845">
        <v>150</v>
      </c>
      <c r="AC845">
        <v>50</v>
      </c>
      <c r="AD845">
        <v>150</v>
      </c>
      <c r="AE845">
        <v>50</v>
      </c>
      <c r="AF845">
        <v>500</v>
      </c>
      <c r="AG845">
        <v>0</v>
      </c>
      <c r="AH845">
        <v>0</v>
      </c>
      <c r="AI845">
        <v>1</v>
      </c>
      <c r="AJ845">
        <v>0</v>
      </c>
      <c r="AK845">
        <v>1</v>
      </c>
      <c r="AL845">
        <v>0</v>
      </c>
    </row>
    <row r="846" spans="1:38" x14ac:dyDescent="0.25">
      <c r="A846" t="s">
        <v>1991</v>
      </c>
      <c r="B846" t="s">
        <v>1991</v>
      </c>
      <c r="C846" s="1">
        <v>704</v>
      </c>
      <c r="D846" s="1" t="s">
        <v>1990</v>
      </c>
      <c r="E846">
        <v>6</v>
      </c>
      <c r="F846">
        <v>0.3</v>
      </c>
      <c r="G846">
        <v>2.8</v>
      </c>
      <c r="H846" t="s">
        <v>61</v>
      </c>
      <c r="J846" t="s">
        <v>691</v>
      </c>
      <c r="K846" t="s">
        <v>395</v>
      </c>
      <c r="L846" t="s">
        <v>1992</v>
      </c>
      <c r="M846" t="s">
        <v>131</v>
      </c>
      <c r="N846">
        <v>50</v>
      </c>
      <c r="O846">
        <v>50</v>
      </c>
      <c r="P846">
        <v>0</v>
      </c>
      <c r="Q846">
        <v>40</v>
      </c>
      <c r="R846" t="s">
        <v>61</v>
      </c>
      <c r="T846">
        <v>45</v>
      </c>
      <c r="U846">
        <v>60</v>
      </c>
      <c r="V846">
        <v>1250000</v>
      </c>
      <c r="W846" t="s">
        <v>46</v>
      </c>
      <c r="Z846">
        <v>45</v>
      </c>
      <c r="AA846">
        <v>50</v>
      </c>
      <c r="AB846">
        <v>35</v>
      </c>
      <c r="AC846">
        <v>55</v>
      </c>
      <c r="AD846">
        <v>75</v>
      </c>
      <c r="AE846">
        <v>40</v>
      </c>
      <c r="AF846">
        <v>300</v>
      </c>
      <c r="AG846">
        <v>0</v>
      </c>
      <c r="AH846">
        <v>0</v>
      </c>
      <c r="AI846">
        <v>0</v>
      </c>
      <c r="AJ846">
        <v>0</v>
      </c>
      <c r="AK846">
        <v>1</v>
      </c>
      <c r="AL846">
        <v>0</v>
      </c>
    </row>
    <row r="847" spans="1:38" x14ac:dyDescent="0.25">
      <c r="A847" t="s">
        <v>1994</v>
      </c>
      <c r="B847" t="s">
        <v>1994</v>
      </c>
      <c r="C847" s="1">
        <v>705</v>
      </c>
      <c r="D847" s="1" t="s">
        <v>1993</v>
      </c>
      <c r="E847">
        <v>6</v>
      </c>
      <c r="F847">
        <v>0.8</v>
      </c>
      <c r="G847">
        <v>17.5</v>
      </c>
      <c r="H847" t="s">
        <v>61</v>
      </c>
      <c r="J847" t="s">
        <v>691</v>
      </c>
      <c r="K847" t="s">
        <v>395</v>
      </c>
      <c r="L847" t="s">
        <v>1992</v>
      </c>
      <c r="M847" t="s">
        <v>131</v>
      </c>
      <c r="N847">
        <v>50</v>
      </c>
      <c r="O847">
        <v>50</v>
      </c>
      <c r="P847">
        <v>0</v>
      </c>
      <c r="Q847">
        <v>40</v>
      </c>
      <c r="R847" t="s">
        <v>61</v>
      </c>
      <c r="T847">
        <v>45</v>
      </c>
      <c r="U847">
        <v>158</v>
      </c>
      <c r="V847">
        <v>1250000</v>
      </c>
      <c r="W847" t="s">
        <v>46</v>
      </c>
      <c r="Z847">
        <v>68</v>
      </c>
      <c r="AA847">
        <v>75</v>
      </c>
      <c r="AB847">
        <v>53</v>
      </c>
      <c r="AC847">
        <v>83</v>
      </c>
      <c r="AD847">
        <v>113</v>
      </c>
      <c r="AE847">
        <v>60</v>
      </c>
      <c r="AF847">
        <v>452</v>
      </c>
      <c r="AG847">
        <v>0</v>
      </c>
      <c r="AH847">
        <v>0</v>
      </c>
      <c r="AI847">
        <v>0</v>
      </c>
      <c r="AJ847">
        <v>0</v>
      </c>
      <c r="AK847">
        <v>2</v>
      </c>
      <c r="AL847">
        <v>0</v>
      </c>
    </row>
    <row r="848" spans="1:38" x14ac:dyDescent="0.25">
      <c r="A848" t="s">
        <v>1994</v>
      </c>
      <c r="B848" t="s">
        <v>1996</v>
      </c>
      <c r="C848" s="1">
        <v>705</v>
      </c>
      <c r="D848" s="1" t="s">
        <v>1995</v>
      </c>
      <c r="E848">
        <v>8</v>
      </c>
      <c r="F848">
        <v>0.7</v>
      </c>
      <c r="G848">
        <v>68.5</v>
      </c>
      <c r="H848" t="s">
        <v>171</v>
      </c>
      <c r="I848" t="s">
        <v>61</v>
      </c>
      <c r="J848" t="s">
        <v>691</v>
      </c>
      <c r="K848" t="s">
        <v>377</v>
      </c>
      <c r="L848" t="s">
        <v>1992</v>
      </c>
      <c r="M848" t="s">
        <v>131</v>
      </c>
      <c r="N848">
        <v>50</v>
      </c>
      <c r="O848">
        <v>50</v>
      </c>
      <c r="P848">
        <v>0</v>
      </c>
      <c r="Q848">
        <v>40</v>
      </c>
      <c r="R848" t="s">
        <v>61</v>
      </c>
      <c r="T848">
        <v>45</v>
      </c>
      <c r="U848">
        <v>158</v>
      </c>
      <c r="V848">
        <v>1250000</v>
      </c>
      <c r="W848" t="s">
        <v>46</v>
      </c>
      <c r="Y848" t="s">
        <v>292</v>
      </c>
      <c r="Z848">
        <v>58</v>
      </c>
      <c r="AA848">
        <v>75</v>
      </c>
      <c r="AB848">
        <v>83</v>
      </c>
      <c r="AC848">
        <v>83</v>
      </c>
      <c r="AD848">
        <v>113</v>
      </c>
      <c r="AE848">
        <v>40</v>
      </c>
      <c r="AF848">
        <v>452</v>
      </c>
      <c r="AG848">
        <v>0</v>
      </c>
      <c r="AH848">
        <v>0</v>
      </c>
      <c r="AI848">
        <v>0</v>
      </c>
      <c r="AJ848">
        <v>0</v>
      </c>
      <c r="AK848">
        <v>2</v>
      </c>
      <c r="AL848">
        <v>0</v>
      </c>
    </row>
    <row r="849" spans="1:38" x14ac:dyDescent="0.25">
      <c r="A849" t="s">
        <v>1998</v>
      </c>
      <c r="B849" t="s">
        <v>1998</v>
      </c>
      <c r="C849" s="1">
        <v>706</v>
      </c>
      <c r="D849" s="1" t="s">
        <v>1997</v>
      </c>
      <c r="E849">
        <v>6</v>
      </c>
      <c r="F849">
        <v>2</v>
      </c>
      <c r="G849">
        <v>150.5</v>
      </c>
      <c r="H849" t="s">
        <v>61</v>
      </c>
      <c r="J849" t="s">
        <v>691</v>
      </c>
      <c r="K849" t="s">
        <v>395</v>
      </c>
      <c r="L849" t="s">
        <v>1992</v>
      </c>
      <c r="M849" t="s">
        <v>131</v>
      </c>
      <c r="N849">
        <v>50</v>
      </c>
      <c r="O849">
        <v>50</v>
      </c>
      <c r="P849">
        <v>0</v>
      </c>
      <c r="Q849">
        <v>40</v>
      </c>
      <c r="R849" t="s">
        <v>61</v>
      </c>
      <c r="T849">
        <v>45</v>
      </c>
      <c r="U849">
        <v>300</v>
      </c>
      <c r="V849">
        <v>1250000</v>
      </c>
      <c r="W849" t="s">
        <v>46</v>
      </c>
      <c r="Z849">
        <v>90</v>
      </c>
      <c r="AA849">
        <v>100</v>
      </c>
      <c r="AB849">
        <v>70</v>
      </c>
      <c r="AC849">
        <v>110</v>
      </c>
      <c r="AD849">
        <v>150</v>
      </c>
      <c r="AE849">
        <v>80</v>
      </c>
      <c r="AF849">
        <v>600</v>
      </c>
      <c r="AG849">
        <v>0</v>
      </c>
      <c r="AH849">
        <v>0</v>
      </c>
      <c r="AI849">
        <v>0</v>
      </c>
      <c r="AJ849">
        <v>0</v>
      </c>
      <c r="AK849">
        <v>3</v>
      </c>
      <c r="AL849">
        <v>0</v>
      </c>
    </row>
    <row r="850" spans="1:38" x14ac:dyDescent="0.25">
      <c r="A850" t="s">
        <v>1998</v>
      </c>
      <c r="B850" t="s">
        <v>2000</v>
      </c>
      <c r="C850" s="1">
        <v>706</v>
      </c>
      <c r="D850" s="1" t="s">
        <v>1999</v>
      </c>
      <c r="E850">
        <v>8</v>
      </c>
      <c r="F850">
        <v>1.7</v>
      </c>
      <c r="G850">
        <v>334.1</v>
      </c>
      <c r="H850" t="s">
        <v>171</v>
      </c>
      <c r="I850" t="s">
        <v>61</v>
      </c>
      <c r="J850" t="s">
        <v>691</v>
      </c>
      <c r="K850" t="s">
        <v>377</v>
      </c>
      <c r="L850" t="s">
        <v>1992</v>
      </c>
      <c r="M850" t="s">
        <v>131</v>
      </c>
      <c r="N850">
        <v>50</v>
      </c>
      <c r="O850">
        <v>50</v>
      </c>
      <c r="P850">
        <v>0</v>
      </c>
      <c r="Q850">
        <v>40</v>
      </c>
      <c r="R850" t="s">
        <v>61</v>
      </c>
      <c r="T850">
        <v>45</v>
      </c>
      <c r="U850">
        <v>300</v>
      </c>
      <c r="V850">
        <v>1250000</v>
      </c>
      <c r="W850" t="s">
        <v>46</v>
      </c>
      <c r="Y850" t="s">
        <v>292</v>
      </c>
      <c r="Z850">
        <v>80</v>
      </c>
      <c r="AA850">
        <v>100</v>
      </c>
      <c r="AB850">
        <v>100</v>
      </c>
      <c r="AC850">
        <v>110</v>
      </c>
      <c r="AD850">
        <v>150</v>
      </c>
      <c r="AE850">
        <v>60</v>
      </c>
      <c r="AF850">
        <v>600</v>
      </c>
      <c r="AG850">
        <v>0</v>
      </c>
      <c r="AH850">
        <v>0</v>
      </c>
      <c r="AI850">
        <v>0</v>
      </c>
      <c r="AJ850">
        <v>0</v>
      </c>
      <c r="AK850">
        <v>3</v>
      </c>
      <c r="AL850">
        <v>0</v>
      </c>
    </row>
    <row r="851" spans="1:38" x14ac:dyDescent="0.25">
      <c r="A851" t="s">
        <v>2002</v>
      </c>
      <c r="B851" t="s">
        <v>2002</v>
      </c>
      <c r="C851" s="1">
        <v>707</v>
      </c>
      <c r="D851" s="1" t="s">
        <v>2001</v>
      </c>
      <c r="E851">
        <v>6</v>
      </c>
      <c r="F851">
        <v>0.2</v>
      </c>
      <c r="G851">
        <v>3</v>
      </c>
      <c r="H851" t="s">
        <v>171</v>
      </c>
      <c r="I851" t="s">
        <v>157</v>
      </c>
      <c r="J851" t="s">
        <v>726</v>
      </c>
      <c r="L851" t="s">
        <v>1872</v>
      </c>
      <c r="M851" t="s">
        <v>318</v>
      </c>
      <c r="N851">
        <v>50</v>
      </c>
      <c r="O851">
        <v>50</v>
      </c>
      <c r="P851">
        <v>0</v>
      </c>
      <c r="Q851">
        <v>20</v>
      </c>
      <c r="R851" t="s">
        <v>339</v>
      </c>
      <c r="T851">
        <v>75</v>
      </c>
      <c r="U851">
        <v>165</v>
      </c>
      <c r="V851">
        <v>800000</v>
      </c>
      <c r="W851" t="s">
        <v>46</v>
      </c>
      <c r="Z851">
        <v>57</v>
      </c>
      <c r="AA851">
        <v>80</v>
      </c>
      <c r="AB851">
        <v>91</v>
      </c>
      <c r="AC851">
        <v>80</v>
      </c>
      <c r="AD851">
        <v>87</v>
      </c>
      <c r="AE851">
        <v>75</v>
      </c>
      <c r="AF851">
        <v>470</v>
      </c>
      <c r="AG851">
        <v>0</v>
      </c>
      <c r="AH851">
        <v>0</v>
      </c>
      <c r="AI851">
        <v>1</v>
      </c>
      <c r="AJ851">
        <v>0</v>
      </c>
      <c r="AK851">
        <v>0</v>
      </c>
      <c r="AL851">
        <v>0</v>
      </c>
    </row>
    <row r="852" spans="1:38" x14ac:dyDescent="0.25">
      <c r="A852" t="s">
        <v>2004</v>
      </c>
      <c r="B852" t="s">
        <v>2004</v>
      </c>
      <c r="C852" s="1">
        <v>708</v>
      </c>
      <c r="D852" s="1" t="s">
        <v>2003</v>
      </c>
      <c r="E852">
        <v>6</v>
      </c>
      <c r="F852">
        <v>0.4</v>
      </c>
      <c r="G852">
        <v>7</v>
      </c>
      <c r="H852" t="s">
        <v>419</v>
      </c>
      <c r="I852" t="s">
        <v>40</v>
      </c>
      <c r="J852" t="s">
        <v>490</v>
      </c>
      <c r="K852" t="s">
        <v>218</v>
      </c>
      <c r="L852" t="s">
        <v>455</v>
      </c>
      <c r="M852" t="s">
        <v>103</v>
      </c>
      <c r="N852">
        <v>50</v>
      </c>
      <c r="O852">
        <v>50</v>
      </c>
      <c r="P852">
        <v>0</v>
      </c>
      <c r="Q852">
        <v>20</v>
      </c>
      <c r="R852" t="s">
        <v>40</v>
      </c>
      <c r="S852" t="s">
        <v>403</v>
      </c>
      <c r="T852">
        <v>120</v>
      </c>
      <c r="U852">
        <v>62</v>
      </c>
      <c r="V852">
        <v>1000000</v>
      </c>
      <c r="W852" t="s">
        <v>46</v>
      </c>
      <c r="Z852">
        <v>43</v>
      </c>
      <c r="AA852">
        <v>70</v>
      </c>
      <c r="AB852">
        <v>48</v>
      </c>
      <c r="AC852">
        <v>50</v>
      </c>
      <c r="AD852">
        <v>60</v>
      </c>
      <c r="AE852">
        <v>38</v>
      </c>
      <c r="AF852">
        <v>309</v>
      </c>
      <c r="AG852">
        <v>0</v>
      </c>
      <c r="AH852">
        <v>1</v>
      </c>
      <c r="AI852">
        <v>0</v>
      </c>
      <c r="AJ852">
        <v>0</v>
      </c>
      <c r="AK852">
        <v>0</v>
      </c>
      <c r="AL852">
        <v>0</v>
      </c>
    </row>
    <row r="853" spans="1:38" x14ac:dyDescent="0.25">
      <c r="A853" t="s">
        <v>2006</v>
      </c>
      <c r="B853" t="s">
        <v>2006</v>
      </c>
      <c r="C853" s="1">
        <v>709</v>
      </c>
      <c r="D853" s="1" t="s">
        <v>2005</v>
      </c>
      <c r="E853">
        <v>6</v>
      </c>
      <c r="F853">
        <v>1.5</v>
      </c>
      <c r="G853">
        <v>71</v>
      </c>
      <c r="H853" t="s">
        <v>419</v>
      </c>
      <c r="I853" t="s">
        <v>40</v>
      </c>
      <c r="J853" t="s">
        <v>490</v>
      </c>
      <c r="K853" t="s">
        <v>218</v>
      </c>
      <c r="L853" t="s">
        <v>455</v>
      </c>
      <c r="M853" t="s">
        <v>103</v>
      </c>
      <c r="N853">
        <v>50</v>
      </c>
      <c r="O853">
        <v>50</v>
      </c>
      <c r="P853">
        <v>0</v>
      </c>
      <c r="Q853">
        <v>20</v>
      </c>
      <c r="R853" t="s">
        <v>40</v>
      </c>
      <c r="S853" t="s">
        <v>403</v>
      </c>
      <c r="T853">
        <v>60</v>
      </c>
      <c r="U853">
        <v>166</v>
      </c>
      <c r="V853">
        <v>1000000</v>
      </c>
      <c r="W853" t="s">
        <v>46</v>
      </c>
      <c r="Z853">
        <v>85</v>
      </c>
      <c r="AA853">
        <v>110</v>
      </c>
      <c r="AB853">
        <v>76</v>
      </c>
      <c r="AC853">
        <v>65</v>
      </c>
      <c r="AD853">
        <v>82</v>
      </c>
      <c r="AE853">
        <v>56</v>
      </c>
      <c r="AF853">
        <v>474</v>
      </c>
      <c r="AG853">
        <v>0</v>
      </c>
      <c r="AH853">
        <v>2</v>
      </c>
      <c r="AI853">
        <v>0</v>
      </c>
      <c r="AJ853">
        <v>0</v>
      </c>
      <c r="AK853">
        <v>0</v>
      </c>
      <c r="AL853">
        <v>0</v>
      </c>
    </row>
    <row r="854" spans="1:38" x14ac:dyDescent="0.25">
      <c r="A854" t="s">
        <v>2008</v>
      </c>
      <c r="B854" t="s">
        <v>2009</v>
      </c>
      <c r="C854" s="1">
        <v>710</v>
      </c>
      <c r="D854" s="1" t="s">
        <v>2007</v>
      </c>
      <c r="E854">
        <v>6</v>
      </c>
      <c r="F854">
        <v>0.4</v>
      </c>
      <c r="G854">
        <v>5</v>
      </c>
      <c r="H854" t="s">
        <v>419</v>
      </c>
      <c r="I854" t="s">
        <v>40</v>
      </c>
      <c r="J854" t="s">
        <v>257</v>
      </c>
      <c r="K854" t="s">
        <v>218</v>
      </c>
      <c r="L854" t="s">
        <v>434</v>
      </c>
      <c r="M854" t="s">
        <v>103</v>
      </c>
      <c r="N854">
        <v>50</v>
      </c>
      <c r="O854">
        <v>50</v>
      </c>
      <c r="P854">
        <v>0</v>
      </c>
      <c r="Q854">
        <v>20</v>
      </c>
      <c r="R854" t="s">
        <v>403</v>
      </c>
      <c r="T854">
        <v>120</v>
      </c>
      <c r="U854">
        <v>67</v>
      </c>
      <c r="V854">
        <v>1000000</v>
      </c>
      <c r="W854" t="s">
        <v>46</v>
      </c>
      <c r="Z854">
        <v>49</v>
      </c>
      <c r="AA854">
        <v>66</v>
      </c>
      <c r="AB854">
        <v>70</v>
      </c>
      <c r="AC854">
        <v>44</v>
      </c>
      <c r="AD854">
        <v>55</v>
      </c>
      <c r="AE854">
        <v>51</v>
      </c>
      <c r="AF854">
        <v>335</v>
      </c>
      <c r="AG854">
        <v>0</v>
      </c>
      <c r="AH854">
        <v>0</v>
      </c>
      <c r="AI854">
        <v>1</v>
      </c>
      <c r="AJ854">
        <v>0</v>
      </c>
      <c r="AK854">
        <v>0</v>
      </c>
      <c r="AL854">
        <v>0</v>
      </c>
    </row>
    <row r="855" spans="1:38" x14ac:dyDescent="0.25">
      <c r="A855" t="s">
        <v>2008</v>
      </c>
      <c r="B855" t="s">
        <v>2011</v>
      </c>
      <c r="C855" s="1">
        <v>710</v>
      </c>
      <c r="D855" s="1" t="s">
        <v>2010</v>
      </c>
      <c r="E855">
        <v>6</v>
      </c>
      <c r="F855">
        <v>0.3</v>
      </c>
      <c r="G855">
        <v>3.5</v>
      </c>
      <c r="H855" t="s">
        <v>419</v>
      </c>
      <c r="I855" t="s">
        <v>40</v>
      </c>
      <c r="J855" t="s">
        <v>257</v>
      </c>
      <c r="K855" t="s">
        <v>218</v>
      </c>
      <c r="L855" t="s">
        <v>434</v>
      </c>
      <c r="M855" t="s">
        <v>103</v>
      </c>
      <c r="N855">
        <v>50</v>
      </c>
      <c r="O855">
        <v>50</v>
      </c>
      <c r="P855">
        <v>0</v>
      </c>
      <c r="Q855">
        <v>20</v>
      </c>
      <c r="R855" t="s">
        <v>403</v>
      </c>
      <c r="T855">
        <v>120</v>
      </c>
      <c r="U855">
        <v>67</v>
      </c>
      <c r="V855">
        <v>1000000</v>
      </c>
      <c r="W855" t="s">
        <v>46</v>
      </c>
      <c r="Z855">
        <v>44</v>
      </c>
      <c r="AA855">
        <v>66</v>
      </c>
      <c r="AB855">
        <v>70</v>
      </c>
      <c r="AC855">
        <v>44</v>
      </c>
      <c r="AD855">
        <v>55</v>
      </c>
      <c r="AE855">
        <v>56</v>
      </c>
      <c r="AF855">
        <v>335</v>
      </c>
      <c r="AG855">
        <v>0</v>
      </c>
      <c r="AH855">
        <v>0</v>
      </c>
      <c r="AI855">
        <v>1</v>
      </c>
      <c r="AJ855">
        <v>0</v>
      </c>
      <c r="AK855">
        <v>0</v>
      </c>
      <c r="AL855">
        <v>0</v>
      </c>
    </row>
    <row r="856" spans="1:38" x14ac:dyDescent="0.25">
      <c r="A856" t="s">
        <v>2008</v>
      </c>
      <c r="B856" t="s">
        <v>2013</v>
      </c>
      <c r="C856" s="1">
        <v>710</v>
      </c>
      <c r="D856" s="1" t="s">
        <v>2012</v>
      </c>
      <c r="E856">
        <v>6</v>
      </c>
      <c r="F856">
        <v>0.5</v>
      </c>
      <c r="G856">
        <v>7.5</v>
      </c>
      <c r="H856" t="s">
        <v>419</v>
      </c>
      <c r="I856" t="s">
        <v>40</v>
      </c>
      <c r="J856" t="s">
        <v>257</v>
      </c>
      <c r="K856" t="s">
        <v>218</v>
      </c>
      <c r="L856" t="s">
        <v>434</v>
      </c>
      <c r="M856" t="s">
        <v>103</v>
      </c>
      <c r="N856">
        <v>50</v>
      </c>
      <c r="O856">
        <v>50</v>
      </c>
      <c r="P856">
        <v>0</v>
      </c>
      <c r="Q856">
        <v>20</v>
      </c>
      <c r="R856" t="s">
        <v>403</v>
      </c>
      <c r="T856">
        <v>120</v>
      </c>
      <c r="U856">
        <v>67</v>
      </c>
      <c r="V856">
        <v>1000000</v>
      </c>
      <c r="W856" t="s">
        <v>46</v>
      </c>
      <c r="Z856">
        <v>54</v>
      </c>
      <c r="AA856">
        <v>66</v>
      </c>
      <c r="AB856">
        <v>70</v>
      </c>
      <c r="AC856">
        <v>44</v>
      </c>
      <c r="AD856">
        <v>55</v>
      </c>
      <c r="AE856">
        <v>46</v>
      </c>
      <c r="AF856">
        <v>335</v>
      </c>
      <c r="AG856">
        <v>0</v>
      </c>
      <c r="AH856">
        <v>0</v>
      </c>
      <c r="AI856">
        <v>1</v>
      </c>
      <c r="AJ856">
        <v>0</v>
      </c>
      <c r="AK856">
        <v>0</v>
      </c>
      <c r="AL856">
        <v>0</v>
      </c>
    </row>
    <row r="857" spans="1:38" x14ac:dyDescent="0.25">
      <c r="A857" t="s">
        <v>2008</v>
      </c>
      <c r="B857" t="s">
        <v>2015</v>
      </c>
      <c r="C857" s="1">
        <v>710</v>
      </c>
      <c r="D857" s="1" t="s">
        <v>2014</v>
      </c>
      <c r="E857">
        <v>6</v>
      </c>
      <c r="F857">
        <v>0.8</v>
      </c>
      <c r="G857">
        <v>15</v>
      </c>
      <c r="H857" t="s">
        <v>419</v>
      </c>
      <c r="I857" t="s">
        <v>40</v>
      </c>
      <c r="J857" t="s">
        <v>257</v>
      </c>
      <c r="K857" t="s">
        <v>218</v>
      </c>
      <c r="L857" t="s">
        <v>434</v>
      </c>
      <c r="M857" t="s">
        <v>103</v>
      </c>
      <c r="N857">
        <v>50</v>
      </c>
      <c r="O857">
        <v>50</v>
      </c>
      <c r="P857">
        <v>0</v>
      </c>
      <c r="Q857">
        <v>20</v>
      </c>
      <c r="R857" t="s">
        <v>403</v>
      </c>
      <c r="T857">
        <v>120</v>
      </c>
      <c r="U857">
        <v>67</v>
      </c>
      <c r="V857">
        <v>1000000</v>
      </c>
      <c r="W857" t="s">
        <v>46</v>
      </c>
      <c r="Z857">
        <v>59</v>
      </c>
      <c r="AA857">
        <v>66</v>
      </c>
      <c r="AB857">
        <v>70</v>
      </c>
      <c r="AC857">
        <v>44</v>
      </c>
      <c r="AD857">
        <v>55</v>
      </c>
      <c r="AE857">
        <v>41</v>
      </c>
      <c r="AF857">
        <v>335</v>
      </c>
      <c r="AG857">
        <v>0</v>
      </c>
      <c r="AH857">
        <v>0</v>
      </c>
      <c r="AI857">
        <v>1</v>
      </c>
      <c r="AJ857">
        <v>0</v>
      </c>
      <c r="AK857">
        <v>0</v>
      </c>
      <c r="AL857">
        <v>0</v>
      </c>
    </row>
    <row r="858" spans="1:38" x14ac:dyDescent="0.25">
      <c r="A858" t="s">
        <v>2017</v>
      </c>
      <c r="B858" t="s">
        <v>2018</v>
      </c>
      <c r="C858" s="1">
        <v>711</v>
      </c>
      <c r="D858" s="1" t="s">
        <v>2016</v>
      </c>
      <c r="E858">
        <v>6</v>
      </c>
      <c r="F858">
        <v>0.9</v>
      </c>
      <c r="G858">
        <v>12.5</v>
      </c>
      <c r="H858" t="s">
        <v>419</v>
      </c>
      <c r="I858" t="s">
        <v>40</v>
      </c>
      <c r="J858" t="s">
        <v>257</v>
      </c>
      <c r="K858" t="s">
        <v>218</v>
      </c>
      <c r="L858" t="s">
        <v>434</v>
      </c>
      <c r="M858" t="s">
        <v>103</v>
      </c>
      <c r="N858">
        <v>50</v>
      </c>
      <c r="O858">
        <v>50</v>
      </c>
      <c r="P858">
        <v>0</v>
      </c>
      <c r="Q858">
        <v>20</v>
      </c>
      <c r="R858" t="s">
        <v>403</v>
      </c>
      <c r="T858">
        <v>60</v>
      </c>
      <c r="U858">
        <v>173</v>
      </c>
      <c r="V858">
        <v>1000000</v>
      </c>
      <c r="W858" t="s">
        <v>46</v>
      </c>
      <c r="Z858">
        <v>65</v>
      </c>
      <c r="AA858">
        <v>90</v>
      </c>
      <c r="AB858">
        <v>122</v>
      </c>
      <c r="AC858">
        <v>58</v>
      </c>
      <c r="AD858">
        <v>75</v>
      </c>
      <c r="AE858">
        <v>84</v>
      </c>
      <c r="AF858">
        <v>494</v>
      </c>
      <c r="AG858">
        <v>0</v>
      </c>
      <c r="AH858">
        <v>0</v>
      </c>
      <c r="AI858">
        <v>2</v>
      </c>
      <c r="AJ858">
        <v>0</v>
      </c>
      <c r="AK858">
        <v>0</v>
      </c>
      <c r="AL858">
        <v>0</v>
      </c>
    </row>
    <row r="859" spans="1:38" x14ac:dyDescent="0.25">
      <c r="A859" t="s">
        <v>2017</v>
      </c>
      <c r="B859" t="s">
        <v>2020</v>
      </c>
      <c r="C859" s="1">
        <v>711</v>
      </c>
      <c r="D859" s="1" t="s">
        <v>2019</v>
      </c>
      <c r="E859">
        <v>6</v>
      </c>
      <c r="F859">
        <v>0.7</v>
      </c>
      <c r="G859">
        <v>9.5</v>
      </c>
      <c r="H859" t="s">
        <v>419</v>
      </c>
      <c r="I859" t="s">
        <v>40</v>
      </c>
      <c r="J859" t="s">
        <v>257</v>
      </c>
      <c r="K859" t="s">
        <v>218</v>
      </c>
      <c r="L859" t="s">
        <v>434</v>
      </c>
      <c r="M859" t="s">
        <v>103</v>
      </c>
      <c r="N859">
        <v>50</v>
      </c>
      <c r="O859">
        <v>50</v>
      </c>
      <c r="P859">
        <v>0</v>
      </c>
      <c r="Q859">
        <v>20</v>
      </c>
      <c r="R859" t="s">
        <v>403</v>
      </c>
      <c r="T859">
        <v>60</v>
      </c>
      <c r="U859">
        <v>173</v>
      </c>
      <c r="V859">
        <v>1000000</v>
      </c>
      <c r="W859" t="s">
        <v>46</v>
      </c>
      <c r="Z859">
        <v>55</v>
      </c>
      <c r="AA859">
        <v>85</v>
      </c>
      <c r="AB859">
        <v>122</v>
      </c>
      <c r="AC859">
        <v>58</v>
      </c>
      <c r="AD859">
        <v>75</v>
      </c>
      <c r="AE859">
        <v>99</v>
      </c>
      <c r="AF859">
        <v>494</v>
      </c>
      <c r="AG859">
        <v>0</v>
      </c>
      <c r="AH859">
        <v>0</v>
      </c>
      <c r="AI859">
        <v>2</v>
      </c>
      <c r="AJ859">
        <v>0</v>
      </c>
      <c r="AK859">
        <v>0</v>
      </c>
      <c r="AL859">
        <v>0</v>
      </c>
    </row>
    <row r="860" spans="1:38" x14ac:dyDescent="0.25">
      <c r="A860" t="s">
        <v>2017</v>
      </c>
      <c r="B860" t="s">
        <v>2022</v>
      </c>
      <c r="C860" s="1">
        <v>711</v>
      </c>
      <c r="D860" s="1" t="s">
        <v>2021</v>
      </c>
      <c r="E860">
        <v>6</v>
      </c>
      <c r="F860">
        <v>1.1000000000000001</v>
      </c>
      <c r="G860">
        <v>14</v>
      </c>
      <c r="H860" t="s">
        <v>419</v>
      </c>
      <c r="I860" t="s">
        <v>40</v>
      </c>
      <c r="J860" t="s">
        <v>257</v>
      </c>
      <c r="K860" t="s">
        <v>218</v>
      </c>
      <c r="L860" t="s">
        <v>434</v>
      </c>
      <c r="M860" t="s">
        <v>103</v>
      </c>
      <c r="N860">
        <v>50</v>
      </c>
      <c r="O860">
        <v>50</v>
      </c>
      <c r="P860">
        <v>0</v>
      </c>
      <c r="Q860">
        <v>20</v>
      </c>
      <c r="R860" t="s">
        <v>403</v>
      </c>
      <c r="T860">
        <v>60</v>
      </c>
      <c r="U860">
        <v>173</v>
      </c>
      <c r="V860">
        <v>1000000</v>
      </c>
      <c r="W860" t="s">
        <v>46</v>
      </c>
      <c r="Z860">
        <v>75</v>
      </c>
      <c r="AA860">
        <v>95</v>
      </c>
      <c r="AB860">
        <v>122</v>
      </c>
      <c r="AC860">
        <v>58</v>
      </c>
      <c r="AD860">
        <v>75</v>
      </c>
      <c r="AE860">
        <v>69</v>
      </c>
      <c r="AF860">
        <v>494</v>
      </c>
      <c r="AG860">
        <v>0</v>
      </c>
      <c r="AH860">
        <v>0</v>
      </c>
      <c r="AI860">
        <v>2</v>
      </c>
      <c r="AJ860">
        <v>0</v>
      </c>
      <c r="AK860">
        <v>0</v>
      </c>
      <c r="AL860">
        <v>0</v>
      </c>
    </row>
    <row r="861" spans="1:38" x14ac:dyDescent="0.25">
      <c r="A861" t="s">
        <v>2017</v>
      </c>
      <c r="B861" t="s">
        <v>2024</v>
      </c>
      <c r="C861" s="1">
        <v>711</v>
      </c>
      <c r="D861" s="1" t="s">
        <v>2023</v>
      </c>
      <c r="E861">
        <v>6</v>
      </c>
      <c r="F861">
        <v>1.7</v>
      </c>
      <c r="G861">
        <v>39</v>
      </c>
      <c r="H861" t="s">
        <v>419</v>
      </c>
      <c r="I861" t="s">
        <v>40</v>
      </c>
      <c r="J861" t="s">
        <v>257</v>
      </c>
      <c r="K861" t="s">
        <v>218</v>
      </c>
      <c r="L861" t="s">
        <v>434</v>
      </c>
      <c r="M861" t="s">
        <v>103</v>
      </c>
      <c r="N861">
        <v>50</v>
      </c>
      <c r="O861">
        <v>50</v>
      </c>
      <c r="P861">
        <v>0</v>
      </c>
      <c r="Q861">
        <v>20</v>
      </c>
      <c r="R861" t="s">
        <v>403</v>
      </c>
      <c r="T861">
        <v>60</v>
      </c>
      <c r="U861">
        <v>173</v>
      </c>
      <c r="V861">
        <v>1000000</v>
      </c>
      <c r="W861" t="s">
        <v>46</v>
      </c>
      <c r="Z861">
        <v>85</v>
      </c>
      <c r="AA861">
        <v>100</v>
      </c>
      <c r="AB861">
        <v>122</v>
      </c>
      <c r="AC861">
        <v>58</v>
      </c>
      <c r="AD861">
        <v>75</v>
      </c>
      <c r="AE861">
        <v>54</v>
      </c>
      <c r="AF861">
        <v>494</v>
      </c>
      <c r="AG861">
        <v>0</v>
      </c>
      <c r="AH861">
        <v>0</v>
      </c>
      <c r="AI861">
        <v>2</v>
      </c>
      <c r="AJ861">
        <v>0</v>
      </c>
      <c r="AK861">
        <v>0</v>
      </c>
      <c r="AL861">
        <v>0</v>
      </c>
    </row>
    <row r="862" spans="1:38" x14ac:dyDescent="0.25">
      <c r="A862" t="s">
        <v>2026</v>
      </c>
      <c r="B862" t="s">
        <v>2026</v>
      </c>
      <c r="C862" s="1">
        <v>712</v>
      </c>
      <c r="D862" s="1" t="s">
        <v>2025</v>
      </c>
      <c r="E862">
        <v>6</v>
      </c>
      <c r="F862">
        <v>1</v>
      </c>
      <c r="G862">
        <v>99.5</v>
      </c>
      <c r="H862" t="s">
        <v>170</v>
      </c>
      <c r="J862" t="s">
        <v>366</v>
      </c>
      <c r="K862" t="s">
        <v>396</v>
      </c>
      <c r="L862" t="s">
        <v>338</v>
      </c>
      <c r="M862" t="s">
        <v>79</v>
      </c>
      <c r="N862">
        <v>50</v>
      </c>
      <c r="O862">
        <v>50</v>
      </c>
      <c r="P862">
        <v>0</v>
      </c>
      <c r="Q862">
        <v>20</v>
      </c>
      <c r="R862" t="s">
        <v>45</v>
      </c>
      <c r="S862" t="s">
        <v>339</v>
      </c>
      <c r="T862">
        <v>190</v>
      </c>
      <c r="U862">
        <v>61</v>
      </c>
      <c r="V862">
        <v>1000000</v>
      </c>
      <c r="W862" t="s">
        <v>46</v>
      </c>
      <c r="Z862">
        <v>55</v>
      </c>
      <c r="AA862">
        <v>69</v>
      </c>
      <c r="AB862">
        <v>85</v>
      </c>
      <c r="AC862">
        <v>32</v>
      </c>
      <c r="AD862">
        <v>35</v>
      </c>
      <c r="AE862">
        <v>28</v>
      </c>
      <c r="AF862">
        <v>304</v>
      </c>
      <c r="AG862">
        <v>0</v>
      </c>
      <c r="AH862">
        <v>0</v>
      </c>
      <c r="AI862">
        <v>1</v>
      </c>
      <c r="AJ862">
        <v>0</v>
      </c>
      <c r="AK862">
        <v>0</v>
      </c>
      <c r="AL862">
        <v>0</v>
      </c>
    </row>
    <row r="863" spans="1:38" x14ac:dyDescent="0.25">
      <c r="A863" t="s">
        <v>2028</v>
      </c>
      <c r="B863" t="s">
        <v>2028</v>
      </c>
      <c r="C863" s="1">
        <v>713</v>
      </c>
      <c r="D863" s="1" t="s">
        <v>2027</v>
      </c>
      <c r="E863">
        <v>6</v>
      </c>
      <c r="F863">
        <v>2</v>
      </c>
      <c r="G863">
        <v>505</v>
      </c>
      <c r="H863" t="s">
        <v>170</v>
      </c>
      <c r="J863" t="s">
        <v>366</v>
      </c>
      <c r="K863" t="s">
        <v>396</v>
      </c>
      <c r="L863" t="s">
        <v>338</v>
      </c>
      <c r="M863" t="s">
        <v>79</v>
      </c>
      <c r="N863">
        <v>50</v>
      </c>
      <c r="O863">
        <v>50</v>
      </c>
      <c r="P863">
        <v>0</v>
      </c>
      <c r="Q863">
        <v>20</v>
      </c>
      <c r="R863" t="s">
        <v>45</v>
      </c>
      <c r="S863" t="s">
        <v>339</v>
      </c>
      <c r="T863">
        <v>55</v>
      </c>
      <c r="U863">
        <v>180</v>
      </c>
      <c r="V863">
        <v>1000000</v>
      </c>
      <c r="W863" t="s">
        <v>46</v>
      </c>
      <c r="Z863">
        <v>95</v>
      </c>
      <c r="AA863">
        <v>117</v>
      </c>
      <c r="AB863">
        <v>184</v>
      </c>
      <c r="AC863">
        <v>44</v>
      </c>
      <c r="AD863">
        <v>46</v>
      </c>
      <c r="AE863">
        <v>28</v>
      </c>
      <c r="AF863">
        <v>514</v>
      </c>
      <c r="AG863">
        <v>0</v>
      </c>
      <c r="AH863">
        <v>0</v>
      </c>
      <c r="AI863">
        <v>2</v>
      </c>
      <c r="AJ863">
        <v>0</v>
      </c>
      <c r="AK863">
        <v>0</v>
      </c>
      <c r="AL863">
        <v>0</v>
      </c>
    </row>
    <row r="864" spans="1:38" x14ac:dyDescent="0.25">
      <c r="A864" t="s">
        <v>2028</v>
      </c>
      <c r="B864" t="s">
        <v>2030</v>
      </c>
      <c r="C864" s="1">
        <v>713</v>
      </c>
      <c r="D864" s="1" t="s">
        <v>2029</v>
      </c>
      <c r="E864">
        <v>8</v>
      </c>
      <c r="F864">
        <v>1.4</v>
      </c>
      <c r="G864">
        <v>262.39999999999998</v>
      </c>
      <c r="H864" t="s">
        <v>170</v>
      </c>
      <c r="I864" t="s">
        <v>290</v>
      </c>
      <c r="J864" t="s">
        <v>1031</v>
      </c>
      <c r="K864" t="s">
        <v>396</v>
      </c>
      <c r="L864" t="s">
        <v>338</v>
      </c>
      <c r="M864" t="s">
        <v>79</v>
      </c>
      <c r="N864">
        <v>50</v>
      </c>
      <c r="O864">
        <v>50</v>
      </c>
      <c r="P864">
        <v>0</v>
      </c>
      <c r="Q864">
        <v>20</v>
      </c>
      <c r="R864" t="s">
        <v>45</v>
      </c>
      <c r="S864" t="s">
        <v>339</v>
      </c>
      <c r="T864">
        <v>55</v>
      </c>
      <c r="U864">
        <v>180</v>
      </c>
      <c r="V864">
        <v>1000000</v>
      </c>
      <c r="W864" t="s">
        <v>46</v>
      </c>
      <c r="Y864" t="s">
        <v>292</v>
      </c>
      <c r="Z864">
        <v>95</v>
      </c>
      <c r="AA864">
        <v>127</v>
      </c>
      <c r="AB864">
        <v>184</v>
      </c>
      <c r="AC864">
        <v>34</v>
      </c>
      <c r="AD864">
        <v>36</v>
      </c>
      <c r="AE864">
        <v>38</v>
      </c>
      <c r="AF864">
        <v>514</v>
      </c>
      <c r="AG864">
        <v>0</v>
      </c>
      <c r="AH864">
        <v>0</v>
      </c>
      <c r="AI864">
        <v>2</v>
      </c>
      <c r="AJ864">
        <v>0</v>
      </c>
      <c r="AK864">
        <v>0</v>
      </c>
      <c r="AL864">
        <v>0</v>
      </c>
    </row>
    <row r="865" spans="1:38" x14ac:dyDescent="0.25">
      <c r="A865" t="s">
        <v>2032</v>
      </c>
      <c r="B865" t="s">
        <v>2032</v>
      </c>
      <c r="C865" s="1">
        <v>714</v>
      </c>
      <c r="D865" s="1" t="s">
        <v>2031</v>
      </c>
      <c r="E865">
        <v>6</v>
      </c>
      <c r="F865">
        <v>0.5</v>
      </c>
      <c r="G865">
        <v>8</v>
      </c>
      <c r="H865" t="s">
        <v>66</v>
      </c>
      <c r="I865" t="s">
        <v>61</v>
      </c>
      <c r="J865" t="s">
        <v>218</v>
      </c>
      <c r="K865" t="s">
        <v>222</v>
      </c>
      <c r="L865" t="s">
        <v>738</v>
      </c>
      <c r="M865" t="s">
        <v>131</v>
      </c>
      <c r="N865">
        <v>50</v>
      </c>
      <c r="O865">
        <v>50</v>
      </c>
      <c r="P865">
        <v>0</v>
      </c>
      <c r="Q865">
        <v>20</v>
      </c>
      <c r="R865" t="s">
        <v>66</v>
      </c>
      <c r="S865" t="s">
        <v>61</v>
      </c>
      <c r="T865">
        <v>190</v>
      </c>
      <c r="U865">
        <v>49</v>
      </c>
      <c r="V865">
        <v>1000000</v>
      </c>
      <c r="W865" t="s">
        <v>46</v>
      </c>
      <c r="Z865">
        <v>40</v>
      </c>
      <c r="AA865">
        <v>30</v>
      </c>
      <c r="AB865">
        <v>35</v>
      </c>
      <c r="AC865">
        <v>45</v>
      </c>
      <c r="AD865">
        <v>40</v>
      </c>
      <c r="AE865">
        <v>55</v>
      </c>
      <c r="AF865">
        <v>245</v>
      </c>
      <c r="AG865">
        <v>0</v>
      </c>
      <c r="AH865">
        <v>0</v>
      </c>
      <c r="AI865">
        <v>0</v>
      </c>
      <c r="AJ865">
        <v>0</v>
      </c>
      <c r="AK865">
        <v>0</v>
      </c>
      <c r="AL865">
        <v>1</v>
      </c>
    </row>
    <row r="866" spans="1:38" x14ac:dyDescent="0.25">
      <c r="A866" t="s">
        <v>2034</v>
      </c>
      <c r="B866" t="s">
        <v>2034</v>
      </c>
      <c r="C866" s="1">
        <v>715</v>
      </c>
      <c r="D866" s="1" t="s">
        <v>2033</v>
      </c>
      <c r="E866">
        <v>6</v>
      </c>
      <c r="F866">
        <v>1.5</v>
      </c>
      <c r="G866">
        <v>85</v>
      </c>
      <c r="H866" t="s">
        <v>66</v>
      </c>
      <c r="I866" t="s">
        <v>61</v>
      </c>
      <c r="J866" t="s">
        <v>218</v>
      </c>
      <c r="K866" t="s">
        <v>222</v>
      </c>
      <c r="L866" t="s">
        <v>738</v>
      </c>
      <c r="M866" t="s">
        <v>131</v>
      </c>
      <c r="N866">
        <v>50</v>
      </c>
      <c r="O866">
        <v>50</v>
      </c>
      <c r="P866">
        <v>0</v>
      </c>
      <c r="Q866">
        <v>20</v>
      </c>
      <c r="R866" t="s">
        <v>66</v>
      </c>
      <c r="S866" t="s">
        <v>61</v>
      </c>
      <c r="T866">
        <v>45</v>
      </c>
      <c r="U866">
        <v>187</v>
      </c>
      <c r="V866">
        <v>1000000</v>
      </c>
      <c r="W866" t="s">
        <v>46</v>
      </c>
      <c r="Z866">
        <v>85</v>
      </c>
      <c r="AA866">
        <v>70</v>
      </c>
      <c r="AB866">
        <v>80</v>
      </c>
      <c r="AC866">
        <v>97</v>
      </c>
      <c r="AD866">
        <v>80</v>
      </c>
      <c r="AE866">
        <v>123</v>
      </c>
      <c r="AF866">
        <v>535</v>
      </c>
      <c r="AG866">
        <v>0</v>
      </c>
      <c r="AH866">
        <v>0</v>
      </c>
      <c r="AI866">
        <v>0</v>
      </c>
      <c r="AJ866">
        <v>0</v>
      </c>
      <c r="AK866">
        <v>0</v>
      </c>
      <c r="AL866">
        <v>2</v>
      </c>
    </row>
    <row r="867" spans="1:38" x14ac:dyDescent="0.25">
      <c r="A867" t="s">
        <v>2036</v>
      </c>
      <c r="B867" t="s">
        <v>2036</v>
      </c>
      <c r="C867" s="1">
        <v>716</v>
      </c>
      <c r="D867" s="1" t="s">
        <v>2035</v>
      </c>
      <c r="E867">
        <v>6</v>
      </c>
      <c r="F867">
        <v>3</v>
      </c>
      <c r="G867">
        <v>215</v>
      </c>
      <c r="H867" t="s">
        <v>157</v>
      </c>
      <c r="J867" t="s">
        <v>2037</v>
      </c>
      <c r="M867" t="s">
        <v>79</v>
      </c>
      <c r="N867">
        <v>0</v>
      </c>
      <c r="O867">
        <v>0</v>
      </c>
      <c r="P867">
        <v>100</v>
      </c>
      <c r="Q867">
        <v>120</v>
      </c>
      <c r="R867" t="s">
        <v>184</v>
      </c>
      <c r="T867">
        <v>45</v>
      </c>
      <c r="U867">
        <v>340</v>
      </c>
      <c r="V867">
        <v>1250000</v>
      </c>
      <c r="W867" t="s">
        <v>611</v>
      </c>
      <c r="Z867">
        <v>126</v>
      </c>
      <c r="AA867">
        <v>131</v>
      </c>
      <c r="AB867">
        <v>95</v>
      </c>
      <c r="AC867">
        <v>131</v>
      </c>
      <c r="AD867">
        <v>98</v>
      </c>
      <c r="AE867">
        <v>99</v>
      </c>
      <c r="AF867">
        <v>680</v>
      </c>
      <c r="AG867">
        <v>3</v>
      </c>
      <c r="AH867">
        <v>0</v>
      </c>
      <c r="AI867">
        <v>0</v>
      </c>
      <c r="AJ867">
        <v>0</v>
      </c>
      <c r="AK867">
        <v>0</v>
      </c>
      <c r="AL867">
        <v>0</v>
      </c>
    </row>
    <row r="868" spans="1:38" x14ac:dyDescent="0.25">
      <c r="A868" t="s">
        <v>2039</v>
      </c>
      <c r="B868" t="s">
        <v>2039</v>
      </c>
      <c r="C868" s="1">
        <v>717</v>
      </c>
      <c r="D868" s="1" t="s">
        <v>2038</v>
      </c>
      <c r="E868">
        <v>6</v>
      </c>
      <c r="F868">
        <v>5.8</v>
      </c>
      <c r="G868">
        <v>203</v>
      </c>
      <c r="H868" t="s">
        <v>135</v>
      </c>
      <c r="I868" t="s">
        <v>66</v>
      </c>
      <c r="J868" t="s">
        <v>2040</v>
      </c>
      <c r="M868" t="s">
        <v>60</v>
      </c>
      <c r="N868">
        <v>0</v>
      </c>
      <c r="O868">
        <v>0</v>
      </c>
      <c r="P868">
        <v>100</v>
      </c>
      <c r="Q868">
        <v>120</v>
      </c>
      <c r="R868" t="s">
        <v>184</v>
      </c>
      <c r="T868">
        <v>45</v>
      </c>
      <c r="U868">
        <v>340</v>
      </c>
      <c r="V868">
        <v>1250000</v>
      </c>
      <c r="W868" t="s">
        <v>611</v>
      </c>
      <c r="Z868">
        <v>126</v>
      </c>
      <c r="AA868">
        <v>131</v>
      </c>
      <c r="AB868">
        <v>95</v>
      </c>
      <c r="AC868">
        <v>131</v>
      </c>
      <c r="AD868">
        <v>98</v>
      </c>
      <c r="AE868">
        <v>99</v>
      </c>
      <c r="AF868">
        <v>680</v>
      </c>
      <c r="AG868">
        <v>3</v>
      </c>
      <c r="AH868">
        <v>0</v>
      </c>
      <c r="AI868">
        <v>0</v>
      </c>
      <c r="AJ868">
        <v>0</v>
      </c>
      <c r="AK868">
        <v>0</v>
      </c>
      <c r="AL868">
        <v>0</v>
      </c>
    </row>
    <row r="869" spans="1:38" x14ac:dyDescent="0.25">
      <c r="A869" t="s">
        <v>2042</v>
      </c>
      <c r="B869" t="s">
        <v>2043</v>
      </c>
      <c r="C869" s="1">
        <v>718</v>
      </c>
      <c r="D869" s="1" t="s">
        <v>2041</v>
      </c>
      <c r="E869">
        <v>6</v>
      </c>
      <c r="F869">
        <v>5</v>
      </c>
      <c r="G869">
        <v>305</v>
      </c>
      <c r="H869" t="s">
        <v>61</v>
      </c>
      <c r="I869" t="s">
        <v>132</v>
      </c>
      <c r="J869" t="s">
        <v>2044</v>
      </c>
      <c r="M869" t="s">
        <v>44</v>
      </c>
      <c r="N869">
        <v>0</v>
      </c>
      <c r="O869">
        <v>0</v>
      </c>
      <c r="P869">
        <v>100</v>
      </c>
      <c r="Q869">
        <v>120</v>
      </c>
      <c r="R869" t="s">
        <v>184</v>
      </c>
      <c r="T869">
        <v>3</v>
      </c>
      <c r="U869">
        <v>300</v>
      </c>
      <c r="V869">
        <v>1250000</v>
      </c>
      <c r="W869" t="s">
        <v>611</v>
      </c>
      <c r="Z869">
        <v>108</v>
      </c>
      <c r="AA869">
        <v>100</v>
      </c>
      <c r="AB869">
        <v>121</v>
      </c>
      <c r="AC869">
        <v>81</v>
      </c>
      <c r="AD869">
        <v>95</v>
      </c>
      <c r="AE869">
        <v>95</v>
      </c>
      <c r="AF869">
        <v>600</v>
      </c>
      <c r="AG869">
        <v>3</v>
      </c>
      <c r="AH869">
        <v>0</v>
      </c>
      <c r="AI869">
        <v>0</v>
      </c>
      <c r="AJ869">
        <v>0</v>
      </c>
      <c r="AK869">
        <v>0</v>
      </c>
      <c r="AL869">
        <v>0</v>
      </c>
    </row>
    <row r="870" spans="1:38" x14ac:dyDescent="0.25">
      <c r="A870" t="s">
        <v>2042</v>
      </c>
      <c r="B870" t="s">
        <v>2046</v>
      </c>
      <c r="C870" s="1">
        <v>718</v>
      </c>
      <c r="D870" s="1" t="s">
        <v>2045</v>
      </c>
      <c r="E870">
        <v>6</v>
      </c>
      <c r="F870">
        <v>1.2</v>
      </c>
      <c r="G870">
        <v>33.5</v>
      </c>
      <c r="H870" t="s">
        <v>61</v>
      </c>
      <c r="I870" t="s">
        <v>132</v>
      </c>
      <c r="J870" t="s">
        <v>2044</v>
      </c>
      <c r="M870" t="s">
        <v>70</v>
      </c>
      <c r="N870">
        <v>0</v>
      </c>
      <c r="O870">
        <v>0</v>
      </c>
      <c r="P870">
        <v>100</v>
      </c>
      <c r="Q870">
        <v>120</v>
      </c>
      <c r="R870" t="s">
        <v>184</v>
      </c>
      <c r="T870">
        <v>3</v>
      </c>
      <c r="U870">
        <v>243</v>
      </c>
      <c r="V870">
        <v>1250000</v>
      </c>
      <c r="W870" t="s">
        <v>611</v>
      </c>
      <c r="Z870">
        <v>54</v>
      </c>
      <c r="AA870">
        <v>100</v>
      </c>
      <c r="AB870">
        <v>71</v>
      </c>
      <c r="AC870">
        <v>61</v>
      </c>
      <c r="AD870">
        <v>85</v>
      </c>
      <c r="AE870">
        <v>115</v>
      </c>
      <c r="AF870">
        <v>486</v>
      </c>
      <c r="AG870">
        <v>3</v>
      </c>
      <c r="AH870">
        <v>0</v>
      </c>
      <c r="AI870">
        <v>0</v>
      </c>
      <c r="AJ870">
        <v>0</v>
      </c>
      <c r="AK870">
        <v>0</v>
      </c>
      <c r="AL870">
        <v>0</v>
      </c>
    </row>
    <row r="871" spans="1:38" x14ac:dyDescent="0.25">
      <c r="A871" t="s">
        <v>2042</v>
      </c>
      <c r="B871" t="s">
        <v>2048</v>
      </c>
      <c r="C871" s="1">
        <v>718</v>
      </c>
      <c r="D871" s="1" t="s">
        <v>2047</v>
      </c>
      <c r="E871">
        <v>6</v>
      </c>
      <c r="F871">
        <v>4.5</v>
      </c>
      <c r="G871">
        <v>610</v>
      </c>
      <c r="H871" t="s">
        <v>61</v>
      </c>
      <c r="I871" t="s">
        <v>132</v>
      </c>
      <c r="J871" t="s">
        <v>2049</v>
      </c>
      <c r="M871" t="s">
        <v>70</v>
      </c>
      <c r="N871">
        <v>0</v>
      </c>
      <c r="O871">
        <v>0</v>
      </c>
      <c r="P871">
        <v>100</v>
      </c>
      <c r="Q871">
        <v>120</v>
      </c>
      <c r="R871" t="s">
        <v>184</v>
      </c>
      <c r="T871">
        <v>3</v>
      </c>
      <c r="U871">
        <v>354</v>
      </c>
      <c r="V871">
        <v>1250000</v>
      </c>
      <c r="W871" t="s">
        <v>611</v>
      </c>
      <c r="Z871">
        <v>216</v>
      </c>
      <c r="AA871">
        <v>100</v>
      </c>
      <c r="AB871">
        <v>121</v>
      </c>
      <c r="AC871">
        <v>91</v>
      </c>
      <c r="AD871">
        <v>95</v>
      </c>
      <c r="AE871">
        <v>85</v>
      </c>
      <c r="AF871">
        <v>708</v>
      </c>
      <c r="AG871">
        <v>3</v>
      </c>
      <c r="AH871">
        <v>0</v>
      </c>
      <c r="AI871">
        <v>0</v>
      </c>
      <c r="AJ871">
        <v>0</v>
      </c>
      <c r="AK871">
        <v>0</v>
      </c>
      <c r="AL871">
        <v>0</v>
      </c>
    </row>
    <row r="872" spans="1:38" x14ac:dyDescent="0.25">
      <c r="A872" t="s">
        <v>2051</v>
      </c>
      <c r="B872" t="s">
        <v>2051</v>
      </c>
      <c r="C872" s="1">
        <v>719</v>
      </c>
      <c r="D872" s="1" t="s">
        <v>2050</v>
      </c>
      <c r="E872">
        <v>6</v>
      </c>
      <c r="F872">
        <v>0.7</v>
      </c>
      <c r="G872">
        <v>8.8000000000000007</v>
      </c>
      <c r="H872" t="s">
        <v>290</v>
      </c>
      <c r="I872" t="s">
        <v>157</v>
      </c>
      <c r="J872" t="s">
        <v>331</v>
      </c>
      <c r="M872" t="s">
        <v>199</v>
      </c>
      <c r="N872">
        <v>0</v>
      </c>
      <c r="O872">
        <v>0</v>
      </c>
      <c r="P872">
        <v>100</v>
      </c>
      <c r="Q872">
        <v>25</v>
      </c>
      <c r="R872" t="s">
        <v>184</v>
      </c>
      <c r="T872">
        <v>3</v>
      </c>
      <c r="U872">
        <v>300</v>
      </c>
      <c r="V872">
        <v>1250000</v>
      </c>
      <c r="W872" t="s">
        <v>618</v>
      </c>
      <c r="Z872">
        <v>50</v>
      </c>
      <c r="AA872">
        <v>100</v>
      </c>
      <c r="AB872">
        <v>150</v>
      </c>
      <c r="AC872">
        <v>100</v>
      </c>
      <c r="AD872">
        <v>150</v>
      </c>
      <c r="AE872">
        <v>50</v>
      </c>
      <c r="AF872">
        <v>600</v>
      </c>
      <c r="AG872">
        <v>0</v>
      </c>
      <c r="AH872">
        <v>0</v>
      </c>
      <c r="AI872">
        <v>1</v>
      </c>
      <c r="AJ872">
        <v>0</v>
      </c>
      <c r="AK872">
        <v>2</v>
      </c>
      <c r="AL872">
        <v>0</v>
      </c>
    </row>
    <row r="873" spans="1:38" x14ac:dyDescent="0.25">
      <c r="A873" t="s">
        <v>2051</v>
      </c>
      <c r="B873" t="s">
        <v>2053</v>
      </c>
      <c r="C873" s="1">
        <v>719</v>
      </c>
      <c r="D873" s="1" t="s">
        <v>2052</v>
      </c>
      <c r="E873">
        <v>6</v>
      </c>
      <c r="F873">
        <v>1.1000000000000001</v>
      </c>
      <c r="G873">
        <v>27.8</v>
      </c>
      <c r="H873" t="s">
        <v>290</v>
      </c>
      <c r="I873" t="s">
        <v>157</v>
      </c>
      <c r="J873" t="s">
        <v>674</v>
      </c>
      <c r="M873" t="s">
        <v>199</v>
      </c>
      <c r="N873">
        <v>0</v>
      </c>
      <c r="O873">
        <v>0</v>
      </c>
      <c r="P873">
        <v>100</v>
      </c>
      <c r="Q873">
        <v>25</v>
      </c>
      <c r="R873" t="s">
        <v>184</v>
      </c>
      <c r="T873">
        <v>3</v>
      </c>
      <c r="U873">
        <v>315</v>
      </c>
      <c r="V873">
        <v>1250000</v>
      </c>
      <c r="W873" t="s">
        <v>618</v>
      </c>
      <c r="X873" t="s">
        <v>54</v>
      </c>
      <c r="Z873">
        <v>50</v>
      </c>
      <c r="AA873">
        <v>160</v>
      </c>
      <c r="AB873">
        <v>110</v>
      </c>
      <c r="AC873">
        <v>160</v>
      </c>
      <c r="AD873">
        <v>110</v>
      </c>
      <c r="AE873">
        <v>110</v>
      </c>
      <c r="AF873">
        <v>700</v>
      </c>
      <c r="AG873">
        <v>0</v>
      </c>
      <c r="AH873">
        <v>0</v>
      </c>
      <c r="AI873">
        <v>1</v>
      </c>
      <c r="AJ873">
        <v>0</v>
      </c>
      <c r="AK873">
        <v>2</v>
      </c>
      <c r="AL873">
        <v>0</v>
      </c>
    </row>
    <row r="874" spans="1:38" x14ac:dyDescent="0.25">
      <c r="A874" t="s">
        <v>2055</v>
      </c>
      <c r="B874" t="s">
        <v>2056</v>
      </c>
      <c r="C874" s="1">
        <v>720</v>
      </c>
      <c r="D874" s="1" t="s">
        <v>2054</v>
      </c>
      <c r="E874">
        <v>6</v>
      </c>
      <c r="F874">
        <v>0.5</v>
      </c>
      <c r="G874">
        <v>9</v>
      </c>
      <c r="H874" t="s">
        <v>162</v>
      </c>
      <c r="I874" t="s">
        <v>419</v>
      </c>
      <c r="J874" t="s">
        <v>1872</v>
      </c>
      <c r="M874" t="s">
        <v>131</v>
      </c>
      <c r="N874">
        <v>0</v>
      </c>
      <c r="O874">
        <v>0</v>
      </c>
      <c r="P874">
        <v>100</v>
      </c>
      <c r="Q874">
        <v>120</v>
      </c>
      <c r="R874" t="s">
        <v>184</v>
      </c>
      <c r="T874">
        <v>3</v>
      </c>
      <c r="U874">
        <v>300</v>
      </c>
      <c r="V874">
        <v>1250000</v>
      </c>
      <c r="W874" t="s">
        <v>618</v>
      </c>
      <c r="Z874">
        <v>80</v>
      </c>
      <c r="AA874">
        <v>110</v>
      </c>
      <c r="AB874">
        <v>60</v>
      </c>
      <c r="AC874">
        <v>150</v>
      </c>
      <c r="AD874">
        <v>130</v>
      </c>
      <c r="AE874">
        <v>70</v>
      </c>
      <c r="AF874">
        <v>600</v>
      </c>
      <c r="AG874">
        <v>0</v>
      </c>
      <c r="AH874">
        <v>0</v>
      </c>
      <c r="AI874">
        <v>0</v>
      </c>
      <c r="AJ874">
        <v>3</v>
      </c>
      <c r="AK874">
        <v>0</v>
      </c>
      <c r="AL874">
        <v>0</v>
      </c>
    </row>
    <row r="875" spans="1:38" x14ac:dyDescent="0.25">
      <c r="A875" t="s">
        <v>2055</v>
      </c>
      <c r="B875" t="s">
        <v>2058</v>
      </c>
      <c r="C875" s="1">
        <v>720</v>
      </c>
      <c r="D875" s="1" t="s">
        <v>2057</v>
      </c>
      <c r="E875">
        <v>6</v>
      </c>
      <c r="F875">
        <v>6.5</v>
      </c>
      <c r="G875">
        <v>490</v>
      </c>
      <c r="H875" t="s">
        <v>162</v>
      </c>
      <c r="I875" t="s">
        <v>135</v>
      </c>
      <c r="J875" t="s">
        <v>1872</v>
      </c>
      <c r="M875" t="s">
        <v>131</v>
      </c>
      <c r="N875">
        <v>0</v>
      </c>
      <c r="O875">
        <v>0</v>
      </c>
      <c r="P875">
        <v>100</v>
      </c>
      <c r="Q875">
        <v>120</v>
      </c>
      <c r="R875" t="s">
        <v>184</v>
      </c>
      <c r="T875">
        <v>3</v>
      </c>
      <c r="U875">
        <v>340</v>
      </c>
      <c r="V875">
        <v>1250000</v>
      </c>
      <c r="W875" t="s">
        <v>618</v>
      </c>
      <c r="Z875">
        <v>80</v>
      </c>
      <c r="AA875">
        <v>160</v>
      </c>
      <c r="AB875">
        <v>60</v>
      </c>
      <c r="AC875">
        <v>170</v>
      </c>
      <c r="AD875">
        <v>130</v>
      </c>
      <c r="AE875">
        <v>80</v>
      </c>
      <c r="AF875">
        <v>680</v>
      </c>
      <c r="AG875">
        <v>0</v>
      </c>
      <c r="AH875">
        <v>0</v>
      </c>
      <c r="AI875">
        <v>0</v>
      </c>
      <c r="AJ875">
        <v>3</v>
      </c>
      <c r="AK875">
        <v>0</v>
      </c>
      <c r="AL875">
        <v>0</v>
      </c>
    </row>
    <row r="876" spans="1:38" x14ac:dyDescent="0.25">
      <c r="A876" t="s">
        <v>2060</v>
      </c>
      <c r="B876" t="s">
        <v>2060</v>
      </c>
      <c r="C876" s="1">
        <v>721</v>
      </c>
      <c r="D876" s="1" t="s">
        <v>2059</v>
      </c>
      <c r="E876">
        <v>6</v>
      </c>
      <c r="F876">
        <v>1.7</v>
      </c>
      <c r="G876">
        <v>195</v>
      </c>
      <c r="H876" t="s">
        <v>57</v>
      </c>
      <c r="I876" t="s">
        <v>76</v>
      </c>
      <c r="J876" t="s">
        <v>299</v>
      </c>
      <c r="M876" t="s">
        <v>103</v>
      </c>
      <c r="N876">
        <v>0</v>
      </c>
      <c r="O876">
        <v>0</v>
      </c>
      <c r="P876">
        <v>100</v>
      </c>
      <c r="Q876">
        <v>120</v>
      </c>
      <c r="R876" t="s">
        <v>184</v>
      </c>
      <c r="T876">
        <v>3</v>
      </c>
      <c r="U876">
        <v>300</v>
      </c>
      <c r="V876">
        <v>1250000</v>
      </c>
      <c r="W876" t="s">
        <v>618</v>
      </c>
      <c r="Z876">
        <v>80</v>
      </c>
      <c r="AA876">
        <v>110</v>
      </c>
      <c r="AB876">
        <v>120</v>
      </c>
      <c r="AC876">
        <v>130</v>
      </c>
      <c r="AD876">
        <v>90</v>
      </c>
      <c r="AE876">
        <v>70</v>
      </c>
      <c r="AF876">
        <v>600</v>
      </c>
      <c r="AG876">
        <v>0</v>
      </c>
      <c r="AH876">
        <v>0</v>
      </c>
      <c r="AI876">
        <v>0</v>
      </c>
      <c r="AJ876">
        <v>3</v>
      </c>
      <c r="AK876">
        <v>0</v>
      </c>
      <c r="AL876">
        <v>0</v>
      </c>
    </row>
    <row r="877" spans="1:38" x14ac:dyDescent="0.25">
      <c r="A877" t="s">
        <v>2062</v>
      </c>
      <c r="B877" t="s">
        <v>2062</v>
      </c>
      <c r="C877" s="1">
        <v>722</v>
      </c>
      <c r="D877" s="1" t="s">
        <v>2061</v>
      </c>
      <c r="E877">
        <v>7</v>
      </c>
      <c r="F877">
        <v>0.3</v>
      </c>
      <c r="G877">
        <v>1.5</v>
      </c>
      <c r="H877" t="s">
        <v>40</v>
      </c>
      <c r="I877" t="s">
        <v>66</v>
      </c>
      <c r="J877" t="s">
        <v>42</v>
      </c>
      <c r="L877" t="s">
        <v>2063</v>
      </c>
      <c r="M877" t="s">
        <v>103</v>
      </c>
      <c r="N877">
        <v>87.5</v>
      </c>
      <c r="O877">
        <v>12.5</v>
      </c>
      <c r="P877">
        <v>0</v>
      </c>
      <c r="Q877">
        <v>15</v>
      </c>
      <c r="R877" t="s">
        <v>66</v>
      </c>
      <c r="T877">
        <v>45</v>
      </c>
      <c r="U877">
        <v>64</v>
      </c>
      <c r="V877">
        <v>1059860</v>
      </c>
      <c r="W877" t="s">
        <v>46</v>
      </c>
      <c r="Z877">
        <v>68</v>
      </c>
      <c r="AA877">
        <v>55</v>
      </c>
      <c r="AB877">
        <v>55</v>
      </c>
      <c r="AC877">
        <v>50</v>
      </c>
      <c r="AD877">
        <v>50</v>
      </c>
      <c r="AE877">
        <v>42</v>
      </c>
      <c r="AF877">
        <v>320</v>
      </c>
      <c r="AG877">
        <v>1</v>
      </c>
      <c r="AH877">
        <v>0</v>
      </c>
      <c r="AI877">
        <v>0</v>
      </c>
      <c r="AJ877">
        <v>0</v>
      </c>
      <c r="AK877">
        <v>0</v>
      </c>
      <c r="AL877">
        <v>0</v>
      </c>
    </row>
    <row r="878" spans="1:38" x14ac:dyDescent="0.25">
      <c r="A878" t="s">
        <v>2065</v>
      </c>
      <c r="B878" t="s">
        <v>2065</v>
      </c>
      <c r="C878" s="1">
        <v>723</v>
      </c>
      <c r="D878" s="1" t="s">
        <v>2064</v>
      </c>
      <c r="E878">
        <v>7</v>
      </c>
      <c r="F878">
        <v>0.7</v>
      </c>
      <c r="G878">
        <v>16</v>
      </c>
      <c r="H878" t="s">
        <v>40</v>
      </c>
      <c r="I878" t="s">
        <v>66</v>
      </c>
      <c r="J878" t="s">
        <v>42</v>
      </c>
      <c r="L878" t="s">
        <v>2063</v>
      </c>
      <c r="M878" t="s">
        <v>103</v>
      </c>
      <c r="N878">
        <v>87.5</v>
      </c>
      <c r="O878">
        <v>12.5</v>
      </c>
      <c r="P878">
        <v>0</v>
      </c>
      <c r="Q878">
        <v>15</v>
      </c>
      <c r="R878" t="s">
        <v>66</v>
      </c>
      <c r="T878">
        <v>45</v>
      </c>
      <c r="U878">
        <v>147</v>
      </c>
      <c r="V878">
        <v>1059860</v>
      </c>
      <c r="W878" t="s">
        <v>46</v>
      </c>
      <c r="Z878">
        <v>78</v>
      </c>
      <c r="AA878">
        <v>75</v>
      </c>
      <c r="AB878">
        <v>75</v>
      </c>
      <c r="AC878">
        <v>70</v>
      </c>
      <c r="AD878">
        <v>70</v>
      </c>
      <c r="AE878">
        <v>52</v>
      </c>
      <c r="AF878">
        <v>420</v>
      </c>
      <c r="AG878">
        <v>2</v>
      </c>
      <c r="AH878">
        <v>0</v>
      </c>
      <c r="AI878">
        <v>0</v>
      </c>
      <c r="AJ878">
        <v>0</v>
      </c>
      <c r="AK878">
        <v>0</v>
      </c>
      <c r="AL878">
        <v>0</v>
      </c>
    </row>
    <row r="879" spans="1:38" x14ac:dyDescent="0.25">
      <c r="A879" t="s">
        <v>2067</v>
      </c>
      <c r="B879" t="s">
        <v>2067</v>
      </c>
      <c r="C879" s="1">
        <v>724</v>
      </c>
      <c r="D879" s="1" t="s">
        <v>2066</v>
      </c>
      <c r="E879">
        <v>7</v>
      </c>
      <c r="F879">
        <v>1.6</v>
      </c>
      <c r="G879">
        <v>36.6</v>
      </c>
      <c r="H879" t="s">
        <v>40</v>
      </c>
      <c r="I879" t="s">
        <v>419</v>
      </c>
      <c r="J879" t="s">
        <v>42</v>
      </c>
      <c r="L879" t="s">
        <v>2063</v>
      </c>
      <c r="M879" t="s">
        <v>103</v>
      </c>
      <c r="N879">
        <v>87.5</v>
      </c>
      <c r="O879">
        <v>12.5</v>
      </c>
      <c r="P879">
        <v>0</v>
      </c>
      <c r="Q879">
        <v>15</v>
      </c>
      <c r="R879" t="s">
        <v>66</v>
      </c>
      <c r="T879">
        <v>45</v>
      </c>
      <c r="U879">
        <v>265</v>
      </c>
      <c r="V879">
        <v>1059860</v>
      </c>
      <c r="W879" t="s">
        <v>46</v>
      </c>
      <c r="Z879">
        <v>78</v>
      </c>
      <c r="AA879">
        <v>107</v>
      </c>
      <c r="AB879">
        <v>75</v>
      </c>
      <c r="AC879">
        <v>100</v>
      </c>
      <c r="AD879">
        <v>100</v>
      </c>
      <c r="AE879">
        <v>70</v>
      </c>
      <c r="AF879">
        <v>530</v>
      </c>
      <c r="AG879">
        <v>0</v>
      </c>
      <c r="AH879">
        <v>3</v>
      </c>
      <c r="AI879">
        <v>0</v>
      </c>
      <c r="AJ879">
        <v>0</v>
      </c>
      <c r="AK879">
        <v>0</v>
      </c>
      <c r="AL879">
        <v>0</v>
      </c>
    </row>
    <row r="880" spans="1:38" x14ac:dyDescent="0.25">
      <c r="A880" t="s">
        <v>2067</v>
      </c>
      <c r="B880" t="s">
        <v>2069</v>
      </c>
      <c r="C880" s="1">
        <v>724</v>
      </c>
      <c r="D880" s="1" t="s">
        <v>2068</v>
      </c>
      <c r="E880">
        <v>8</v>
      </c>
      <c r="F880">
        <v>1.6</v>
      </c>
      <c r="G880">
        <v>37</v>
      </c>
      <c r="H880" t="s">
        <v>40</v>
      </c>
      <c r="I880" t="s">
        <v>279</v>
      </c>
      <c r="J880" t="s">
        <v>42</v>
      </c>
      <c r="L880" t="s">
        <v>387</v>
      </c>
      <c r="M880" t="s">
        <v>103</v>
      </c>
      <c r="N880">
        <v>87.5</v>
      </c>
      <c r="O880">
        <v>12.5</v>
      </c>
      <c r="P880">
        <v>0</v>
      </c>
      <c r="Q880">
        <v>15</v>
      </c>
      <c r="R880" t="s">
        <v>66</v>
      </c>
      <c r="T880">
        <v>45</v>
      </c>
      <c r="U880">
        <v>265</v>
      </c>
      <c r="V880">
        <v>1059860</v>
      </c>
      <c r="W880" t="s">
        <v>46</v>
      </c>
      <c r="Y880" t="s">
        <v>292</v>
      </c>
      <c r="Z880">
        <v>88</v>
      </c>
      <c r="AA880">
        <v>112</v>
      </c>
      <c r="AB880">
        <v>80</v>
      </c>
      <c r="AC880">
        <v>95</v>
      </c>
      <c r="AD880">
        <v>95</v>
      </c>
      <c r="AE880">
        <v>60</v>
      </c>
      <c r="AF880">
        <v>530</v>
      </c>
      <c r="AG880">
        <v>0</v>
      </c>
      <c r="AH880">
        <v>3</v>
      </c>
      <c r="AI880">
        <v>0</v>
      </c>
      <c r="AJ880">
        <v>0</v>
      </c>
      <c r="AK880">
        <v>0</v>
      </c>
      <c r="AL880">
        <v>0</v>
      </c>
    </row>
    <row r="881" spans="1:38" x14ac:dyDescent="0.25">
      <c r="A881" t="s">
        <v>2071</v>
      </c>
      <c r="B881" t="s">
        <v>2071</v>
      </c>
      <c r="C881" s="1">
        <v>725</v>
      </c>
      <c r="D881" s="1" t="s">
        <v>2070</v>
      </c>
      <c r="E881">
        <v>7</v>
      </c>
      <c r="F881">
        <v>0.4</v>
      </c>
      <c r="G881">
        <v>4.3</v>
      </c>
      <c r="H881" t="s">
        <v>57</v>
      </c>
      <c r="J881" t="s">
        <v>58</v>
      </c>
      <c r="L881" t="s">
        <v>148</v>
      </c>
      <c r="M881" t="s">
        <v>60</v>
      </c>
      <c r="N881">
        <v>87.5</v>
      </c>
      <c r="O881">
        <v>12.5</v>
      </c>
      <c r="P881">
        <v>0</v>
      </c>
      <c r="Q881">
        <v>15</v>
      </c>
      <c r="R881" t="s">
        <v>132</v>
      </c>
      <c r="T881">
        <v>45</v>
      </c>
      <c r="U881">
        <v>64</v>
      </c>
      <c r="V881">
        <v>1059860</v>
      </c>
      <c r="W881" t="s">
        <v>46</v>
      </c>
      <c r="Z881">
        <v>45</v>
      </c>
      <c r="AA881">
        <v>65</v>
      </c>
      <c r="AB881">
        <v>40</v>
      </c>
      <c r="AC881">
        <v>60</v>
      </c>
      <c r="AD881">
        <v>40</v>
      </c>
      <c r="AE881">
        <v>70</v>
      </c>
      <c r="AF881">
        <v>320</v>
      </c>
      <c r="AG881">
        <v>0</v>
      </c>
      <c r="AH881">
        <v>0</v>
      </c>
      <c r="AI881">
        <v>0</v>
      </c>
      <c r="AJ881">
        <v>0</v>
      </c>
      <c r="AK881">
        <v>0</v>
      </c>
      <c r="AL881">
        <v>1</v>
      </c>
    </row>
    <row r="882" spans="1:38" x14ac:dyDescent="0.25">
      <c r="A882" t="s">
        <v>2073</v>
      </c>
      <c r="B882" t="s">
        <v>2073</v>
      </c>
      <c r="C882" s="1">
        <v>726</v>
      </c>
      <c r="D882" s="1" t="s">
        <v>2072</v>
      </c>
      <c r="E882">
        <v>7</v>
      </c>
      <c r="F882">
        <v>0.7</v>
      </c>
      <c r="G882">
        <v>25</v>
      </c>
      <c r="H882" t="s">
        <v>57</v>
      </c>
      <c r="J882" t="s">
        <v>58</v>
      </c>
      <c r="L882" t="s">
        <v>148</v>
      </c>
      <c r="M882" t="s">
        <v>60</v>
      </c>
      <c r="N882">
        <v>87.5</v>
      </c>
      <c r="O882">
        <v>12.5</v>
      </c>
      <c r="P882">
        <v>0</v>
      </c>
      <c r="Q882">
        <v>15</v>
      </c>
      <c r="R882" t="s">
        <v>132</v>
      </c>
      <c r="T882">
        <v>45</v>
      </c>
      <c r="U882">
        <v>147</v>
      </c>
      <c r="V882">
        <v>1059860</v>
      </c>
      <c r="W882" t="s">
        <v>46</v>
      </c>
      <c r="Z882">
        <v>65</v>
      </c>
      <c r="AA882">
        <v>85</v>
      </c>
      <c r="AB882">
        <v>50</v>
      </c>
      <c r="AC882">
        <v>80</v>
      </c>
      <c r="AD882">
        <v>50</v>
      </c>
      <c r="AE882">
        <v>90</v>
      </c>
      <c r="AF882">
        <v>420</v>
      </c>
      <c r="AG882">
        <v>0</v>
      </c>
      <c r="AH882">
        <v>0</v>
      </c>
      <c r="AI882">
        <v>0</v>
      </c>
      <c r="AJ882">
        <v>0</v>
      </c>
      <c r="AK882">
        <v>0</v>
      </c>
      <c r="AL882">
        <v>2</v>
      </c>
    </row>
    <row r="883" spans="1:38" x14ac:dyDescent="0.25">
      <c r="A883" t="s">
        <v>2075</v>
      </c>
      <c r="B883" t="s">
        <v>2075</v>
      </c>
      <c r="C883" s="1">
        <v>727</v>
      </c>
      <c r="D883" s="1" t="s">
        <v>2074</v>
      </c>
      <c r="E883">
        <v>7</v>
      </c>
      <c r="F883">
        <v>1.8</v>
      </c>
      <c r="G883">
        <v>83</v>
      </c>
      <c r="H883" t="s">
        <v>57</v>
      </c>
      <c r="I883" t="s">
        <v>135</v>
      </c>
      <c r="J883" t="s">
        <v>58</v>
      </c>
      <c r="L883" t="s">
        <v>148</v>
      </c>
      <c r="M883" t="s">
        <v>60</v>
      </c>
      <c r="N883">
        <v>87.5</v>
      </c>
      <c r="O883">
        <v>12.5</v>
      </c>
      <c r="P883">
        <v>0</v>
      </c>
      <c r="Q883">
        <v>15</v>
      </c>
      <c r="R883" t="s">
        <v>132</v>
      </c>
      <c r="T883">
        <v>45</v>
      </c>
      <c r="U883">
        <v>265</v>
      </c>
      <c r="V883">
        <v>1059860</v>
      </c>
      <c r="W883" t="s">
        <v>46</v>
      </c>
      <c r="Z883">
        <v>95</v>
      </c>
      <c r="AA883">
        <v>115</v>
      </c>
      <c r="AB883">
        <v>90</v>
      </c>
      <c r="AC883">
        <v>80</v>
      </c>
      <c r="AD883">
        <v>90</v>
      </c>
      <c r="AE883">
        <v>60</v>
      </c>
      <c r="AF883">
        <v>530</v>
      </c>
      <c r="AG883">
        <v>0</v>
      </c>
      <c r="AH883">
        <v>3</v>
      </c>
      <c r="AI883">
        <v>0</v>
      </c>
      <c r="AJ883">
        <v>0</v>
      </c>
      <c r="AK883">
        <v>0</v>
      </c>
      <c r="AL883">
        <v>0</v>
      </c>
    </row>
    <row r="884" spans="1:38" x14ac:dyDescent="0.25">
      <c r="A884" t="s">
        <v>2077</v>
      </c>
      <c r="B884" t="s">
        <v>2077</v>
      </c>
      <c r="C884" s="1">
        <v>728</v>
      </c>
      <c r="D884" s="1" t="s">
        <v>2076</v>
      </c>
      <c r="E884">
        <v>7</v>
      </c>
      <c r="F884">
        <v>0.4</v>
      </c>
      <c r="G884">
        <v>7.5</v>
      </c>
      <c r="H884" t="s">
        <v>76</v>
      </c>
      <c r="J884" t="s">
        <v>77</v>
      </c>
      <c r="L884" t="s">
        <v>2078</v>
      </c>
      <c r="M884" t="s">
        <v>79</v>
      </c>
      <c r="N884">
        <v>87.5</v>
      </c>
      <c r="O884">
        <v>12.5</v>
      </c>
      <c r="P884">
        <v>0</v>
      </c>
      <c r="Q884">
        <v>15</v>
      </c>
      <c r="R884" t="s">
        <v>80</v>
      </c>
      <c r="S884" t="s">
        <v>132</v>
      </c>
      <c r="T884">
        <v>45</v>
      </c>
      <c r="U884">
        <v>64</v>
      </c>
      <c r="V884">
        <v>1059860</v>
      </c>
      <c r="W884" t="s">
        <v>46</v>
      </c>
      <c r="Z884">
        <v>50</v>
      </c>
      <c r="AA884">
        <v>54</v>
      </c>
      <c r="AB884">
        <v>54</v>
      </c>
      <c r="AC884">
        <v>66</v>
      </c>
      <c r="AD884">
        <v>56</v>
      </c>
      <c r="AE884">
        <v>40</v>
      </c>
      <c r="AF884">
        <v>320</v>
      </c>
      <c r="AG884">
        <v>0</v>
      </c>
      <c r="AH884">
        <v>0</v>
      </c>
      <c r="AI884">
        <v>0</v>
      </c>
      <c r="AJ884">
        <v>1</v>
      </c>
      <c r="AK884">
        <v>0</v>
      </c>
      <c r="AL884">
        <v>0</v>
      </c>
    </row>
    <row r="885" spans="1:38" x14ac:dyDescent="0.25">
      <c r="A885" t="s">
        <v>2080</v>
      </c>
      <c r="B885" t="s">
        <v>2080</v>
      </c>
      <c r="C885" s="1">
        <v>729</v>
      </c>
      <c r="D885" s="1" t="s">
        <v>2079</v>
      </c>
      <c r="E885">
        <v>7</v>
      </c>
      <c r="F885">
        <v>0.6</v>
      </c>
      <c r="G885">
        <v>17.5</v>
      </c>
      <c r="H885" t="s">
        <v>76</v>
      </c>
      <c r="J885" t="s">
        <v>77</v>
      </c>
      <c r="L885" t="s">
        <v>2078</v>
      </c>
      <c r="M885" t="s">
        <v>79</v>
      </c>
      <c r="N885">
        <v>87.5</v>
      </c>
      <c r="O885">
        <v>12.5</v>
      </c>
      <c r="P885">
        <v>0</v>
      </c>
      <c r="Q885">
        <v>15</v>
      </c>
      <c r="R885" t="s">
        <v>80</v>
      </c>
      <c r="S885" t="s">
        <v>132</v>
      </c>
      <c r="T885">
        <v>45</v>
      </c>
      <c r="U885">
        <v>147</v>
      </c>
      <c r="V885">
        <v>1059860</v>
      </c>
      <c r="W885" t="s">
        <v>46</v>
      </c>
      <c r="Z885">
        <v>60</v>
      </c>
      <c r="AA885">
        <v>69</v>
      </c>
      <c r="AB885">
        <v>69</v>
      </c>
      <c r="AC885">
        <v>91</v>
      </c>
      <c r="AD885">
        <v>81</v>
      </c>
      <c r="AE885">
        <v>50</v>
      </c>
      <c r="AF885">
        <v>420</v>
      </c>
      <c r="AG885">
        <v>0</v>
      </c>
      <c r="AH885">
        <v>0</v>
      </c>
      <c r="AI885">
        <v>0</v>
      </c>
      <c r="AJ885">
        <v>2</v>
      </c>
      <c r="AK885">
        <v>0</v>
      </c>
      <c r="AL885">
        <v>0</v>
      </c>
    </row>
    <row r="886" spans="1:38" x14ac:dyDescent="0.25">
      <c r="A886" t="s">
        <v>2082</v>
      </c>
      <c r="B886" t="s">
        <v>2082</v>
      </c>
      <c r="C886" s="1">
        <v>730</v>
      </c>
      <c r="D886" s="1" t="s">
        <v>2081</v>
      </c>
      <c r="E886">
        <v>7</v>
      </c>
      <c r="F886">
        <v>1.8</v>
      </c>
      <c r="G886">
        <v>44</v>
      </c>
      <c r="H886" t="s">
        <v>76</v>
      </c>
      <c r="I886" t="s">
        <v>157</v>
      </c>
      <c r="J886" t="s">
        <v>77</v>
      </c>
      <c r="L886" t="s">
        <v>2078</v>
      </c>
      <c r="M886" t="s">
        <v>79</v>
      </c>
      <c r="N886">
        <v>87.5</v>
      </c>
      <c r="O886">
        <v>12.5</v>
      </c>
      <c r="P886">
        <v>0</v>
      </c>
      <c r="Q886">
        <v>15</v>
      </c>
      <c r="R886" t="s">
        <v>80</v>
      </c>
      <c r="S886" t="s">
        <v>132</v>
      </c>
      <c r="T886">
        <v>45</v>
      </c>
      <c r="U886">
        <v>265</v>
      </c>
      <c r="V886">
        <v>1059860</v>
      </c>
      <c r="W886" t="s">
        <v>46</v>
      </c>
      <c r="Z886">
        <v>80</v>
      </c>
      <c r="AA886">
        <v>74</v>
      </c>
      <c r="AB886">
        <v>74</v>
      </c>
      <c r="AC886">
        <v>126</v>
      </c>
      <c r="AD886">
        <v>116</v>
      </c>
      <c r="AE886">
        <v>60</v>
      </c>
      <c r="AF886">
        <v>530</v>
      </c>
      <c r="AG886">
        <v>0</v>
      </c>
      <c r="AH886">
        <v>0</v>
      </c>
      <c r="AI886">
        <v>0</v>
      </c>
      <c r="AJ886">
        <v>3</v>
      </c>
      <c r="AK886">
        <v>0</v>
      </c>
      <c r="AL886">
        <v>0</v>
      </c>
    </row>
    <row r="887" spans="1:38" x14ac:dyDescent="0.25">
      <c r="A887" t="s">
        <v>2084</v>
      </c>
      <c r="B887" t="s">
        <v>2084</v>
      </c>
      <c r="C887" s="1">
        <v>731</v>
      </c>
      <c r="D887" s="1" t="s">
        <v>2083</v>
      </c>
      <c r="E887">
        <v>7</v>
      </c>
      <c r="F887">
        <v>0.3</v>
      </c>
      <c r="G887">
        <v>1.2</v>
      </c>
      <c r="H887" t="s">
        <v>116</v>
      </c>
      <c r="I887" t="s">
        <v>66</v>
      </c>
      <c r="J887" t="s">
        <v>117</v>
      </c>
      <c r="K887" t="s">
        <v>413</v>
      </c>
      <c r="L887" t="s">
        <v>257</v>
      </c>
      <c r="M887" t="s">
        <v>70</v>
      </c>
      <c r="N887">
        <v>50</v>
      </c>
      <c r="O887">
        <v>50</v>
      </c>
      <c r="P887">
        <v>0</v>
      </c>
      <c r="Q887">
        <v>15</v>
      </c>
      <c r="R887" t="s">
        <v>66</v>
      </c>
      <c r="T887">
        <v>255</v>
      </c>
      <c r="U887">
        <v>53</v>
      </c>
      <c r="V887">
        <v>1000000</v>
      </c>
      <c r="W887" t="s">
        <v>46</v>
      </c>
      <c r="Z887">
        <v>35</v>
      </c>
      <c r="AA887">
        <v>75</v>
      </c>
      <c r="AB887">
        <v>30</v>
      </c>
      <c r="AC887">
        <v>30</v>
      </c>
      <c r="AD887">
        <v>30</v>
      </c>
      <c r="AE887">
        <v>65</v>
      </c>
      <c r="AF887">
        <v>265</v>
      </c>
      <c r="AG887">
        <v>0</v>
      </c>
      <c r="AH887">
        <v>1</v>
      </c>
      <c r="AI887">
        <v>0</v>
      </c>
      <c r="AJ887">
        <v>0</v>
      </c>
      <c r="AK887">
        <v>0</v>
      </c>
      <c r="AL887">
        <v>0</v>
      </c>
    </row>
    <row r="888" spans="1:38" x14ac:dyDescent="0.25">
      <c r="A888" t="s">
        <v>2086</v>
      </c>
      <c r="B888" t="s">
        <v>2086</v>
      </c>
      <c r="C888" s="1">
        <v>732</v>
      </c>
      <c r="D888" s="1" t="s">
        <v>2085</v>
      </c>
      <c r="E888">
        <v>7</v>
      </c>
      <c r="F888">
        <v>0.6</v>
      </c>
      <c r="G888">
        <v>14.8</v>
      </c>
      <c r="H888" t="s">
        <v>116</v>
      </c>
      <c r="I888" t="s">
        <v>66</v>
      </c>
      <c r="J888" t="s">
        <v>117</v>
      </c>
      <c r="K888" t="s">
        <v>413</v>
      </c>
      <c r="L888" t="s">
        <v>257</v>
      </c>
      <c r="M888" t="s">
        <v>70</v>
      </c>
      <c r="N888">
        <v>50</v>
      </c>
      <c r="O888">
        <v>50</v>
      </c>
      <c r="P888">
        <v>0</v>
      </c>
      <c r="Q888">
        <v>15</v>
      </c>
      <c r="R888" t="s">
        <v>66</v>
      </c>
      <c r="T888">
        <v>120</v>
      </c>
      <c r="U888">
        <v>124</v>
      </c>
      <c r="V888">
        <v>1000000</v>
      </c>
      <c r="W888" t="s">
        <v>46</v>
      </c>
      <c r="Z888">
        <v>55</v>
      </c>
      <c r="AA888">
        <v>85</v>
      </c>
      <c r="AB888">
        <v>50</v>
      </c>
      <c r="AC888">
        <v>40</v>
      </c>
      <c r="AD888">
        <v>50</v>
      </c>
      <c r="AE888">
        <v>75</v>
      </c>
      <c r="AF888">
        <v>355</v>
      </c>
      <c r="AG888">
        <v>0</v>
      </c>
      <c r="AH888">
        <v>2</v>
      </c>
      <c r="AI888">
        <v>0</v>
      </c>
      <c r="AJ888">
        <v>0</v>
      </c>
      <c r="AK888">
        <v>0</v>
      </c>
      <c r="AL888">
        <v>0</v>
      </c>
    </row>
    <row r="889" spans="1:38" x14ac:dyDescent="0.25">
      <c r="A889" t="s">
        <v>2088</v>
      </c>
      <c r="B889" t="s">
        <v>2088</v>
      </c>
      <c r="C889" s="1">
        <v>733</v>
      </c>
      <c r="D889" s="1" t="s">
        <v>2087</v>
      </c>
      <c r="E889">
        <v>7</v>
      </c>
      <c r="F889">
        <v>1.1000000000000001</v>
      </c>
      <c r="G889">
        <v>26</v>
      </c>
      <c r="H889" t="s">
        <v>116</v>
      </c>
      <c r="I889" t="s">
        <v>66</v>
      </c>
      <c r="J889" t="s">
        <v>117</v>
      </c>
      <c r="K889" t="s">
        <v>413</v>
      </c>
      <c r="L889" t="s">
        <v>187</v>
      </c>
      <c r="M889" t="s">
        <v>70</v>
      </c>
      <c r="N889">
        <v>50</v>
      </c>
      <c r="O889">
        <v>50</v>
      </c>
      <c r="P889">
        <v>0</v>
      </c>
      <c r="Q889">
        <v>15</v>
      </c>
      <c r="R889" t="s">
        <v>66</v>
      </c>
      <c r="T889">
        <v>45</v>
      </c>
      <c r="U889">
        <v>218</v>
      </c>
      <c r="V889">
        <v>1000000</v>
      </c>
      <c r="W889" t="s">
        <v>46</v>
      </c>
      <c r="Z889">
        <v>80</v>
      </c>
      <c r="AA889">
        <v>120</v>
      </c>
      <c r="AB889">
        <v>75</v>
      </c>
      <c r="AC889">
        <v>75</v>
      </c>
      <c r="AD889">
        <v>75</v>
      </c>
      <c r="AE889">
        <v>60</v>
      </c>
      <c r="AF889">
        <v>485</v>
      </c>
      <c r="AG889">
        <v>0</v>
      </c>
      <c r="AH889">
        <v>3</v>
      </c>
      <c r="AI889">
        <v>0</v>
      </c>
      <c r="AJ889">
        <v>0</v>
      </c>
      <c r="AK889">
        <v>0</v>
      </c>
      <c r="AL889">
        <v>0</v>
      </c>
    </row>
    <row r="890" spans="1:38" x14ac:dyDescent="0.25">
      <c r="A890" t="s">
        <v>2090</v>
      </c>
      <c r="B890" t="s">
        <v>2090</v>
      </c>
      <c r="C890" s="1">
        <v>734</v>
      </c>
      <c r="D890" s="1" t="s">
        <v>2089</v>
      </c>
      <c r="E890">
        <v>7</v>
      </c>
      <c r="F890">
        <v>0.4</v>
      </c>
      <c r="G890">
        <v>6</v>
      </c>
      <c r="H890" t="s">
        <v>116</v>
      </c>
      <c r="J890" t="s">
        <v>2091</v>
      </c>
      <c r="K890" t="s">
        <v>1031</v>
      </c>
      <c r="L890" t="s">
        <v>113</v>
      </c>
      <c r="M890" t="s">
        <v>103</v>
      </c>
      <c r="N890">
        <v>50</v>
      </c>
      <c r="O890">
        <v>50</v>
      </c>
      <c r="P890">
        <v>0</v>
      </c>
      <c r="Q890">
        <v>15</v>
      </c>
      <c r="R890" t="s">
        <v>132</v>
      </c>
      <c r="T890">
        <v>255</v>
      </c>
      <c r="U890">
        <v>51</v>
      </c>
      <c r="V890">
        <v>1000000</v>
      </c>
      <c r="W890" t="s">
        <v>46</v>
      </c>
      <c r="Z890">
        <v>48</v>
      </c>
      <c r="AA890">
        <v>70</v>
      </c>
      <c r="AB890">
        <v>30</v>
      </c>
      <c r="AC890">
        <v>30</v>
      </c>
      <c r="AD890">
        <v>30</v>
      </c>
      <c r="AE890">
        <v>45</v>
      </c>
      <c r="AF890">
        <v>253</v>
      </c>
      <c r="AG890">
        <v>0</v>
      </c>
      <c r="AH890">
        <v>1</v>
      </c>
      <c r="AI890">
        <v>0</v>
      </c>
      <c r="AJ890">
        <v>0</v>
      </c>
      <c r="AK890">
        <v>0</v>
      </c>
      <c r="AL890">
        <v>0</v>
      </c>
    </row>
    <row r="891" spans="1:38" x14ac:dyDescent="0.25">
      <c r="A891" t="s">
        <v>2093</v>
      </c>
      <c r="B891" t="s">
        <v>2093</v>
      </c>
      <c r="C891" s="1">
        <v>735</v>
      </c>
      <c r="D891" s="1" t="s">
        <v>2092</v>
      </c>
      <c r="E891">
        <v>7</v>
      </c>
      <c r="F891">
        <v>0.7</v>
      </c>
      <c r="G891">
        <v>14.2</v>
      </c>
      <c r="H891" t="s">
        <v>116</v>
      </c>
      <c r="J891" t="s">
        <v>2091</v>
      </c>
      <c r="K891" t="s">
        <v>1031</v>
      </c>
      <c r="L891" t="s">
        <v>113</v>
      </c>
      <c r="M891" t="s">
        <v>103</v>
      </c>
      <c r="N891">
        <v>50</v>
      </c>
      <c r="O891">
        <v>50</v>
      </c>
      <c r="P891">
        <v>0</v>
      </c>
      <c r="Q891">
        <v>15</v>
      </c>
      <c r="R891" t="s">
        <v>132</v>
      </c>
      <c r="T891">
        <v>127</v>
      </c>
      <c r="U891">
        <v>146</v>
      </c>
      <c r="V891">
        <v>1000000</v>
      </c>
      <c r="W891" t="s">
        <v>46</v>
      </c>
      <c r="Z891">
        <v>88</v>
      </c>
      <c r="AA891">
        <v>110</v>
      </c>
      <c r="AB891">
        <v>60</v>
      </c>
      <c r="AC891">
        <v>55</v>
      </c>
      <c r="AD891">
        <v>60</v>
      </c>
      <c r="AE891">
        <v>45</v>
      </c>
      <c r="AF891">
        <v>418</v>
      </c>
      <c r="AG891">
        <v>0</v>
      </c>
      <c r="AH891">
        <v>2</v>
      </c>
      <c r="AI891">
        <v>0</v>
      </c>
      <c r="AJ891">
        <v>0</v>
      </c>
      <c r="AK891">
        <v>0</v>
      </c>
      <c r="AL891">
        <v>0</v>
      </c>
    </row>
    <row r="892" spans="1:38" x14ac:dyDescent="0.25">
      <c r="A892" t="s">
        <v>2095</v>
      </c>
      <c r="B892" t="s">
        <v>2095</v>
      </c>
      <c r="C892" s="1">
        <v>736</v>
      </c>
      <c r="D892" s="1" t="s">
        <v>2094</v>
      </c>
      <c r="E892">
        <v>7</v>
      </c>
      <c r="F892">
        <v>0.4</v>
      </c>
      <c r="G892">
        <v>4.4000000000000004</v>
      </c>
      <c r="H892" t="s">
        <v>90</v>
      </c>
      <c r="J892" t="s">
        <v>109</v>
      </c>
      <c r="M892" t="s">
        <v>318</v>
      </c>
      <c r="N892">
        <v>50</v>
      </c>
      <c r="O892">
        <v>50</v>
      </c>
      <c r="P892">
        <v>0</v>
      </c>
      <c r="Q892">
        <v>15</v>
      </c>
      <c r="R892" t="s">
        <v>90</v>
      </c>
      <c r="T892">
        <v>255</v>
      </c>
      <c r="U892">
        <v>60</v>
      </c>
      <c r="V892">
        <v>1000000</v>
      </c>
      <c r="W892" t="s">
        <v>46</v>
      </c>
      <c r="Z892">
        <v>47</v>
      </c>
      <c r="AA892">
        <v>62</v>
      </c>
      <c r="AB892">
        <v>45</v>
      </c>
      <c r="AC892">
        <v>55</v>
      </c>
      <c r="AD892">
        <v>45</v>
      </c>
      <c r="AE892">
        <v>46</v>
      </c>
      <c r="AF892">
        <v>300</v>
      </c>
      <c r="AG892">
        <v>0</v>
      </c>
      <c r="AH892">
        <v>1</v>
      </c>
      <c r="AI892">
        <v>0</v>
      </c>
      <c r="AJ892">
        <v>0</v>
      </c>
      <c r="AK892">
        <v>0</v>
      </c>
      <c r="AL892">
        <v>0</v>
      </c>
    </row>
    <row r="893" spans="1:38" x14ac:dyDescent="0.25">
      <c r="A893" t="s">
        <v>2097</v>
      </c>
      <c r="B893" t="s">
        <v>2097</v>
      </c>
      <c r="C893" s="1">
        <v>737</v>
      </c>
      <c r="D893" s="1" t="s">
        <v>2096</v>
      </c>
      <c r="E893">
        <v>7</v>
      </c>
      <c r="F893">
        <v>0.5</v>
      </c>
      <c r="G893">
        <v>10.5</v>
      </c>
      <c r="H893" t="s">
        <v>90</v>
      </c>
      <c r="I893" t="s">
        <v>154</v>
      </c>
      <c r="J893" t="s">
        <v>2098</v>
      </c>
      <c r="M893" t="s">
        <v>44</v>
      </c>
      <c r="N893">
        <v>50</v>
      </c>
      <c r="O893">
        <v>50</v>
      </c>
      <c r="P893">
        <v>0</v>
      </c>
      <c r="Q893">
        <v>15</v>
      </c>
      <c r="R893" t="s">
        <v>90</v>
      </c>
      <c r="T893">
        <v>120</v>
      </c>
      <c r="U893">
        <v>140</v>
      </c>
      <c r="V893">
        <v>1000000</v>
      </c>
      <c r="W893" t="s">
        <v>46</v>
      </c>
      <c r="Z893">
        <v>57</v>
      </c>
      <c r="AA893">
        <v>82</v>
      </c>
      <c r="AB893">
        <v>95</v>
      </c>
      <c r="AC893">
        <v>55</v>
      </c>
      <c r="AD893">
        <v>75</v>
      </c>
      <c r="AE893">
        <v>36</v>
      </c>
      <c r="AF893">
        <v>400</v>
      </c>
      <c r="AG893">
        <v>0</v>
      </c>
      <c r="AH893">
        <v>0</v>
      </c>
      <c r="AI893">
        <v>2</v>
      </c>
      <c r="AJ893">
        <v>0</v>
      </c>
      <c r="AK893">
        <v>0</v>
      </c>
      <c r="AL893">
        <v>0</v>
      </c>
    </row>
    <row r="894" spans="1:38" x14ac:dyDescent="0.25">
      <c r="A894" t="s">
        <v>2100</v>
      </c>
      <c r="B894" t="s">
        <v>2100</v>
      </c>
      <c r="C894" s="1">
        <v>738</v>
      </c>
      <c r="D894" s="1" t="s">
        <v>2099</v>
      </c>
      <c r="E894">
        <v>7</v>
      </c>
      <c r="F894">
        <v>1.5</v>
      </c>
      <c r="G894">
        <v>45</v>
      </c>
      <c r="H894" t="s">
        <v>90</v>
      </c>
      <c r="I894" t="s">
        <v>154</v>
      </c>
      <c r="J894" t="s">
        <v>420</v>
      </c>
      <c r="M894" t="s">
        <v>79</v>
      </c>
      <c r="N894">
        <v>50</v>
      </c>
      <c r="O894">
        <v>50</v>
      </c>
      <c r="P894">
        <v>0</v>
      </c>
      <c r="Q894">
        <v>15</v>
      </c>
      <c r="R894" t="s">
        <v>90</v>
      </c>
      <c r="T894">
        <v>45</v>
      </c>
      <c r="U894">
        <v>250</v>
      </c>
      <c r="V894">
        <v>1000000</v>
      </c>
      <c r="W894" t="s">
        <v>46</v>
      </c>
      <c r="Z894">
        <v>77</v>
      </c>
      <c r="AA894">
        <v>70</v>
      </c>
      <c r="AB894">
        <v>90</v>
      </c>
      <c r="AC894">
        <v>145</v>
      </c>
      <c r="AD894">
        <v>75</v>
      </c>
      <c r="AE894">
        <v>43</v>
      </c>
      <c r="AF894">
        <v>500</v>
      </c>
      <c r="AG894">
        <v>0</v>
      </c>
      <c r="AH894">
        <v>0</v>
      </c>
      <c r="AI894">
        <v>0</v>
      </c>
      <c r="AJ894">
        <v>3</v>
      </c>
      <c r="AK894">
        <v>0</v>
      </c>
      <c r="AL894">
        <v>0</v>
      </c>
    </row>
    <row r="895" spans="1:38" x14ac:dyDescent="0.25">
      <c r="A895" t="s">
        <v>2102</v>
      </c>
      <c r="B895" t="s">
        <v>2102</v>
      </c>
      <c r="C895" s="1">
        <v>739</v>
      </c>
      <c r="D895" s="1" t="s">
        <v>2101</v>
      </c>
      <c r="E895">
        <v>7</v>
      </c>
      <c r="F895">
        <v>0.6</v>
      </c>
      <c r="G895">
        <v>7</v>
      </c>
      <c r="H895" t="s">
        <v>279</v>
      </c>
      <c r="J895" t="s">
        <v>440</v>
      </c>
      <c r="K895" t="s">
        <v>473</v>
      </c>
      <c r="L895" t="s">
        <v>281</v>
      </c>
      <c r="M895" t="s">
        <v>131</v>
      </c>
      <c r="N895">
        <v>50</v>
      </c>
      <c r="O895">
        <v>50</v>
      </c>
      <c r="P895">
        <v>0</v>
      </c>
      <c r="Q895">
        <v>20</v>
      </c>
      <c r="R895" t="s">
        <v>333</v>
      </c>
      <c r="T895">
        <v>225</v>
      </c>
      <c r="U895">
        <v>68</v>
      </c>
      <c r="V895">
        <v>1000000</v>
      </c>
      <c r="W895" t="s">
        <v>46</v>
      </c>
      <c r="Z895">
        <v>47</v>
      </c>
      <c r="AA895">
        <v>82</v>
      </c>
      <c r="AB895">
        <v>57</v>
      </c>
      <c r="AC895">
        <v>42</v>
      </c>
      <c r="AD895">
        <v>47</v>
      </c>
      <c r="AE895">
        <v>63</v>
      </c>
      <c r="AF895">
        <v>338</v>
      </c>
      <c r="AG895">
        <v>0</v>
      </c>
      <c r="AH895">
        <v>1</v>
      </c>
      <c r="AI895">
        <v>0</v>
      </c>
      <c r="AJ895">
        <v>0</v>
      </c>
      <c r="AK895">
        <v>0</v>
      </c>
      <c r="AL895">
        <v>0</v>
      </c>
    </row>
    <row r="896" spans="1:38" x14ac:dyDescent="0.25">
      <c r="A896" t="s">
        <v>2104</v>
      </c>
      <c r="B896" t="s">
        <v>2104</v>
      </c>
      <c r="C896" s="1">
        <v>740</v>
      </c>
      <c r="D896" s="1" t="s">
        <v>2103</v>
      </c>
      <c r="E896">
        <v>7</v>
      </c>
      <c r="F896">
        <v>1.7</v>
      </c>
      <c r="G896">
        <v>180</v>
      </c>
      <c r="H896" t="s">
        <v>279</v>
      </c>
      <c r="I896" t="s">
        <v>170</v>
      </c>
      <c r="J896" t="s">
        <v>440</v>
      </c>
      <c r="K896" t="s">
        <v>473</v>
      </c>
      <c r="L896" t="s">
        <v>281</v>
      </c>
      <c r="M896" t="s">
        <v>100</v>
      </c>
      <c r="N896">
        <v>50</v>
      </c>
      <c r="O896">
        <v>50</v>
      </c>
      <c r="P896">
        <v>0</v>
      </c>
      <c r="Q896">
        <v>20</v>
      </c>
      <c r="R896" t="s">
        <v>333</v>
      </c>
      <c r="T896">
        <v>60</v>
      </c>
      <c r="U896">
        <v>167</v>
      </c>
      <c r="V896">
        <v>1000000</v>
      </c>
      <c r="W896" t="s">
        <v>46</v>
      </c>
      <c r="Z896">
        <v>97</v>
      </c>
      <c r="AA896">
        <v>132</v>
      </c>
      <c r="AB896">
        <v>77</v>
      </c>
      <c r="AC896">
        <v>62</v>
      </c>
      <c r="AD896">
        <v>67</v>
      </c>
      <c r="AE896">
        <v>43</v>
      </c>
      <c r="AF896">
        <v>478</v>
      </c>
      <c r="AG896">
        <v>0</v>
      </c>
      <c r="AH896">
        <v>2</v>
      </c>
      <c r="AI896">
        <v>0</v>
      </c>
      <c r="AJ896">
        <v>0</v>
      </c>
      <c r="AK896">
        <v>0</v>
      </c>
      <c r="AL896">
        <v>0</v>
      </c>
    </row>
    <row r="897" spans="1:38" x14ac:dyDescent="0.25">
      <c r="A897" t="s">
        <v>2106</v>
      </c>
      <c r="B897" t="s">
        <v>2107</v>
      </c>
      <c r="C897" s="1">
        <v>741</v>
      </c>
      <c r="D897" s="1" t="s">
        <v>2105</v>
      </c>
      <c r="E897">
        <v>7</v>
      </c>
      <c r="F897">
        <v>0.6</v>
      </c>
      <c r="G897">
        <v>3.4</v>
      </c>
      <c r="H897" t="s">
        <v>57</v>
      </c>
      <c r="I897" t="s">
        <v>66</v>
      </c>
      <c r="J897" t="s">
        <v>2108</v>
      </c>
      <c r="M897" t="s">
        <v>60</v>
      </c>
      <c r="N897">
        <v>25</v>
      </c>
      <c r="O897">
        <v>75</v>
      </c>
      <c r="P897">
        <v>0</v>
      </c>
      <c r="Q897">
        <v>20</v>
      </c>
      <c r="R897" t="s">
        <v>66</v>
      </c>
      <c r="T897">
        <v>45</v>
      </c>
      <c r="U897">
        <v>167</v>
      </c>
      <c r="V897">
        <v>1000000</v>
      </c>
      <c r="W897" t="s">
        <v>46</v>
      </c>
      <c r="Z897">
        <v>75</v>
      </c>
      <c r="AA897">
        <v>70</v>
      </c>
      <c r="AB897">
        <v>70</v>
      </c>
      <c r="AC897">
        <v>98</v>
      </c>
      <c r="AD897">
        <v>70</v>
      </c>
      <c r="AE897">
        <v>93</v>
      </c>
      <c r="AF897">
        <v>476</v>
      </c>
      <c r="AG897">
        <v>0</v>
      </c>
      <c r="AH897">
        <v>0</v>
      </c>
      <c r="AI897">
        <v>0</v>
      </c>
      <c r="AJ897">
        <v>2</v>
      </c>
      <c r="AK897">
        <v>0</v>
      </c>
      <c r="AL897">
        <v>0</v>
      </c>
    </row>
    <row r="898" spans="1:38" x14ac:dyDescent="0.25">
      <c r="A898" t="s">
        <v>2106</v>
      </c>
      <c r="B898" t="s">
        <v>2110</v>
      </c>
      <c r="C898" s="1">
        <v>741</v>
      </c>
      <c r="D898" s="1" t="s">
        <v>2109</v>
      </c>
      <c r="E898">
        <v>7</v>
      </c>
      <c r="F898">
        <v>0.6</v>
      </c>
      <c r="G898">
        <v>3.4</v>
      </c>
      <c r="H898" t="s">
        <v>154</v>
      </c>
      <c r="I898" t="s">
        <v>66</v>
      </c>
      <c r="J898" t="s">
        <v>2108</v>
      </c>
      <c r="M898" t="s">
        <v>106</v>
      </c>
      <c r="N898">
        <v>25</v>
      </c>
      <c r="O898">
        <v>75</v>
      </c>
      <c r="P898">
        <v>0</v>
      </c>
      <c r="Q898">
        <v>20</v>
      </c>
      <c r="R898" t="s">
        <v>66</v>
      </c>
      <c r="T898">
        <v>45</v>
      </c>
      <c r="U898">
        <v>167</v>
      </c>
      <c r="V898">
        <v>1000000</v>
      </c>
      <c r="W898" t="s">
        <v>46</v>
      </c>
      <c r="Z898">
        <v>75</v>
      </c>
      <c r="AA898">
        <v>70</v>
      </c>
      <c r="AB898">
        <v>70</v>
      </c>
      <c r="AC898">
        <v>98</v>
      </c>
      <c r="AD898">
        <v>70</v>
      </c>
      <c r="AE898">
        <v>93</v>
      </c>
      <c r="AF898">
        <v>476</v>
      </c>
      <c r="AG898">
        <v>0</v>
      </c>
      <c r="AH898">
        <v>0</v>
      </c>
      <c r="AI898">
        <v>0</v>
      </c>
      <c r="AJ898">
        <v>2</v>
      </c>
      <c r="AK898">
        <v>0</v>
      </c>
      <c r="AL898">
        <v>0</v>
      </c>
    </row>
    <row r="899" spans="1:38" x14ac:dyDescent="0.25">
      <c r="A899" t="s">
        <v>2106</v>
      </c>
      <c r="B899" t="s">
        <v>2112</v>
      </c>
      <c r="C899" s="1">
        <v>741</v>
      </c>
      <c r="D899" s="1" t="s">
        <v>2111</v>
      </c>
      <c r="E899">
        <v>7</v>
      </c>
      <c r="F899">
        <v>0.6</v>
      </c>
      <c r="G899">
        <v>3.4</v>
      </c>
      <c r="H899" t="s">
        <v>162</v>
      </c>
      <c r="I899" t="s">
        <v>66</v>
      </c>
      <c r="J899" t="s">
        <v>2108</v>
      </c>
      <c r="M899" t="s">
        <v>199</v>
      </c>
      <c r="N899">
        <v>25</v>
      </c>
      <c r="O899">
        <v>75</v>
      </c>
      <c r="P899">
        <v>0</v>
      </c>
      <c r="Q899">
        <v>20</v>
      </c>
      <c r="R899" t="s">
        <v>66</v>
      </c>
      <c r="T899">
        <v>45</v>
      </c>
      <c r="U899">
        <v>167</v>
      </c>
      <c r="V899">
        <v>1000000</v>
      </c>
      <c r="W899" t="s">
        <v>46</v>
      </c>
      <c r="Z899">
        <v>75</v>
      </c>
      <c r="AA899">
        <v>70</v>
      </c>
      <c r="AB899">
        <v>70</v>
      </c>
      <c r="AC899">
        <v>98</v>
      </c>
      <c r="AD899">
        <v>70</v>
      </c>
      <c r="AE899">
        <v>93</v>
      </c>
      <c r="AF899">
        <v>476</v>
      </c>
      <c r="AG899">
        <v>0</v>
      </c>
      <c r="AH899">
        <v>0</v>
      </c>
      <c r="AI899">
        <v>0</v>
      </c>
      <c r="AJ899">
        <v>2</v>
      </c>
      <c r="AK899">
        <v>0</v>
      </c>
      <c r="AL899">
        <v>0</v>
      </c>
    </row>
    <row r="900" spans="1:38" x14ac:dyDescent="0.25">
      <c r="A900" t="s">
        <v>2106</v>
      </c>
      <c r="B900" t="s">
        <v>2114</v>
      </c>
      <c r="C900" s="1">
        <v>741</v>
      </c>
      <c r="D900" s="1" t="s">
        <v>2113</v>
      </c>
      <c r="E900">
        <v>7</v>
      </c>
      <c r="F900">
        <v>0.6</v>
      </c>
      <c r="G900">
        <v>3.4</v>
      </c>
      <c r="H900" t="s">
        <v>419</v>
      </c>
      <c r="I900" t="s">
        <v>66</v>
      </c>
      <c r="J900" t="s">
        <v>2108</v>
      </c>
      <c r="M900" t="s">
        <v>131</v>
      </c>
      <c r="N900">
        <v>25</v>
      </c>
      <c r="O900">
        <v>75</v>
      </c>
      <c r="P900">
        <v>0</v>
      </c>
      <c r="Q900">
        <v>20</v>
      </c>
      <c r="R900" t="s">
        <v>66</v>
      </c>
      <c r="T900">
        <v>45</v>
      </c>
      <c r="U900">
        <v>167</v>
      </c>
      <c r="V900">
        <v>1000000</v>
      </c>
      <c r="W900" t="s">
        <v>46</v>
      </c>
      <c r="Z900">
        <v>75</v>
      </c>
      <c r="AA900">
        <v>70</v>
      </c>
      <c r="AB900">
        <v>70</v>
      </c>
      <c r="AC900">
        <v>98</v>
      </c>
      <c r="AD900">
        <v>70</v>
      </c>
      <c r="AE900">
        <v>93</v>
      </c>
      <c r="AF900">
        <v>476</v>
      </c>
      <c r="AG900">
        <v>0</v>
      </c>
      <c r="AH900">
        <v>0</v>
      </c>
      <c r="AI900">
        <v>0</v>
      </c>
      <c r="AJ900">
        <v>2</v>
      </c>
      <c r="AK900">
        <v>0</v>
      </c>
      <c r="AL900">
        <v>0</v>
      </c>
    </row>
    <row r="901" spans="1:38" x14ac:dyDescent="0.25">
      <c r="A901" t="s">
        <v>2116</v>
      </c>
      <c r="B901" t="s">
        <v>2116</v>
      </c>
      <c r="C901" s="1">
        <v>742</v>
      </c>
      <c r="D901" s="1" t="s">
        <v>2115</v>
      </c>
      <c r="E901">
        <v>7</v>
      </c>
      <c r="F901">
        <v>0.1</v>
      </c>
      <c r="G901">
        <v>0.2</v>
      </c>
      <c r="H901" t="s">
        <v>90</v>
      </c>
      <c r="I901" t="s">
        <v>157</v>
      </c>
      <c r="J901" t="s">
        <v>780</v>
      </c>
      <c r="K901" t="s">
        <v>91</v>
      </c>
      <c r="L901" t="s">
        <v>1951</v>
      </c>
      <c r="M901" t="s">
        <v>106</v>
      </c>
      <c r="N901">
        <v>50</v>
      </c>
      <c r="O901">
        <v>50</v>
      </c>
      <c r="P901">
        <v>0</v>
      </c>
      <c r="Q901">
        <v>20</v>
      </c>
      <c r="R901" t="s">
        <v>90</v>
      </c>
      <c r="S901" t="s">
        <v>157</v>
      </c>
      <c r="T901">
        <v>190</v>
      </c>
      <c r="U901">
        <v>61</v>
      </c>
      <c r="V901">
        <v>1000000</v>
      </c>
      <c r="W901" t="s">
        <v>46</v>
      </c>
      <c r="Z901">
        <v>40</v>
      </c>
      <c r="AA901">
        <v>45</v>
      </c>
      <c r="AB901">
        <v>40</v>
      </c>
      <c r="AC901">
        <v>55</v>
      </c>
      <c r="AD901">
        <v>40</v>
      </c>
      <c r="AE901">
        <v>84</v>
      </c>
      <c r="AF901">
        <v>304</v>
      </c>
      <c r="AG901">
        <v>0</v>
      </c>
      <c r="AH901">
        <v>0</v>
      </c>
      <c r="AI901">
        <v>0</v>
      </c>
      <c r="AJ901">
        <v>0</v>
      </c>
      <c r="AK901">
        <v>0</v>
      </c>
      <c r="AL901">
        <v>1</v>
      </c>
    </row>
    <row r="902" spans="1:38" x14ac:dyDescent="0.25">
      <c r="A902" t="s">
        <v>2118</v>
      </c>
      <c r="B902" t="s">
        <v>2118</v>
      </c>
      <c r="C902" s="1">
        <v>743</v>
      </c>
      <c r="D902" s="1" t="s">
        <v>2117</v>
      </c>
      <c r="E902">
        <v>7</v>
      </c>
      <c r="F902">
        <v>0.2</v>
      </c>
      <c r="G902">
        <v>0.5</v>
      </c>
      <c r="H902" t="s">
        <v>90</v>
      </c>
      <c r="I902" t="s">
        <v>157</v>
      </c>
      <c r="J902" t="s">
        <v>780</v>
      </c>
      <c r="K902" t="s">
        <v>91</v>
      </c>
      <c r="L902" t="s">
        <v>1951</v>
      </c>
      <c r="M902" t="s">
        <v>106</v>
      </c>
      <c r="N902">
        <v>50</v>
      </c>
      <c r="O902">
        <v>50</v>
      </c>
      <c r="P902">
        <v>0</v>
      </c>
      <c r="Q902">
        <v>20</v>
      </c>
      <c r="R902" t="s">
        <v>90</v>
      </c>
      <c r="S902" t="s">
        <v>157</v>
      </c>
      <c r="T902">
        <v>75</v>
      </c>
      <c r="U902">
        <v>162</v>
      </c>
      <c r="V902">
        <v>1000000</v>
      </c>
      <c r="W902" t="s">
        <v>46</v>
      </c>
      <c r="Z902">
        <v>60</v>
      </c>
      <c r="AA902">
        <v>55</v>
      </c>
      <c r="AB902">
        <v>60</v>
      </c>
      <c r="AC902">
        <v>95</v>
      </c>
      <c r="AD902">
        <v>70</v>
      </c>
      <c r="AE902">
        <v>124</v>
      </c>
      <c r="AF902">
        <v>464</v>
      </c>
      <c r="AG902">
        <v>0</v>
      </c>
      <c r="AH902">
        <v>0</v>
      </c>
      <c r="AI902">
        <v>0</v>
      </c>
      <c r="AJ902">
        <v>0</v>
      </c>
      <c r="AK902">
        <v>0</v>
      </c>
      <c r="AL902">
        <v>2</v>
      </c>
    </row>
    <row r="903" spans="1:38" x14ac:dyDescent="0.25">
      <c r="A903" t="s">
        <v>2120</v>
      </c>
      <c r="B903" t="s">
        <v>2120</v>
      </c>
      <c r="C903" s="1">
        <v>744</v>
      </c>
      <c r="D903" s="1" t="s">
        <v>2119</v>
      </c>
      <c r="E903">
        <v>7</v>
      </c>
      <c r="F903">
        <v>0.5</v>
      </c>
      <c r="G903">
        <v>9.1999999999999993</v>
      </c>
      <c r="H903" t="s">
        <v>290</v>
      </c>
      <c r="J903" t="s">
        <v>117</v>
      </c>
      <c r="K903" t="s">
        <v>280</v>
      </c>
      <c r="L903" t="s">
        <v>317</v>
      </c>
      <c r="M903" t="s">
        <v>103</v>
      </c>
      <c r="N903">
        <v>50</v>
      </c>
      <c r="O903">
        <v>50</v>
      </c>
      <c r="P903">
        <v>0</v>
      </c>
      <c r="Q903">
        <v>15</v>
      </c>
      <c r="R903" t="s">
        <v>132</v>
      </c>
      <c r="T903">
        <v>190</v>
      </c>
      <c r="U903">
        <v>56</v>
      </c>
      <c r="V903">
        <v>1000000</v>
      </c>
      <c r="W903" t="s">
        <v>46</v>
      </c>
      <c r="Z903">
        <v>45</v>
      </c>
      <c r="AA903">
        <v>65</v>
      </c>
      <c r="AB903">
        <v>40</v>
      </c>
      <c r="AC903">
        <v>30</v>
      </c>
      <c r="AD903">
        <v>40</v>
      </c>
      <c r="AE903">
        <v>60</v>
      </c>
      <c r="AF903">
        <v>280</v>
      </c>
      <c r="AG903">
        <v>0</v>
      </c>
      <c r="AH903">
        <v>1</v>
      </c>
      <c r="AI903">
        <v>0</v>
      </c>
      <c r="AJ903">
        <v>0</v>
      </c>
      <c r="AK903">
        <v>0</v>
      </c>
      <c r="AL903">
        <v>0</v>
      </c>
    </row>
    <row r="904" spans="1:38" x14ac:dyDescent="0.25">
      <c r="A904" t="s">
        <v>2122</v>
      </c>
      <c r="B904" t="s">
        <v>2123</v>
      </c>
      <c r="C904" s="1">
        <v>745</v>
      </c>
      <c r="D904" s="1" t="s">
        <v>2121</v>
      </c>
      <c r="E904">
        <v>7</v>
      </c>
      <c r="F904">
        <v>0.8</v>
      </c>
      <c r="G904">
        <v>25</v>
      </c>
      <c r="H904" t="s">
        <v>290</v>
      </c>
      <c r="J904" t="s">
        <v>117</v>
      </c>
      <c r="K904" t="s">
        <v>167</v>
      </c>
      <c r="L904" t="s">
        <v>317</v>
      </c>
      <c r="M904" t="s">
        <v>103</v>
      </c>
      <c r="N904">
        <v>50</v>
      </c>
      <c r="O904">
        <v>50</v>
      </c>
      <c r="P904">
        <v>0</v>
      </c>
      <c r="Q904">
        <v>15</v>
      </c>
      <c r="R904" t="s">
        <v>132</v>
      </c>
      <c r="T904">
        <v>90</v>
      </c>
      <c r="U904">
        <v>170</v>
      </c>
      <c r="V904">
        <v>1000000</v>
      </c>
      <c r="W904" t="s">
        <v>46</v>
      </c>
      <c r="Z904">
        <v>75</v>
      </c>
      <c r="AA904">
        <v>115</v>
      </c>
      <c r="AB904">
        <v>65</v>
      </c>
      <c r="AC904">
        <v>55</v>
      </c>
      <c r="AD904">
        <v>65</v>
      </c>
      <c r="AE904">
        <v>112</v>
      </c>
      <c r="AF904">
        <v>487</v>
      </c>
      <c r="AG904">
        <v>0</v>
      </c>
      <c r="AH904">
        <v>2</v>
      </c>
      <c r="AI904">
        <v>0</v>
      </c>
      <c r="AJ904">
        <v>0</v>
      </c>
      <c r="AK904">
        <v>0</v>
      </c>
      <c r="AL904">
        <v>0</v>
      </c>
    </row>
    <row r="905" spans="1:38" x14ac:dyDescent="0.25">
      <c r="A905" t="s">
        <v>2122</v>
      </c>
      <c r="B905" t="s">
        <v>2125</v>
      </c>
      <c r="C905" s="1">
        <v>745</v>
      </c>
      <c r="D905" s="1" t="s">
        <v>2124</v>
      </c>
      <c r="E905">
        <v>7</v>
      </c>
      <c r="F905">
        <v>1.1000000000000001</v>
      </c>
      <c r="G905">
        <v>25</v>
      </c>
      <c r="H905" t="s">
        <v>290</v>
      </c>
      <c r="J905" t="s">
        <v>117</v>
      </c>
      <c r="K905" t="s">
        <v>280</v>
      </c>
      <c r="L905" t="s">
        <v>126</v>
      </c>
      <c r="M905" t="s">
        <v>60</v>
      </c>
      <c r="N905">
        <v>50</v>
      </c>
      <c r="O905">
        <v>50</v>
      </c>
      <c r="P905">
        <v>0</v>
      </c>
      <c r="Q905">
        <v>15</v>
      </c>
      <c r="R905" t="s">
        <v>132</v>
      </c>
      <c r="T905">
        <v>90</v>
      </c>
      <c r="U905">
        <v>170</v>
      </c>
      <c r="V905">
        <v>1000000</v>
      </c>
      <c r="W905" t="s">
        <v>46</v>
      </c>
      <c r="Z905">
        <v>85</v>
      </c>
      <c r="AA905">
        <v>115</v>
      </c>
      <c r="AB905">
        <v>75</v>
      </c>
      <c r="AC905">
        <v>55</v>
      </c>
      <c r="AD905">
        <v>75</v>
      </c>
      <c r="AE905">
        <v>82</v>
      </c>
      <c r="AF905">
        <v>487</v>
      </c>
      <c r="AG905">
        <v>0</v>
      </c>
      <c r="AH905">
        <v>2</v>
      </c>
      <c r="AI905">
        <v>0</v>
      </c>
      <c r="AJ905">
        <v>0</v>
      </c>
      <c r="AK905">
        <v>0</v>
      </c>
      <c r="AL905">
        <v>0</v>
      </c>
    </row>
    <row r="906" spans="1:38" x14ac:dyDescent="0.25">
      <c r="A906" t="s">
        <v>2122</v>
      </c>
      <c r="B906" t="s">
        <v>2127</v>
      </c>
      <c r="C906" s="1">
        <v>745</v>
      </c>
      <c r="D906" s="1" t="s">
        <v>2126</v>
      </c>
      <c r="E906">
        <v>7</v>
      </c>
      <c r="F906">
        <v>0.8</v>
      </c>
      <c r="G906">
        <v>25</v>
      </c>
      <c r="H906" t="s">
        <v>290</v>
      </c>
      <c r="J906" t="s">
        <v>69</v>
      </c>
      <c r="M906" t="s">
        <v>103</v>
      </c>
      <c r="N906">
        <v>50</v>
      </c>
      <c r="O906">
        <v>50</v>
      </c>
      <c r="P906">
        <v>0</v>
      </c>
      <c r="Q906">
        <v>15</v>
      </c>
      <c r="R906" t="s">
        <v>132</v>
      </c>
      <c r="T906">
        <v>90</v>
      </c>
      <c r="U906">
        <v>170</v>
      </c>
      <c r="V906">
        <v>1000000</v>
      </c>
      <c r="W906" t="s">
        <v>46</v>
      </c>
      <c r="Z906">
        <v>75</v>
      </c>
      <c r="AA906">
        <v>117</v>
      </c>
      <c r="AB906">
        <v>65</v>
      </c>
      <c r="AC906">
        <v>55</v>
      </c>
      <c r="AD906">
        <v>65</v>
      </c>
      <c r="AE906">
        <v>110</v>
      </c>
      <c r="AF906">
        <v>487</v>
      </c>
      <c r="AG906">
        <v>0</v>
      </c>
      <c r="AH906">
        <v>2</v>
      </c>
      <c r="AI906">
        <v>0</v>
      </c>
      <c r="AJ906">
        <v>0</v>
      </c>
      <c r="AK906">
        <v>0</v>
      </c>
      <c r="AL906">
        <v>0</v>
      </c>
    </row>
    <row r="907" spans="1:38" x14ac:dyDescent="0.25">
      <c r="A907" t="s">
        <v>2129</v>
      </c>
      <c r="B907" t="s">
        <v>2130</v>
      </c>
      <c r="C907" s="1">
        <v>746</v>
      </c>
      <c r="D907" s="1" t="s">
        <v>2128</v>
      </c>
      <c r="E907">
        <v>7</v>
      </c>
      <c r="F907">
        <v>0.2</v>
      </c>
      <c r="G907">
        <v>0.3</v>
      </c>
      <c r="H907" t="s">
        <v>76</v>
      </c>
      <c r="J907" t="s">
        <v>2131</v>
      </c>
      <c r="M907" t="s">
        <v>79</v>
      </c>
      <c r="N907">
        <v>50</v>
      </c>
      <c r="O907">
        <v>50</v>
      </c>
      <c r="P907">
        <v>0</v>
      </c>
      <c r="Q907">
        <v>15</v>
      </c>
      <c r="R907" t="s">
        <v>508</v>
      </c>
      <c r="T907">
        <v>60</v>
      </c>
      <c r="U907">
        <v>61</v>
      </c>
      <c r="V907">
        <v>800000</v>
      </c>
      <c r="W907" t="s">
        <v>46</v>
      </c>
      <c r="Z907">
        <v>45</v>
      </c>
      <c r="AA907">
        <v>20</v>
      </c>
      <c r="AB907">
        <v>20</v>
      </c>
      <c r="AC907">
        <v>25</v>
      </c>
      <c r="AD907">
        <v>25</v>
      </c>
      <c r="AE907">
        <v>40</v>
      </c>
      <c r="AF907">
        <v>175</v>
      </c>
      <c r="AG907">
        <v>1</v>
      </c>
      <c r="AH907">
        <v>0</v>
      </c>
      <c r="AI907">
        <v>0</v>
      </c>
      <c r="AJ907">
        <v>0</v>
      </c>
      <c r="AK907">
        <v>0</v>
      </c>
      <c r="AL907">
        <v>0</v>
      </c>
    </row>
    <row r="908" spans="1:38" x14ac:dyDescent="0.25">
      <c r="A908" t="s">
        <v>2129</v>
      </c>
      <c r="B908" t="s">
        <v>2133</v>
      </c>
      <c r="C908" s="1">
        <v>746</v>
      </c>
      <c r="D908" s="1" t="s">
        <v>2132</v>
      </c>
      <c r="E908">
        <v>7</v>
      </c>
      <c r="F908">
        <v>8.1999999999999993</v>
      </c>
      <c r="G908">
        <v>78.599999999999994</v>
      </c>
      <c r="H908" t="s">
        <v>76</v>
      </c>
      <c r="J908" t="s">
        <v>2131</v>
      </c>
      <c r="M908" t="s">
        <v>79</v>
      </c>
      <c r="N908">
        <v>50</v>
      </c>
      <c r="O908">
        <v>50</v>
      </c>
      <c r="P908">
        <v>0</v>
      </c>
      <c r="Q908">
        <v>15</v>
      </c>
      <c r="R908" t="s">
        <v>508</v>
      </c>
      <c r="T908">
        <v>60</v>
      </c>
      <c r="U908">
        <v>217</v>
      </c>
      <c r="V908">
        <v>800000</v>
      </c>
      <c r="W908" t="s">
        <v>46</v>
      </c>
      <c r="Z908">
        <v>45</v>
      </c>
      <c r="AA908">
        <v>140</v>
      </c>
      <c r="AB908">
        <v>130</v>
      </c>
      <c r="AC908">
        <v>140</v>
      </c>
      <c r="AD908">
        <v>135</v>
      </c>
      <c r="AE908">
        <v>30</v>
      </c>
      <c r="AF908">
        <v>620</v>
      </c>
      <c r="AG908">
        <v>1</v>
      </c>
      <c r="AH908">
        <v>0</v>
      </c>
      <c r="AI908">
        <v>0</v>
      </c>
      <c r="AJ908">
        <v>0</v>
      </c>
      <c r="AK908">
        <v>0</v>
      </c>
      <c r="AL908">
        <v>0</v>
      </c>
    </row>
    <row r="909" spans="1:38" x14ac:dyDescent="0.25">
      <c r="A909" t="s">
        <v>2135</v>
      </c>
      <c r="B909" t="s">
        <v>2135</v>
      </c>
      <c r="C909" s="1">
        <v>747</v>
      </c>
      <c r="D909" s="1" t="s">
        <v>2134</v>
      </c>
      <c r="E909">
        <v>7</v>
      </c>
      <c r="F909">
        <v>0.4</v>
      </c>
      <c r="G909">
        <v>8</v>
      </c>
      <c r="H909" t="s">
        <v>41</v>
      </c>
      <c r="I909" t="s">
        <v>76</v>
      </c>
      <c r="J909" t="s">
        <v>2136</v>
      </c>
      <c r="K909" t="s">
        <v>267</v>
      </c>
      <c r="L909" t="s">
        <v>367</v>
      </c>
      <c r="M909" t="s">
        <v>79</v>
      </c>
      <c r="N909">
        <v>50</v>
      </c>
      <c r="O909">
        <v>50</v>
      </c>
      <c r="P909">
        <v>0</v>
      </c>
      <c r="Q909">
        <v>20</v>
      </c>
      <c r="R909" t="s">
        <v>80</v>
      </c>
      <c r="T909">
        <v>190</v>
      </c>
      <c r="U909">
        <v>61</v>
      </c>
      <c r="V909">
        <v>1000000</v>
      </c>
      <c r="W909" t="s">
        <v>46</v>
      </c>
      <c r="Z909">
        <v>50</v>
      </c>
      <c r="AA909">
        <v>53</v>
      </c>
      <c r="AB909">
        <v>62</v>
      </c>
      <c r="AC909">
        <v>43</v>
      </c>
      <c r="AD909">
        <v>52</v>
      </c>
      <c r="AE909">
        <v>45</v>
      </c>
      <c r="AF909">
        <v>305</v>
      </c>
      <c r="AG909">
        <v>0</v>
      </c>
      <c r="AH909">
        <v>0</v>
      </c>
      <c r="AI909">
        <v>1</v>
      </c>
      <c r="AJ909">
        <v>0</v>
      </c>
      <c r="AK909">
        <v>0</v>
      </c>
      <c r="AL909">
        <v>0</v>
      </c>
    </row>
    <row r="910" spans="1:38" x14ac:dyDescent="0.25">
      <c r="A910" t="s">
        <v>2138</v>
      </c>
      <c r="B910" t="s">
        <v>2138</v>
      </c>
      <c r="C910" s="1">
        <v>748</v>
      </c>
      <c r="D910" s="1" t="s">
        <v>2137</v>
      </c>
      <c r="E910">
        <v>7</v>
      </c>
      <c r="F910">
        <v>0.7</v>
      </c>
      <c r="G910">
        <v>14.5</v>
      </c>
      <c r="H910" t="s">
        <v>41</v>
      </c>
      <c r="I910" t="s">
        <v>76</v>
      </c>
      <c r="J910" t="s">
        <v>2136</v>
      </c>
      <c r="K910" t="s">
        <v>267</v>
      </c>
      <c r="L910" t="s">
        <v>367</v>
      </c>
      <c r="M910" t="s">
        <v>79</v>
      </c>
      <c r="N910">
        <v>50</v>
      </c>
      <c r="O910">
        <v>50</v>
      </c>
      <c r="P910">
        <v>0</v>
      </c>
      <c r="Q910">
        <v>20</v>
      </c>
      <c r="R910" t="s">
        <v>80</v>
      </c>
      <c r="T910">
        <v>75</v>
      </c>
      <c r="U910">
        <v>173</v>
      </c>
      <c r="V910">
        <v>1000000</v>
      </c>
      <c r="W910" t="s">
        <v>46</v>
      </c>
      <c r="Z910">
        <v>50</v>
      </c>
      <c r="AA910">
        <v>63</v>
      </c>
      <c r="AB910">
        <v>152</v>
      </c>
      <c r="AC910">
        <v>53</v>
      </c>
      <c r="AD910">
        <v>142</v>
      </c>
      <c r="AE910">
        <v>35</v>
      </c>
      <c r="AF910">
        <v>495</v>
      </c>
      <c r="AG910">
        <v>0</v>
      </c>
      <c r="AH910">
        <v>0</v>
      </c>
      <c r="AI910">
        <v>2</v>
      </c>
      <c r="AJ910">
        <v>0</v>
      </c>
      <c r="AK910">
        <v>0</v>
      </c>
      <c r="AL910">
        <v>0</v>
      </c>
    </row>
    <row r="911" spans="1:38" x14ac:dyDescent="0.25">
      <c r="A911" t="s">
        <v>2140</v>
      </c>
      <c r="B911" t="s">
        <v>2140</v>
      </c>
      <c r="C911" s="1">
        <v>749</v>
      </c>
      <c r="D911" s="1" t="s">
        <v>2139</v>
      </c>
      <c r="E911">
        <v>7</v>
      </c>
      <c r="F911">
        <v>1</v>
      </c>
      <c r="G911">
        <v>110</v>
      </c>
      <c r="H911" t="s">
        <v>132</v>
      </c>
      <c r="J911" t="s">
        <v>366</v>
      </c>
      <c r="K911" t="s">
        <v>2141</v>
      </c>
      <c r="L911" t="s">
        <v>221</v>
      </c>
      <c r="M911" t="s">
        <v>103</v>
      </c>
      <c r="N911">
        <v>50</v>
      </c>
      <c r="O911">
        <v>50</v>
      </c>
      <c r="P911">
        <v>0</v>
      </c>
      <c r="Q911">
        <v>20</v>
      </c>
      <c r="R911" t="s">
        <v>132</v>
      </c>
      <c r="T911">
        <v>190</v>
      </c>
      <c r="U911">
        <v>77</v>
      </c>
      <c r="V911">
        <v>1000000</v>
      </c>
      <c r="W911" t="s">
        <v>46</v>
      </c>
      <c r="Z911">
        <v>70</v>
      </c>
      <c r="AA911">
        <v>100</v>
      </c>
      <c r="AB911">
        <v>70</v>
      </c>
      <c r="AC911">
        <v>45</v>
      </c>
      <c r="AD911">
        <v>55</v>
      </c>
      <c r="AE911">
        <v>45</v>
      </c>
      <c r="AF911">
        <v>385</v>
      </c>
      <c r="AG911">
        <v>0</v>
      </c>
      <c r="AH911">
        <v>1</v>
      </c>
      <c r="AI911">
        <v>0</v>
      </c>
      <c r="AJ911">
        <v>0</v>
      </c>
      <c r="AK911">
        <v>0</v>
      </c>
      <c r="AL911">
        <v>0</v>
      </c>
    </row>
    <row r="912" spans="1:38" x14ac:dyDescent="0.25">
      <c r="A912" t="s">
        <v>2143</v>
      </c>
      <c r="B912" t="s">
        <v>2143</v>
      </c>
      <c r="C912" s="1">
        <v>750</v>
      </c>
      <c r="D912" s="1" t="s">
        <v>2142</v>
      </c>
      <c r="E912">
        <v>7</v>
      </c>
      <c r="F912">
        <v>2.5</v>
      </c>
      <c r="G912">
        <v>920</v>
      </c>
      <c r="H912" t="s">
        <v>132</v>
      </c>
      <c r="J912" t="s">
        <v>366</v>
      </c>
      <c r="K912" t="s">
        <v>2141</v>
      </c>
      <c r="L912" t="s">
        <v>221</v>
      </c>
      <c r="M912" t="s">
        <v>103</v>
      </c>
      <c r="N912">
        <v>50</v>
      </c>
      <c r="O912">
        <v>50</v>
      </c>
      <c r="P912">
        <v>0</v>
      </c>
      <c r="Q912">
        <v>20</v>
      </c>
      <c r="R912" t="s">
        <v>132</v>
      </c>
      <c r="T912">
        <v>60</v>
      </c>
      <c r="U912">
        <v>175</v>
      </c>
      <c r="V912">
        <v>1000000</v>
      </c>
      <c r="W912" t="s">
        <v>46</v>
      </c>
      <c r="Z912">
        <v>100</v>
      </c>
      <c r="AA912">
        <v>125</v>
      </c>
      <c r="AB912">
        <v>100</v>
      </c>
      <c r="AC912">
        <v>55</v>
      </c>
      <c r="AD912">
        <v>85</v>
      </c>
      <c r="AE912">
        <v>35</v>
      </c>
      <c r="AF912">
        <v>500</v>
      </c>
      <c r="AG912">
        <v>0</v>
      </c>
      <c r="AH912">
        <v>2</v>
      </c>
      <c r="AI912">
        <v>0</v>
      </c>
      <c r="AJ912">
        <v>0</v>
      </c>
      <c r="AK912">
        <v>0</v>
      </c>
      <c r="AL912">
        <v>0</v>
      </c>
    </row>
    <row r="913" spans="1:38" x14ac:dyDescent="0.25">
      <c r="A913" t="s">
        <v>2145</v>
      </c>
      <c r="B913" t="s">
        <v>2145</v>
      </c>
      <c r="C913" s="1">
        <v>751</v>
      </c>
      <c r="D913" s="1" t="s">
        <v>2144</v>
      </c>
      <c r="E913">
        <v>7</v>
      </c>
      <c r="F913">
        <v>0.3</v>
      </c>
      <c r="G913">
        <v>4</v>
      </c>
      <c r="H913" t="s">
        <v>76</v>
      </c>
      <c r="I913" t="s">
        <v>90</v>
      </c>
      <c r="J913" t="s">
        <v>2146</v>
      </c>
      <c r="L913" t="s">
        <v>299</v>
      </c>
      <c r="M913" t="s">
        <v>44</v>
      </c>
      <c r="N913">
        <v>50</v>
      </c>
      <c r="O913">
        <v>50</v>
      </c>
      <c r="P913">
        <v>0</v>
      </c>
      <c r="Q913">
        <v>15</v>
      </c>
      <c r="R913" t="s">
        <v>80</v>
      </c>
      <c r="S913" t="s">
        <v>90</v>
      </c>
      <c r="T913">
        <v>200</v>
      </c>
      <c r="U913">
        <v>54</v>
      </c>
      <c r="V913">
        <v>1000000</v>
      </c>
      <c r="W913" t="s">
        <v>46</v>
      </c>
      <c r="Z913">
        <v>38</v>
      </c>
      <c r="AA913">
        <v>40</v>
      </c>
      <c r="AB913">
        <v>52</v>
      </c>
      <c r="AC913">
        <v>40</v>
      </c>
      <c r="AD913">
        <v>72</v>
      </c>
      <c r="AE913">
        <v>27</v>
      </c>
      <c r="AF913">
        <v>269</v>
      </c>
      <c r="AG913">
        <v>0</v>
      </c>
      <c r="AH913">
        <v>0</v>
      </c>
      <c r="AI913">
        <v>0</v>
      </c>
      <c r="AJ913">
        <v>0</v>
      </c>
      <c r="AK913">
        <v>1</v>
      </c>
      <c r="AL913">
        <v>0</v>
      </c>
    </row>
    <row r="914" spans="1:38" x14ac:dyDescent="0.25">
      <c r="A914" t="s">
        <v>2148</v>
      </c>
      <c r="B914" t="s">
        <v>2148</v>
      </c>
      <c r="C914" s="1">
        <v>752</v>
      </c>
      <c r="D914" s="1" t="s">
        <v>2147</v>
      </c>
      <c r="E914">
        <v>7</v>
      </c>
      <c r="F914">
        <v>1.8</v>
      </c>
      <c r="G914">
        <v>82</v>
      </c>
      <c r="H914" t="s">
        <v>76</v>
      </c>
      <c r="I914" t="s">
        <v>90</v>
      </c>
      <c r="J914" t="s">
        <v>2146</v>
      </c>
      <c r="L914" t="s">
        <v>299</v>
      </c>
      <c r="M914" t="s">
        <v>44</v>
      </c>
      <c r="N914">
        <v>50</v>
      </c>
      <c r="O914">
        <v>50</v>
      </c>
      <c r="P914">
        <v>0</v>
      </c>
      <c r="Q914">
        <v>15</v>
      </c>
      <c r="R914" t="s">
        <v>80</v>
      </c>
      <c r="S914" t="s">
        <v>90</v>
      </c>
      <c r="T914">
        <v>100</v>
      </c>
      <c r="U914">
        <v>159</v>
      </c>
      <c r="V914">
        <v>1000000</v>
      </c>
      <c r="W914" t="s">
        <v>46</v>
      </c>
      <c r="Z914">
        <v>68</v>
      </c>
      <c r="AA914">
        <v>70</v>
      </c>
      <c r="AB914">
        <v>92</v>
      </c>
      <c r="AC914">
        <v>50</v>
      </c>
      <c r="AD914">
        <v>132</v>
      </c>
      <c r="AE914">
        <v>42</v>
      </c>
      <c r="AF914">
        <v>454</v>
      </c>
      <c r="AG914">
        <v>0</v>
      </c>
      <c r="AH914">
        <v>0</v>
      </c>
      <c r="AI914">
        <v>0</v>
      </c>
      <c r="AJ914">
        <v>0</v>
      </c>
      <c r="AK914">
        <v>2</v>
      </c>
      <c r="AL914">
        <v>0</v>
      </c>
    </row>
    <row r="915" spans="1:38" x14ac:dyDescent="0.25">
      <c r="A915" t="s">
        <v>2150</v>
      </c>
      <c r="B915" t="s">
        <v>2150</v>
      </c>
      <c r="C915" s="1">
        <v>753</v>
      </c>
      <c r="D915" s="1" t="s">
        <v>2149</v>
      </c>
      <c r="E915">
        <v>7</v>
      </c>
      <c r="F915">
        <v>0.3</v>
      </c>
      <c r="G915">
        <v>1.5</v>
      </c>
      <c r="H915" t="s">
        <v>40</v>
      </c>
      <c r="J915" t="s">
        <v>495</v>
      </c>
      <c r="L915" t="s">
        <v>768</v>
      </c>
      <c r="M915" t="s">
        <v>199</v>
      </c>
      <c r="N915">
        <v>50</v>
      </c>
      <c r="O915">
        <v>50</v>
      </c>
      <c r="P915">
        <v>0</v>
      </c>
      <c r="Q915">
        <v>20</v>
      </c>
      <c r="R915" t="s">
        <v>40</v>
      </c>
      <c r="T915">
        <v>190</v>
      </c>
      <c r="U915">
        <v>50</v>
      </c>
      <c r="V915">
        <v>1000000</v>
      </c>
      <c r="W915" t="s">
        <v>46</v>
      </c>
      <c r="Z915">
        <v>40</v>
      </c>
      <c r="AA915">
        <v>55</v>
      </c>
      <c r="AB915">
        <v>35</v>
      </c>
      <c r="AC915">
        <v>50</v>
      </c>
      <c r="AD915">
        <v>35</v>
      </c>
      <c r="AE915">
        <v>35</v>
      </c>
      <c r="AF915">
        <v>250</v>
      </c>
      <c r="AG915">
        <v>0</v>
      </c>
      <c r="AH915">
        <v>1</v>
      </c>
      <c r="AI915">
        <v>0</v>
      </c>
      <c r="AJ915">
        <v>0</v>
      </c>
      <c r="AK915">
        <v>0</v>
      </c>
      <c r="AL915">
        <v>0</v>
      </c>
    </row>
    <row r="916" spans="1:38" x14ac:dyDescent="0.25">
      <c r="A916" t="s">
        <v>2152</v>
      </c>
      <c r="B916" t="s">
        <v>2152</v>
      </c>
      <c r="C916" s="1">
        <v>754</v>
      </c>
      <c r="D916" s="1" t="s">
        <v>2151</v>
      </c>
      <c r="E916">
        <v>7</v>
      </c>
      <c r="F916">
        <v>0.9</v>
      </c>
      <c r="G916">
        <v>18.5</v>
      </c>
      <c r="H916" t="s">
        <v>40</v>
      </c>
      <c r="J916" t="s">
        <v>495</v>
      </c>
      <c r="L916" t="s">
        <v>768</v>
      </c>
      <c r="M916" t="s">
        <v>199</v>
      </c>
      <c r="N916">
        <v>50</v>
      </c>
      <c r="O916">
        <v>50</v>
      </c>
      <c r="P916">
        <v>0</v>
      </c>
      <c r="Q916">
        <v>20</v>
      </c>
      <c r="R916" t="s">
        <v>40</v>
      </c>
      <c r="T916">
        <v>75</v>
      </c>
      <c r="U916">
        <v>168</v>
      </c>
      <c r="V916">
        <v>1000000</v>
      </c>
      <c r="W916" t="s">
        <v>46</v>
      </c>
      <c r="Z916">
        <v>70</v>
      </c>
      <c r="AA916">
        <v>105</v>
      </c>
      <c r="AB916">
        <v>90</v>
      </c>
      <c r="AC916">
        <v>80</v>
      </c>
      <c r="AD916">
        <v>90</v>
      </c>
      <c r="AE916">
        <v>45</v>
      </c>
      <c r="AF916">
        <v>480</v>
      </c>
      <c r="AG916">
        <v>0</v>
      </c>
      <c r="AH916">
        <v>2</v>
      </c>
      <c r="AI916">
        <v>0</v>
      </c>
      <c r="AJ916">
        <v>0</v>
      </c>
      <c r="AK916">
        <v>0</v>
      </c>
      <c r="AL916">
        <v>0</v>
      </c>
    </row>
    <row r="917" spans="1:38" x14ac:dyDescent="0.25">
      <c r="A917" t="s">
        <v>2154</v>
      </c>
      <c r="B917" t="s">
        <v>2154</v>
      </c>
      <c r="C917" s="1">
        <v>755</v>
      </c>
      <c r="D917" s="1" t="s">
        <v>2153</v>
      </c>
      <c r="E917">
        <v>7</v>
      </c>
      <c r="F917">
        <v>0.2</v>
      </c>
      <c r="G917">
        <v>1.5</v>
      </c>
      <c r="H917" t="s">
        <v>40</v>
      </c>
      <c r="I917" t="s">
        <v>157</v>
      </c>
      <c r="J917" t="s">
        <v>513</v>
      </c>
      <c r="K917" t="s">
        <v>232</v>
      </c>
      <c r="L917" t="s">
        <v>78</v>
      </c>
      <c r="M917" t="s">
        <v>131</v>
      </c>
      <c r="N917">
        <v>50</v>
      </c>
      <c r="O917">
        <v>50</v>
      </c>
      <c r="P917">
        <v>0</v>
      </c>
      <c r="Q917">
        <v>20</v>
      </c>
      <c r="R917" t="s">
        <v>40</v>
      </c>
      <c r="T917">
        <v>190</v>
      </c>
      <c r="U917">
        <v>57</v>
      </c>
      <c r="V917">
        <v>1000000</v>
      </c>
      <c r="W917" t="s">
        <v>46</v>
      </c>
      <c r="Z917">
        <v>40</v>
      </c>
      <c r="AA917">
        <v>35</v>
      </c>
      <c r="AB917">
        <v>55</v>
      </c>
      <c r="AC917">
        <v>65</v>
      </c>
      <c r="AD917">
        <v>75</v>
      </c>
      <c r="AE917">
        <v>15</v>
      </c>
      <c r="AF917">
        <v>285</v>
      </c>
      <c r="AG917">
        <v>0</v>
      </c>
      <c r="AH917">
        <v>0</v>
      </c>
      <c r="AI917">
        <v>0</v>
      </c>
      <c r="AJ917">
        <v>0</v>
      </c>
      <c r="AK917">
        <v>1</v>
      </c>
      <c r="AL917">
        <v>0</v>
      </c>
    </row>
    <row r="918" spans="1:38" x14ac:dyDescent="0.25">
      <c r="A918" t="s">
        <v>2156</v>
      </c>
      <c r="B918" t="s">
        <v>2156</v>
      </c>
      <c r="C918" s="1">
        <v>756</v>
      </c>
      <c r="D918" s="1" t="s">
        <v>2155</v>
      </c>
      <c r="E918">
        <v>7</v>
      </c>
      <c r="F918">
        <v>1</v>
      </c>
      <c r="G918">
        <v>11.5</v>
      </c>
      <c r="H918" t="s">
        <v>40</v>
      </c>
      <c r="I918" t="s">
        <v>157</v>
      </c>
      <c r="J918" t="s">
        <v>513</v>
      </c>
      <c r="K918" t="s">
        <v>232</v>
      </c>
      <c r="L918" t="s">
        <v>78</v>
      </c>
      <c r="M918" t="s">
        <v>131</v>
      </c>
      <c r="N918">
        <v>50</v>
      </c>
      <c r="O918">
        <v>50</v>
      </c>
      <c r="P918">
        <v>0</v>
      </c>
      <c r="Q918">
        <v>20</v>
      </c>
      <c r="R918" t="s">
        <v>40</v>
      </c>
      <c r="T918">
        <v>75</v>
      </c>
      <c r="U918">
        <v>142</v>
      </c>
      <c r="V918">
        <v>1000000</v>
      </c>
      <c r="W918" t="s">
        <v>46</v>
      </c>
      <c r="Z918">
        <v>60</v>
      </c>
      <c r="AA918">
        <v>45</v>
      </c>
      <c r="AB918">
        <v>80</v>
      </c>
      <c r="AC918">
        <v>90</v>
      </c>
      <c r="AD918">
        <v>100</v>
      </c>
      <c r="AE918">
        <v>30</v>
      </c>
      <c r="AF918">
        <v>405</v>
      </c>
      <c r="AG918">
        <v>0</v>
      </c>
      <c r="AH918">
        <v>0</v>
      </c>
      <c r="AI918">
        <v>0</v>
      </c>
      <c r="AJ918">
        <v>0</v>
      </c>
      <c r="AK918">
        <v>2</v>
      </c>
      <c r="AL918">
        <v>0</v>
      </c>
    </row>
    <row r="919" spans="1:38" x14ac:dyDescent="0.25">
      <c r="A919" t="s">
        <v>2158</v>
      </c>
      <c r="B919" t="s">
        <v>2158</v>
      </c>
      <c r="C919" s="1">
        <v>757</v>
      </c>
      <c r="D919" s="1" t="s">
        <v>2157</v>
      </c>
      <c r="E919">
        <v>7</v>
      </c>
      <c r="F919">
        <v>0.6</v>
      </c>
      <c r="G919">
        <v>4.8</v>
      </c>
      <c r="H919" t="s">
        <v>41</v>
      </c>
      <c r="I919" t="s">
        <v>57</v>
      </c>
      <c r="J919" t="s">
        <v>2159</v>
      </c>
      <c r="L919" t="s">
        <v>365</v>
      </c>
      <c r="M919" t="s">
        <v>70</v>
      </c>
      <c r="N919">
        <v>87.5</v>
      </c>
      <c r="O919">
        <v>12.5</v>
      </c>
      <c r="P919">
        <v>0</v>
      </c>
      <c r="Q919">
        <v>20</v>
      </c>
      <c r="R919" t="s">
        <v>45</v>
      </c>
      <c r="S919" t="s">
        <v>61</v>
      </c>
      <c r="T919">
        <v>120</v>
      </c>
      <c r="U919">
        <v>64</v>
      </c>
      <c r="V919">
        <v>1000000</v>
      </c>
      <c r="W919" t="s">
        <v>46</v>
      </c>
      <c r="Z919">
        <v>48</v>
      </c>
      <c r="AA919">
        <v>44</v>
      </c>
      <c r="AB919">
        <v>40</v>
      </c>
      <c r="AC919">
        <v>71</v>
      </c>
      <c r="AD919">
        <v>40</v>
      </c>
      <c r="AE919">
        <v>77</v>
      </c>
      <c r="AF919">
        <v>320</v>
      </c>
      <c r="AG919">
        <v>0</v>
      </c>
      <c r="AH919">
        <v>0</v>
      </c>
      <c r="AI919">
        <v>0</v>
      </c>
      <c r="AJ919">
        <v>0</v>
      </c>
      <c r="AK919">
        <v>0</v>
      </c>
      <c r="AL919">
        <v>1</v>
      </c>
    </row>
    <row r="920" spans="1:38" x14ac:dyDescent="0.25">
      <c r="A920" t="s">
        <v>2161</v>
      </c>
      <c r="B920" t="s">
        <v>2161</v>
      </c>
      <c r="C920" s="1">
        <v>758</v>
      </c>
      <c r="D920" s="1" t="s">
        <v>2160</v>
      </c>
      <c r="E920">
        <v>7</v>
      </c>
      <c r="F920">
        <v>1.2</v>
      </c>
      <c r="G920">
        <v>22.2</v>
      </c>
      <c r="H920" t="s">
        <v>41</v>
      </c>
      <c r="I920" t="s">
        <v>57</v>
      </c>
      <c r="J920" t="s">
        <v>2159</v>
      </c>
      <c r="L920" t="s">
        <v>365</v>
      </c>
      <c r="M920" t="s">
        <v>70</v>
      </c>
      <c r="N920">
        <v>0</v>
      </c>
      <c r="O920">
        <v>100</v>
      </c>
      <c r="P920">
        <v>0</v>
      </c>
      <c r="Q920">
        <v>20</v>
      </c>
      <c r="R920" t="s">
        <v>45</v>
      </c>
      <c r="S920" t="s">
        <v>61</v>
      </c>
      <c r="T920">
        <v>45</v>
      </c>
      <c r="U920">
        <v>168</v>
      </c>
      <c r="V920">
        <v>1000000</v>
      </c>
      <c r="W920" t="s">
        <v>46</v>
      </c>
      <c r="Z920">
        <v>68</v>
      </c>
      <c r="AA920">
        <v>64</v>
      </c>
      <c r="AB920">
        <v>60</v>
      </c>
      <c r="AC920">
        <v>111</v>
      </c>
      <c r="AD920">
        <v>60</v>
      </c>
      <c r="AE920">
        <v>117</v>
      </c>
      <c r="AF920">
        <v>480</v>
      </c>
      <c r="AG920">
        <v>0</v>
      </c>
      <c r="AH920">
        <v>0</v>
      </c>
      <c r="AI920">
        <v>0</v>
      </c>
      <c r="AJ920">
        <v>0</v>
      </c>
      <c r="AK920">
        <v>0</v>
      </c>
      <c r="AL920">
        <v>2</v>
      </c>
    </row>
    <row r="921" spans="1:38" x14ac:dyDescent="0.25">
      <c r="A921" t="s">
        <v>2163</v>
      </c>
      <c r="B921" t="s">
        <v>2163</v>
      </c>
      <c r="C921" s="1">
        <v>759</v>
      </c>
      <c r="D921" s="1" t="s">
        <v>2162</v>
      </c>
      <c r="E921">
        <v>7</v>
      </c>
      <c r="F921">
        <v>0.5</v>
      </c>
      <c r="G921">
        <v>6.8</v>
      </c>
      <c r="H921" t="s">
        <v>116</v>
      </c>
      <c r="I921" t="s">
        <v>279</v>
      </c>
      <c r="J921" t="s">
        <v>2164</v>
      </c>
      <c r="K921" t="s">
        <v>1317</v>
      </c>
      <c r="L921" t="s">
        <v>196</v>
      </c>
      <c r="M921" t="s">
        <v>199</v>
      </c>
      <c r="N921">
        <v>50</v>
      </c>
      <c r="O921">
        <v>50</v>
      </c>
      <c r="P921">
        <v>0</v>
      </c>
      <c r="Q921">
        <v>15</v>
      </c>
      <c r="R921" t="s">
        <v>132</v>
      </c>
      <c r="T921">
        <v>140</v>
      </c>
      <c r="U921">
        <v>68</v>
      </c>
      <c r="V921">
        <v>1000000</v>
      </c>
      <c r="W921" t="s">
        <v>46</v>
      </c>
      <c r="Z921">
        <v>70</v>
      </c>
      <c r="AA921">
        <v>75</v>
      </c>
      <c r="AB921">
        <v>50</v>
      </c>
      <c r="AC921">
        <v>45</v>
      </c>
      <c r="AD921">
        <v>50</v>
      </c>
      <c r="AE921">
        <v>50</v>
      </c>
      <c r="AF921">
        <v>340</v>
      </c>
      <c r="AG921">
        <v>0</v>
      </c>
      <c r="AH921">
        <v>1</v>
      </c>
      <c r="AI921">
        <v>0</v>
      </c>
      <c r="AJ921">
        <v>0</v>
      </c>
      <c r="AK921">
        <v>0</v>
      </c>
      <c r="AL921">
        <v>0</v>
      </c>
    </row>
    <row r="922" spans="1:38" x14ac:dyDescent="0.25">
      <c r="A922" t="s">
        <v>2166</v>
      </c>
      <c r="B922" t="s">
        <v>2166</v>
      </c>
      <c r="C922" s="1">
        <v>760</v>
      </c>
      <c r="D922" s="1" t="s">
        <v>2165</v>
      </c>
      <c r="E922">
        <v>7</v>
      </c>
      <c r="F922">
        <v>2.1</v>
      </c>
      <c r="G922">
        <v>135</v>
      </c>
      <c r="H922" t="s">
        <v>116</v>
      </c>
      <c r="I922" t="s">
        <v>279</v>
      </c>
      <c r="J922" t="s">
        <v>2164</v>
      </c>
      <c r="K922" t="s">
        <v>1317</v>
      </c>
      <c r="L922" t="s">
        <v>149</v>
      </c>
      <c r="M922" t="s">
        <v>199</v>
      </c>
      <c r="N922">
        <v>50</v>
      </c>
      <c r="O922">
        <v>50</v>
      </c>
      <c r="P922">
        <v>0</v>
      </c>
      <c r="Q922">
        <v>15</v>
      </c>
      <c r="R922" t="s">
        <v>132</v>
      </c>
      <c r="T922">
        <v>70</v>
      </c>
      <c r="U922">
        <v>175</v>
      </c>
      <c r="V922">
        <v>1000000</v>
      </c>
      <c r="W922" t="s">
        <v>46</v>
      </c>
      <c r="Z922">
        <v>120</v>
      </c>
      <c r="AA922">
        <v>125</v>
      </c>
      <c r="AB922">
        <v>80</v>
      </c>
      <c r="AC922">
        <v>55</v>
      </c>
      <c r="AD922">
        <v>60</v>
      </c>
      <c r="AE922">
        <v>60</v>
      </c>
      <c r="AF922">
        <v>500</v>
      </c>
      <c r="AG922">
        <v>0</v>
      </c>
      <c r="AH922">
        <v>2</v>
      </c>
      <c r="AI922">
        <v>0</v>
      </c>
      <c r="AJ922">
        <v>0</v>
      </c>
      <c r="AK922">
        <v>0</v>
      </c>
      <c r="AL922">
        <v>0</v>
      </c>
    </row>
    <row r="923" spans="1:38" x14ac:dyDescent="0.25">
      <c r="A923" t="s">
        <v>2168</v>
      </c>
      <c r="B923" t="s">
        <v>2168</v>
      </c>
      <c r="C923" s="1">
        <v>761</v>
      </c>
      <c r="D923" s="1" t="s">
        <v>2167</v>
      </c>
      <c r="E923">
        <v>7</v>
      </c>
      <c r="F923">
        <v>0.3</v>
      </c>
      <c r="G923">
        <v>3.2</v>
      </c>
      <c r="H923" t="s">
        <v>40</v>
      </c>
      <c r="J923" t="s">
        <v>495</v>
      </c>
      <c r="K923" t="s">
        <v>365</v>
      </c>
      <c r="L923" t="s">
        <v>1951</v>
      </c>
      <c r="M923" t="s">
        <v>131</v>
      </c>
      <c r="N923">
        <v>0</v>
      </c>
      <c r="O923">
        <v>100</v>
      </c>
      <c r="P923">
        <v>0</v>
      </c>
      <c r="Q923">
        <v>20</v>
      </c>
      <c r="R923" t="s">
        <v>40</v>
      </c>
      <c r="T923">
        <v>235</v>
      </c>
      <c r="U923">
        <v>42</v>
      </c>
      <c r="V923">
        <v>1059860</v>
      </c>
      <c r="W923" t="s">
        <v>46</v>
      </c>
      <c r="Z923">
        <v>42</v>
      </c>
      <c r="AA923">
        <v>30</v>
      </c>
      <c r="AB923">
        <v>38</v>
      </c>
      <c r="AC923">
        <v>30</v>
      </c>
      <c r="AD923">
        <v>38</v>
      </c>
      <c r="AE923">
        <v>32</v>
      </c>
      <c r="AF923">
        <v>210</v>
      </c>
      <c r="AG923">
        <v>1</v>
      </c>
      <c r="AH923">
        <v>0</v>
      </c>
      <c r="AI923">
        <v>0</v>
      </c>
      <c r="AJ923">
        <v>0</v>
      </c>
      <c r="AK923">
        <v>0</v>
      </c>
      <c r="AL923">
        <v>0</v>
      </c>
    </row>
    <row r="924" spans="1:38" x14ac:dyDescent="0.25">
      <c r="A924" t="s">
        <v>2170</v>
      </c>
      <c r="B924" t="s">
        <v>2170</v>
      </c>
      <c r="C924" s="1">
        <v>762</v>
      </c>
      <c r="D924" s="1" t="s">
        <v>2169</v>
      </c>
      <c r="E924">
        <v>7</v>
      </c>
      <c r="F924">
        <v>0.7</v>
      </c>
      <c r="G924">
        <v>8.1999999999999993</v>
      </c>
      <c r="H924" t="s">
        <v>40</v>
      </c>
      <c r="J924" t="s">
        <v>495</v>
      </c>
      <c r="K924" t="s">
        <v>365</v>
      </c>
      <c r="L924" t="s">
        <v>1951</v>
      </c>
      <c r="M924" t="s">
        <v>131</v>
      </c>
      <c r="N924">
        <v>0</v>
      </c>
      <c r="O924">
        <v>100</v>
      </c>
      <c r="P924">
        <v>0</v>
      </c>
      <c r="Q924">
        <v>20</v>
      </c>
      <c r="R924" t="s">
        <v>40</v>
      </c>
      <c r="T924">
        <v>120</v>
      </c>
      <c r="U924">
        <v>102</v>
      </c>
      <c r="V924">
        <v>1059860</v>
      </c>
      <c r="W924" t="s">
        <v>46</v>
      </c>
      <c r="Z924">
        <v>52</v>
      </c>
      <c r="AA924">
        <v>40</v>
      </c>
      <c r="AB924">
        <v>48</v>
      </c>
      <c r="AC924">
        <v>40</v>
      </c>
      <c r="AD924">
        <v>48</v>
      </c>
      <c r="AE924">
        <v>62</v>
      </c>
      <c r="AF924">
        <v>290</v>
      </c>
      <c r="AG924">
        <v>0</v>
      </c>
      <c r="AH924">
        <v>0</v>
      </c>
      <c r="AI924">
        <v>0</v>
      </c>
      <c r="AJ924">
        <v>0</v>
      </c>
      <c r="AK924">
        <v>0</v>
      </c>
      <c r="AL924">
        <v>2</v>
      </c>
    </row>
    <row r="925" spans="1:38" x14ac:dyDescent="0.25">
      <c r="A925" t="s">
        <v>2172</v>
      </c>
      <c r="B925" t="s">
        <v>2172</v>
      </c>
      <c r="C925" s="1">
        <v>763</v>
      </c>
      <c r="D925" s="1" t="s">
        <v>2171</v>
      </c>
      <c r="E925">
        <v>7</v>
      </c>
      <c r="F925">
        <v>1.2</v>
      </c>
      <c r="G925">
        <v>21.4</v>
      </c>
      <c r="H925" t="s">
        <v>40</v>
      </c>
      <c r="J925" t="s">
        <v>495</v>
      </c>
      <c r="K925" t="s">
        <v>2173</v>
      </c>
      <c r="L925" t="s">
        <v>1951</v>
      </c>
      <c r="M925" t="s">
        <v>131</v>
      </c>
      <c r="N925">
        <v>0</v>
      </c>
      <c r="O925">
        <v>100</v>
      </c>
      <c r="P925">
        <v>0</v>
      </c>
      <c r="Q925">
        <v>20</v>
      </c>
      <c r="R925" t="s">
        <v>40</v>
      </c>
      <c r="T925">
        <v>45</v>
      </c>
      <c r="U925">
        <v>255</v>
      </c>
      <c r="V925">
        <v>1059860</v>
      </c>
      <c r="W925" t="s">
        <v>46</v>
      </c>
      <c r="Z925">
        <v>72</v>
      </c>
      <c r="AA925">
        <v>120</v>
      </c>
      <c r="AB925">
        <v>98</v>
      </c>
      <c r="AC925">
        <v>50</v>
      </c>
      <c r="AD925">
        <v>98</v>
      </c>
      <c r="AE925">
        <v>72</v>
      </c>
      <c r="AF925">
        <v>510</v>
      </c>
      <c r="AG925">
        <v>0</v>
      </c>
      <c r="AH925">
        <v>3</v>
      </c>
      <c r="AI925">
        <v>0</v>
      </c>
      <c r="AJ925">
        <v>0</v>
      </c>
      <c r="AK925">
        <v>0</v>
      </c>
      <c r="AL925">
        <v>0</v>
      </c>
    </row>
    <row r="926" spans="1:38" x14ac:dyDescent="0.25">
      <c r="A926" t="s">
        <v>2175</v>
      </c>
      <c r="B926" t="s">
        <v>2175</v>
      </c>
      <c r="C926" s="1">
        <v>764</v>
      </c>
      <c r="D926" s="1" t="s">
        <v>2174</v>
      </c>
      <c r="E926">
        <v>7</v>
      </c>
      <c r="F926">
        <v>0.1</v>
      </c>
      <c r="G926">
        <v>0.3</v>
      </c>
      <c r="H926" t="s">
        <v>157</v>
      </c>
      <c r="J926" t="s">
        <v>1910</v>
      </c>
      <c r="K926" t="s">
        <v>2176</v>
      </c>
      <c r="L926" t="s">
        <v>490</v>
      </c>
      <c r="M926" t="s">
        <v>44</v>
      </c>
      <c r="N926">
        <v>25</v>
      </c>
      <c r="O926">
        <v>75</v>
      </c>
      <c r="P926">
        <v>0</v>
      </c>
      <c r="Q926">
        <v>20</v>
      </c>
      <c r="R926" t="s">
        <v>40</v>
      </c>
      <c r="T926">
        <v>60</v>
      </c>
      <c r="U926">
        <v>170</v>
      </c>
      <c r="V926">
        <v>800000</v>
      </c>
      <c r="W926" t="s">
        <v>46</v>
      </c>
      <c r="Z926">
        <v>51</v>
      </c>
      <c r="AA926">
        <v>52</v>
      </c>
      <c r="AB926">
        <v>90</v>
      </c>
      <c r="AC926">
        <v>82</v>
      </c>
      <c r="AD926">
        <v>110</v>
      </c>
      <c r="AE926">
        <v>100</v>
      </c>
      <c r="AF926">
        <v>485</v>
      </c>
      <c r="AG926">
        <v>0</v>
      </c>
      <c r="AH926">
        <v>0</v>
      </c>
      <c r="AI926">
        <v>0</v>
      </c>
      <c r="AJ926">
        <v>0</v>
      </c>
      <c r="AK926">
        <v>2</v>
      </c>
      <c r="AL926">
        <v>0</v>
      </c>
    </row>
    <row r="927" spans="1:38" x14ac:dyDescent="0.25">
      <c r="A927" t="s">
        <v>2178</v>
      </c>
      <c r="B927" t="s">
        <v>2178</v>
      </c>
      <c r="C927" s="1">
        <v>765</v>
      </c>
      <c r="D927" s="1" t="s">
        <v>2177</v>
      </c>
      <c r="E927">
        <v>7</v>
      </c>
      <c r="F927">
        <v>1.5</v>
      </c>
      <c r="G927">
        <v>76</v>
      </c>
      <c r="H927" t="s">
        <v>116</v>
      </c>
      <c r="I927" t="s">
        <v>162</v>
      </c>
      <c r="J927" t="s">
        <v>221</v>
      </c>
      <c r="K927" t="s">
        <v>738</v>
      </c>
      <c r="L927" t="s">
        <v>1911</v>
      </c>
      <c r="M927" t="s">
        <v>100</v>
      </c>
      <c r="N927">
        <v>50</v>
      </c>
      <c r="O927">
        <v>50</v>
      </c>
      <c r="P927">
        <v>0</v>
      </c>
      <c r="Q927">
        <v>20</v>
      </c>
      <c r="R927" t="s">
        <v>132</v>
      </c>
      <c r="T927">
        <v>45</v>
      </c>
      <c r="U927">
        <v>172</v>
      </c>
      <c r="V927">
        <v>1250000</v>
      </c>
      <c r="W927" t="s">
        <v>46</v>
      </c>
      <c r="Z927">
        <v>90</v>
      </c>
      <c r="AA927">
        <v>60</v>
      </c>
      <c r="AB927">
        <v>80</v>
      </c>
      <c r="AC927">
        <v>90</v>
      </c>
      <c r="AD927">
        <v>110</v>
      </c>
      <c r="AE927">
        <v>60</v>
      </c>
      <c r="AF927">
        <v>490</v>
      </c>
      <c r="AG927">
        <v>0</v>
      </c>
      <c r="AH927">
        <v>0</v>
      </c>
      <c r="AI927">
        <v>0</v>
      </c>
      <c r="AJ927">
        <v>0</v>
      </c>
      <c r="AK927">
        <v>2</v>
      </c>
      <c r="AL927">
        <v>0</v>
      </c>
    </row>
    <row r="928" spans="1:38" x14ac:dyDescent="0.25">
      <c r="A928" t="s">
        <v>2180</v>
      </c>
      <c r="B928" t="s">
        <v>2180</v>
      </c>
      <c r="C928" s="1">
        <v>766</v>
      </c>
      <c r="D928" s="1" t="s">
        <v>2179</v>
      </c>
      <c r="E928">
        <v>7</v>
      </c>
      <c r="F928">
        <v>2</v>
      </c>
      <c r="G928">
        <v>82.8</v>
      </c>
      <c r="H928" t="s">
        <v>279</v>
      </c>
      <c r="J928" t="s">
        <v>2181</v>
      </c>
      <c r="L928" t="s">
        <v>282</v>
      </c>
      <c r="M928" t="s">
        <v>100</v>
      </c>
      <c r="N928">
        <v>50</v>
      </c>
      <c r="O928">
        <v>50</v>
      </c>
      <c r="P928">
        <v>0</v>
      </c>
      <c r="Q928">
        <v>20</v>
      </c>
      <c r="R928" t="s">
        <v>132</v>
      </c>
      <c r="T928">
        <v>45</v>
      </c>
      <c r="U928">
        <v>172</v>
      </c>
      <c r="V928">
        <v>1250000</v>
      </c>
      <c r="W928" t="s">
        <v>46</v>
      </c>
      <c r="Z928">
        <v>100</v>
      </c>
      <c r="AA928">
        <v>120</v>
      </c>
      <c r="AB928">
        <v>90</v>
      </c>
      <c r="AC928">
        <v>40</v>
      </c>
      <c r="AD928">
        <v>60</v>
      </c>
      <c r="AE928">
        <v>80</v>
      </c>
      <c r="AF928">
        <v>490</v>
      </c>
      <c r="AG928">
        <v>0</v>
      </c>
      <c r="AH928">
        <v>2</v>
      </c>
      <c r="AI928">
        <v>0</v>
      </c>
      <c r="AJ928">
        <v>0</v>
      </c>
      <c r="AK928">
        <v>0</v>
      </c>
      <c r="AL928">
        <v>0</v>
      </c>
    </row>
    <row r="929" spans="1:38" x14ac:dyDescent="0.25">
      <c r="A929" t="s">
        <v>2183</v>
      </c>
      <c r="B929" t="s">
        <v>2183</v>
      </c>
      <c r="C929" s="1">
        <v>767</v>
      </c>
      <c r="D929" s="1" t="s">
        <v>2182</v>
      </c>
      <c r="E929">
        <v>7</v>
      </c>
      <c r="F929">
        <v>0.5</v>
      </c>
      <c r="G929">
        <v>12</v>
      </c>
      <c r="H929" t="s">
        <v>90</v>
      </c>
      <c r="I929" t="s">
        <v>76</v>
      </c>
      <c r="J929" t="s">
        <v>2184</v>
      </c>
      <c r="M929" t="s">
        <v>318</v>
      </c>
      <c r="N929">
        <v>50</v>
      </c>
      <c r="O929">
        <v>50</v>
      </c>
      <c r="P929">
        <v>0</v>
      </c>
      <c r="Q929">
        <v>20</v>
      </c>
      <c r="R929" t="s">
        <v>90</v>
      </c>
      <c r="S929" t="s">
        <v>333</v>
      </c>
      <c r="T929">
        <v>90</v>
      </c>
      <c r="U929">
        <v>46</v>
      </c>
      <c r="V929">
        <v>1000000</v>
      </c>
      <c r="W929" t="s">
        <v>46</v>
      </c>
      <c r="Z929">
        <v>25</v>
      </c>
      <c r="AA929">
        <v>35</v>
      </c>
      <c r="AB929">
        <v>40</v>
      </c>
      <c r="AC929">
        <v>20</v>
      </c>
      <c r="AD929">
        <v>30</v>
      </c>
      <c r="AE929">
        <v>80</v>
      </c>
      <c r="AF929">
        <v>230</v>
      </c>
      <c r="AG929">
        <v>0</v>
      </c>
      <c r="AH929">
        <v>0</v>
      </c>
      <c r="AI929">
        <v>0</v>
      </c>
      <c r="AJ929">
        <v>0</v>
      </c>
      <c r="AK929">
        <v>0</v>
      </c>
      <c r="AL929">
        <v>1</v>
      </c>
    </row>
    <row r="930" spans="1:38" x14ac:dyDescent="0.25">
      <c r="A930" t="s">
        <v>2186</v>
      </c>
      <c r="B930" t="s">
        <v>2186</v>
      </c>
      <c r="C930" s="1">
        <v>768</v>
      </c>
      <c r="D930" s="1" t="s">
        <v>2185</v>
      </c>
      <c r="E930">
        <v>7</v>
      </c>
      <c r="F930">
        <v>2</v>
      </c>
      <c r="G930">
        <v>108</v>
      </c>
      <c r="H930" t="s">
        <v>90</v>
      </c>
      <c r="I930" t="s">
        <v>76</v>
      </c>
      <c r="J930" t="s">
        <v>2187</v>
      </c>
      <c r="M930" t="s">
        <v>318</v>
      </c>
      <c r="N930">
        <v>50</v>
      </c>
      <c r="O930">
        <v>50</v>
      </c>
      <c r="P930">
        <v>0</v>
      </c>
      <c r="Q930">
        <v>20</v>
      </c>
      <c r="R930" t="s">
        <v>90</v>
      </c>
      <c r="S930" t="s">
        <v>333</v>
      </c>
      <c r="T930">
        <v>45</v>
      </c>
      <c r="U930">
        <v>186</v>
      </c>
      <c r="V930">
        <v>1000000</v>
      </c>
      <c r="W930" t="s">
        <v>46</v>
      </c>
      <c r="Z930">
        <v>75</v>
      </c>
      <c r="AA930">
        <v>125</v>
      </c>
      <c r="AB930">
        <v>140</v>
      </c>
      <c r="AC930">
        <v>60</v>
      </c>
      <c r="AD930">
        <v>90</v>
      </c>
      <c r="AE930">
        <v>40</v>
      </c>
      <c r="AF930">
        <v>530</v>
      </c>
      <c r="AG930">
        <v>0</v>
      </c>
      <c r="AH930">
        <v>0</v>
      </c>
      <c r="AI930">
        <v>2</v>
      </c>
      <c r="AJ930">
        <v>0</v>
      </c>
      <c r="AK930">
        <v>0</v>
      </c>
      <c r="AL930">
        <v>0</v>
      </c>
    </row>
    <row r="931" spans="1:38" x14ac:dyDescent="0.25">
      <c r="A931" t="s">
        <v>2189</v>
      </c>
      <c r="B931" t="s">
        <v>2189</v>
      </c>
      <c r="C931" s="1">
        <v>769</v>
      </c>
      <c r="D931" s="1" t="s">
        <v>2188</v>
      </c>
      <c r="E931">
        <v>7</v>
      </c>
      <c r="F931">
        <v>0.5</v>
      </c>
      <c r="G931">
        <v>70</v>
      </c>
      <c r="H931" t="s">
        <v>419</v>
      </c>
      <c r="I931" t="s">
        <v>132</v>
      </c>
      <c r="J931" t="s">
        <v>2190</v>
      </c>
      <c r="L931" t="s">
        <v>166</v>
      </c>
      <c r="M931" t="s">
        <v>103</v>
      </c>
      <c r="N931">
        <v>50</v>
      </c>
      <c r="O931">
        <v>50</v>
      </c>
      <c r="P931">
        <v>0</v>
      </c>
      <c r="Q931">
        <v>15</v>
      </c>
      <c r="R931" t="s">
        <v>403</v>
      </c>
      <c r="T931">
        <v>140</v>
      </c>
      <c r="U931">
        <v>64</v>
      </c>
      <c r="V931">
        <v>1000000</v>
      </c>
      <c r="W931" t="s">
        <v>46</v>
      </c>
      <c r="Z931">
        <v>55</v>
      </c>
      <c r="AA931">
        <v>55</v>
      </c>
      <c r="AB931">
        <v>80</v>
      </c>
      <c r="AC931">
        <v>70</v>
      </c>
      <c r="AD931">
        <v>45</v>
      </c>
      <c r="AE931">
        <v>15</v>
      </c>
      <c r="AF931">
        <v>320</v>
      </c>
      <c r="AG931">
        <v>0</v>
      </c>
      <c r="AH931">
        <v>0</v>
      </c>
      <c r="AI931">
        <v>1</v>
      </c>
      <c r="AJ931">
        <v>0</v>
      </c>
      <c r="AK931">
        <v>0</v>
      </c>
      <c r="AL931">
        <v>0</v>
      </c>
    </row>
    <row r="932" spans="1:38" x14ac:dyDescent="0.25">
      <c r="A932" t="s">
        <v>2192</v>
      </c>
      <c r="B932" t="s">
        <v>2192</v>
      </c>
      <c r="C932" s="1">
        <v>770</v>
      </c>
      <c r="D932" s="1" t="s">
        <v>2191</v>
      </c>
      <c r="E932">
        <v>7</v>
      </c>
      <c r="F932">
        <v>1.3</v>
      </c>
      <c r="G932">
        <v>250</v>
      </c>
      <c r="H932" t="s">
        <v>419</v>
      </c>
      <c r="I932" t="s">
        <v>132</v>
      </c>
      <c r="J932" t="s">
        <v>2190</v>
      </c>
      <c r="L932" t="s">
        <v>166</v>
      </c>
      <c r="M932" t="s">
        <v>103</v>
      </c>
      <c r="N932">
        <v>50</v>
      </c>
      <c r="O932">
        <v>50</v>
      </c>
      <c r="P932">
        <v>0</v>
      </c>
      <c r="Q932">
        <v>15</v>
      </c>
      <c r="R932" t="s">
        <v>403</v>
      </c>
      <c r="T932">
        <v>60</v>
      </c>
      <c r="U932">
        <v>168</v>
      </c>
      <c r="V932">
        <v>1000000</v>
      </c>
      <c r="W932" t="s">
        <v>46</v>
      </c>
      <c r="Z932">
        <v>85</v>
      </c>
      <c r="AA932">
        <v>75</v>
      </c>
      <c r="AB932">
        <v>110</v>
      </c>
      <c r="AC932">
        <v>100</v>
      </c>
      <c r="AD932">
        <v>75</v>
      </c>
      <c r="AE932">
        <v>35</v>
      </c>
      <c r="AF932">
        <v>480</v>
      </c>
      <c r="AG932">
        <v>0</v>
      </c>
      <c r="AH932">
        <v>0</v>
      </c>
      <c r="AI932">
        <v>2</v>
      </c>
      <c r="AJ932">
        <v>0</v>
      </c>
      <c r="AK932">
        <v>0</v>
      </c>
      <c r="AL932">
        <v>0</v>
      </c>
    </row>
    <row r="933" spans="1:38" x14ac:dyDescent="0.25">
      <c r="A933" t="s">
        <v>2194</v>
      </c>
      <c r="B933" t="s">
        <v>2194</v>
      </c>
      <c r="C933" s="1">
        <v>771</v>
      </c>
      <c r="D933" s="1" t="s">
        <v>2193</v>
      </c>
      <c r="E933">
        <v>7</v>
      </c>
      <c r="F933">
        <v>0.3</v>
      </c>
      <c r="G933">
        <v>1.2</v>
      </c>
      <c r="H933" t="s">
        <v>76</v>
      </c>
      <c r="J933" t="s">
        <v>2195</v>
      </c>
      <c r="L933" t="s">
        <v>202</v>
      </c>
      <c r="M933" t="s">
        <v>70</v>
      </c>
      <c r="N933">
        <v>50</v>
      </c>
      <c r="O933">
        <v>50</v>
      </c>
      <c r="P933">
        <v>0</v>
      </c>
      <c r="Q933">
        <v>15</v>
      </c>
      <c r="R933" t="s">
        <v>80</v>
      </c>
      <c r="T933">
        <v>60</v>
      </c>
      <c r="U933">
        <v>144</v>
      </c>
      <c r="V933">
        <v>800000</v>
      </c>
      <c r="W933" t="s">
        <v>46</v>
      </c>
      <c r="Z933">
        <v>55</v>
      </c>
      <c r="AA933">
        <v>60</v>
      </c>
      <c r="AB933">
        <v>130</v>
      </c>
      <c r="AC933">
        <v>30</v>
      </c>
      <c r="AD933">
        <v>130</v>
      </c>
      <c r="AE933">
        <v>5</v>
      </c>
      <c r="AF933">
        <v>410</v>
      </c>
      <c r="AG933">
        <v>0</v>
      </c>
      <c r="AH933">
        <v>0</v>
      </c>
      <c r="AI933">
        <v>0</v>
      </c>
      <c r="AJ933">
        <v>0</v>
      </c>
      <c r="AK933">
        <v>2</v>
      </c>
      <c r="AL933">
        <v>0</v>
      </c>
    </row>
    <row r="934" spans="1:38" x14ac:dyDescent="0.25">
      <c r="A934" t="s">
        <v>2197</v>
      </c>
      <c r="B934" t="s">
        <v>2197</v>
      </c>
      <c r="C934" s="1">
        <v>772</v>
      </c>
      <c r="D934" s="1" t="s">
        <v>2196</v>
      </c>
      <c r="E934">
        <v>7</v>
      </c>
      <c r="F934">
        <v>1.9</v>
      </c>
      <c r="G934">
        <v>120.5</v>
      </c>
      <c r="H934" t="s">
        <v>116</v>
      </c>
      <c r="J934" t="s">
        <v>462</v>
      </c>
      <c r="M934" t="s">
        <v>318</v>
      </c>
      <c r="N934">
        <v>0</v>
      </c>
      <c r="O934">
        <v>0</v>
      </c>
      <c r="P934">
        <v>100</v>
      </c>
      <c r="Q934">
        <v>120</v>
      </c>
      <c r="R934" t="s">
        <v>184</v>
      </c>
      <c r="T934">
        <v>3</v>
      </c>
      <c r="U934">
        <v>107</v>
      </c>
      <c r="V934">
        <v>1250000</v>
      </c>
      <c r="W934" t="s">
        <v>589</v>
      </c>
      <c r="Z934">
        <v>95</v>
      </c>
      <c r="AA934">
        <v>95</v>
      </c>
      <c r="AB934">
        <v>95</v>
      </c>
      <c r="AC934">
        <v>95</v>
      </c>
      <c r="AD934">
        <v>95</v>
      </c>
      <c r="AE934">
        <v>59</v>
      </c>
      <c r="AF934">
        <v>534</v>
      </c>
      <c r="AG934">
        <v>2</v>
      </c>
      <c r="AH934">
        <v>0</v>
      </c>
      <c r="AI934">
        <v>0</v>
      </c>
      <c r="AJ934">
        <v>0</v>
      </c>
      <c r="AK934">
        <v>0</v>
      </c>
      <c r="AL934">
        <v>0</v>
      </c>
    </row>
    <row r="935" spans="1:38" x14ac:dyDescent="0.25">
      <c r="A935" t="s">
        <v>2199</v>
      </c>
      <c r="B935" t="s">
        <v>2199</v>
      </c>
      <c r="C935" s="1">
        <v>773</v>
      </c>
      <c r="D935" s="1" t="s">
        <v>2198</v>
      </c>
      <c r="E935">
        <v>7</v>
      </c>
      <c r="F935">
        <v>2.2999999999999998</v>
      </c>
      <c r="G935">
        <v>100.5</v>
      </c>
      <c r="H935" t="s">
        <v>116</v>
      </c>
      <c r="J935" t="s">
        <v>2200</v>
      </c>
      <c r="M935" t="s">
        <v>318</v>
      </c>
      <c r="N935">
        <v>0</v>
      </c>
      <c r="O935">
        <v>0</v>
      </c>
      <c r="P935">
        <v>100</v>
      </c>
      <c r="Q935">
        <v>120</v>
      </c>
      <c r="R935" t="s">
        <v>184</v>
      </c>
      <c r="T935">
        <v>3</v>
      </c>
      <c r="U935">
        <v>285</v>
      </c>
      <c r="V935">
        <v>1250000</v>
      </c>
      <c r="W935" t="s">
        <v>589</v>
      </c>
      <c r="Z935">
        <v>95</v>
      </c>
      <c r="AA935">
        <v>95</v>
      </c>
      <c r="AB935">
        <v>95</v>
      </c>
      <c r="AC935">
        <v>95</v>
      </c>
      <c r="AD935">
        <v>95</v>
      </c>
      <c r="AE935">
        <v>95</v>
      </c>
      <c r="AF935">
        <v>570</v>
      </c>
      <c r="AG935">
        <v>3</v>
      </c>
      <c r="AH935">
        <v>0</v>
      </c>
      <c r="AI935">
        <v>0</v>
      </c>
      <c r="AJ935">
        <v>0</v>
      </c>
      <c r="AK935">
        <v>0</v>
      </c>
      <c r="AL935">
        <v>0</v>
      </c>
    </row>
    <row r="936" spans="1:38" x14ac:dyDescent="0.25">
      <c r="A936" t="s">
        <v>2202</v>
      </c>
      <c r="B936" t="s">
        <v>2203</v>
      </c>
      <c r="C936" s="1">
        <v>774</v>
      </c>
      <c r="D936" s="1" t="s">
        <v>2201</v>
      </c>
      <c r="E936">
        <v>7</v>
      </c>
      <c r="F936">
        <v>0.3</v>
      </c>
      <c r="G936">
        <v>40</v>
      </c>
      <c r="H936" t="s">
        <v>290</v>
      </c>
      <c r="I936" t="s">
        <v>66</v>
      </c>
      <c r="J936" t="s">
        <v>2204</v>
      </c>
      <c r="M936" t="s">
        <v>103</v>
      </c>
      <c r="N936">
        <v>0</v>
      </c>
      <c r="O936">
        <v>0</v>
      </c>
      <c r="P936">
        <v>100</v>
      </c>
      <c r="Q936">
        <v>25</v>
      </c>
      <c r="R936" t="s">
        <v>339</v>
      </c>
      <c r="T936">
        <v>30</v>
      </c>
      <c r="U936">
        <v>154</v>
      </c>
      <c r="V936">
        <v>1059860</v>
      </c>
      <c r="W936" t="s">
        <v>46</v>
      </c>
      <c r="Z936">
        <v>60</v>
      </c>
      <c r="AA936">
        <v>60</v>
      </c>
      <c r="AB936">
        <v>100</v>
      </c>
      <c r="AC936">
        <v>60</v>
      </c>
      <c r="AD936">
        <v>100</v>
      </c>
      <c r="AE936">
        <v>60</v>
      </c>
      <c r="AF936">
        <v>440</v>
      </c>
      <c r="AG936">
        <v>0</v>
      </c>
      <c r="AH936">
        <v>0</v>
      </c>
      <c r="AI936">
        <v>1</v>
      </c>
      <c r="AJ936">
        <v>0</v>
      </c>
      <c r="AK936">
        <v>1</v>
      </c>
      <c r="AL936">
        <v>0</v>
      </c>
    </row>
    <row r="937" spans="1:38" x14ac:dyDescent="0.25">
      <c r="A937" t="s">
        <v>2202</v>
      </c>
      <c r="B937" t="s">
        <v>2206</v>
      </c>
      <c r="C937" s="1">
        <v>774</v>
      </c>
      <c r="D937" s="1" t="s">
        <v>2205</v>
      </c>
      <c r="E937">
        <v>7</v>
      </c>
      <c r="F937">
        <v>0.3</v>
      </c>
      <c r="G937">
        <v>0.3</v>
      </c>
      <c r="H937" t="s">
        <v>290</v>
      </c>
      <c r="I937" t="s">
        <v>66</v>
      </c>
      <c r="J937" t="s">
        <v>2204</v>
      </c>
      <c r="M937" t="s">
        <v>60</v>
      </c>
      <c r="N937">
        <v>0</v>
      </c>
      <c r="O937">
        <v>0</v>
      </c>
      <c r="P937">
        <v>100</v>
      </c>
      <c r="Q937">
        <v>25</v>
      </c>
      <c r="R937" t="s">
        <v>339</v>
      </c>
      <c r="T937">
        <v>255</v>
      </c>
      <c r="U937">
        <v>175</v>
      </c>
      <c r="V937">
        <v>1059860</v>
      </c>
      <c r="W937" t="s">
        <v>46</v>
      </c>
      <c r="Z937">
        <v>60</v>
      </c>
      <c r="AA937">
        <v>100</v>
      </c>
      <c r="AB937">
        <v>60</v>
      </c>
      <c r="AC937">
        <v>100</v>
      </c>
      <c r="AD937">
        <v>60</v>
      </c>
      <c r="AE937">
        <v>120</v>
      </c>
      <c r="AF937">
        <v>500</v>
      </c>
      <c r="AG937">
        <v>0</v>
      </c>
      <c r="AH937">
        <v>1</v>
      </c>
      <c r="AI937">
        <v>0</v>
      </c>
      <c r="AJ937">
        <v>1</v>
      </c>
      <c r="AK937">
        <v>0</v>
      </c>
      <c r="AL937">
        <v>0</v>
      </c>
    </row>
    <row r="938" spans="1:38" x14ac:dyDescent="0.25">
      <c r="A938" t="s">
        <v>2202</v>
      </c>
      <c r="B938" t="s">
        <v>2208</v>
      </c>
      <c r="C938" s="1">
        <v>774</v>
      </c>
      <c r="D938" s="1" t="s">
        <v>2207</v>
      </c>
      <c r="E938">
        <v>7</v>
      </c>
      <c r="F938">
        <v>0.3</v>
      </c>
      <c r="G938">
        <v>0.3</v>
      </c>
      <c r="H938" t="s">
        <v>290</v>
      </c>
      <c r="I938" t="s">
        <v>66</v>
      </c>
      <c r="J938" t="s">
        <v>2204</v>
      </c>
      <c r="M938" t="s">
        <v>60</v>
      </c>
      <c r="N938">
        <v>0</v>
      </c>
      <c r="O938">
        <v>0</v>
      </c>
      <c r="P938">
        <v>100</v>
      </c>
      <c r="Q938">
        <v>25</v>
      </c>
      <c r="R938" t="s">
        <v>339</v>
      </c>
      <c r="T938">
        <v>255</v>
      </c>
      <c r="U938">
        <v>175</v>
      </c>
      <c r="V938">
        <v>1059860</v>
      </c>
      <c r="W938" t="s">
        <v>46</v>
      </c>
      <c r="Z938">
        <v>60</v>
      </c>
      <c r="AA938">
        <v>100</v>
      </c>
      <c r="AB938">
        <v>60</v>
      </c>
      <c r="AC938">
        <v>100</v>
      </c>
      <c r="AD938">
        <v>60</v>
      </c>
      <c r="AE938">
        <v>120</v>
      </c>
      <c r="AF938">
        <v>500</v>
      </c>
      <c r="AG938">
        <v>0</v>
      </c>
      <c r="AH938">
        <v>1</v>
      </c>
      <c r="AI938">
        <v>0</v>
      </c>
      <c r="AJ938">
        <v>1</v>
      </c>
      <c r="AK938">
        <v>0</v>
      </c>
      <c r="AL938">
        <v>0</v>
      </c>
    </row>
    <row r="939" spans="1:38" x14ac:dyDescent="0.25">
      <c r="A939" t="s">
        <v>2202</v>
      </c>
      <c r="B939" t="s">
        <v>2210</v>
      </c>
      <c r="C939" s="1">
        <v>774</v>
      </c>
      <c r="D939" s="1" t="s">
        <v>2209</v>
      </c>
      <c r="E939">
        <v>7</v>
      </c>
      <c r="F939">
        <v>0.3</v>
      </c>
      <c r="G939">
        <v>0.3</v>
      </c>
      <c r="H939" t="s">
        <v>290</v>
      </c>
      <c r="I939" t="s">
        <v>66</v>
      </c>
      <c r="J939" t="s">
        <v>2204</v>
      </c>
      <c r="M939" t="s">
        <v>106</v>
      </c>
      <c r="N939">
        <v>0</v>
      </c>
      <c r="O939">
        <v>0</v>
      </c>
      <c r="P939">
        <v>100</v>
      </c>
      <c r="Q939">
        <v>25</v>
      </c>
      <c r="R939" t="s">
        <v>339</v>
      </c>
      <c r="T939">
        <v>255</v>
      </c>
      <c r="U939">
        <v>175</v>
      </c>
      <c r="V939">
        <v>1059860</v>
      </c>
      <c r="W939" t="s">
        <v>46</v>
      </c>
      <c r="Z939">
        <v>60</v>
      </c>
      <c r="AA939">
        <v>100</v>
      </c>
      <c r="AB939">
        <v>60</v>
      </c>
      <c r="AC939">
        <v>100</v>
      </c>
      <c r="AD939">
        <v>60</v>
      </c>
      <c r="AE939">
        <v>120</v>
      </c>
      <c r="AF939">
        <v>500</v>
      </c>
      <c r="AG939">
        <v>0</v>
      </c>
      <c r="AH939">
        <v>1</v>
      </c>
      <c r="AI939">
        <v>0</v>
      </c>
      <c r="AJ939">
        <v>1</v>
      </c>
      <c r="AK939">
        <v>0</v>
      </c>
      <c r="AL939">
        <v>0</v>
      </c>
    </row>
    <row r="940" spans="1:38" x14ac:dyDescent="0.25">
      <c r="A940" t="s">
        <v>2202</v>
      </c>
      <c r="B940" t="s">
        <v>2212</v>
      </c>
      <c r="C940" s="1">
        <v>774</v>
      </c>
      <c r="D940" s="1" t="s">
        <v>2211</v>
      </c>
      <c r="E940">
        <v>7</v>
      </c>
      <c r="F940">
        <v>0.3</v>
      </c>
      <c r="G940">
        <v>0.3</v>
      </c>
      <c r="H940" t="s">
        <v>290</v>
      </c>
      <c r="I940" t="s">
        <v>66</v>
      </c>
      <c r="J940" t="s">
        <v>2204</v>
      </c>
      <c r="M940" t="s">
        <v>44</v>
      </c>
      <c r="N940">
        <v>0</v>
      </c>
      <c r="O940">
        <v>0</v>
      </c>
      <c r="P940">
        <v>100</v>
      </c>
      <c r="Q940">
        <v>25</v>
      </c>
      <c r="R940" t="s">
        <v>339</v>
      </c>
      <c r="T940">
        <v>255</v>
      </c>
      <c r="U940">
        <v>175</v>
      </c>
      <c r="V940">
        <v>1059860</v>
      </c>
      <c r="W940" t="s">
        <v>46</v>
      </c>
      <c r="Z940">
        <v>60</v>
      </c>
      <c r="AA940">
        <v>100</v>
      </c>
      <c r="AB940">
        <v>60</v>
      </c>
      <c r="AC940">
        <v>100</v>
      </c>
      <c r="AD940">
        <v>60</v>
      </c>
      <c r="AE940">
        <v>120</v>
      </c>
      <c r="AF940">
        <v>500</v>
      </c>
      <c r="AG940">
        <v>0</v>
      </c>
      <c r="AH940">
        <v>1</v>
      </c>
      <c r="AI940">
        <v>0</v>
      </c>
      <c r="AJ940">
        <v>1</v>
      </c>
      <c r="AK940">
        <v>0</v>
      </c>
      <c r="AL940">
        <v>0</v>
      </c>
    </row>
    <row r="941" spans="1:38" x14ac:dyDescent="0.25">
      <c r="A941" t="s">
        <v>2202</v>
      </c>
      <c r="B941" t="s">
        <v>2214</v>
      </c>
      <c r="C941" s="1">
        <v>774</v>
      </c>
      <c r="D941" s="1" t="s">
        <v>2213</v>
      </c>
      <c r="E941">
        <v>7</v>
      </c>
      <c r="F941">
        <v>0.3</v>
      </c>
      <c r="G941">
        <v>0.3</v>
      </c>
      <c r="H941" t="s">
        <v>290</v>
      </c>
      <c r="I941" t="s">
        <v>66</v>
      </c>
      <c r="J941" t="s">
        <v>2204</v>
      </c>
      <c r="M941" t="s">
        <v>79</v>
      </c>
      <c r="N941">
        <v>0</v>
      </c>
      <c r="O941">
        <v>0</v>
      </c>
      <c r="P941">
        <v>100</v>
      </c>
      <c r="Q941">
        <v>25</v>
      </c>
      <c r="R941" t="s">
        <v>339</v>
      </c>
      <c r="T941">
        <v>255</v>
      </c>
      <c r="U941">
        <v>175</v>
      </c>
      <c r="V941">
        <v>1059860</v>
      </c>
      <c r="W941" t="s">
        <v>46</v>
      </c>
      <c r="Z941">
        <v>60</v>
      </c>
      <c r="AA941">
        <v>100</v>
      </c>
      <c r="AB941">
        <v>60</v>
      </c>
      <c r="AC941">
        <v>100</v>
      </c>
      <c r="AD941">
        <v>60</v>
      </c>
      <c r="AE941">
        <v>120</v>
      </c>
      <c r="AF941">
        <v>500</v>
      </c>
      <c r="AG941">
        <v>0</v>
      </c>
      <c r="AH941">
        <v>1</v>
      </c>
      <c r="AI941">
        <v>0</v>
      </c>
      <c r="AJ941">
        <v>1</v>
      </c>
      <c r="AK941">
        <v>0</v>
      </c>
      <c r="AL941">
        <v>0</v>
      </c>
    </row>
    <row r="942" spans="1:38" x14ac:dyDescent="0.25">
      <c r="A942" t="s">
        <v>2202</v>
      </c>
      <c r="B942" t="s">
        <v>2216</v>
      </c>
      <c r="C942" s="1">
        <v>774</v>
      </c>
      <c r="D942" s="1" t="s">
        <v>2215</v>
      </c>
      <c r="E942">
        <v>7</v>
      </c>
      <c r="F942">
        <v>0.3</v>
      </c>
      <c r="G942">
        <v>0.3</v>
      </c>
      <c r="H942" t="s">
        <v>290</v>
      </c>
      <c r="I942" t="s">
        <v>66</v>
      </c>
      <c r="J942" t="s">
        <v>2204</v>
      </c>
      <c r="M942" t="s">
        <v>79</v>
      </c>
      <c r="N942">
        <v>0</v>
      </c>
      <c r="O942">
        <v>0</v>
      </c>
      <c r="P942">
        <v>100</v>
      </c>
      <c r="Q942">
        <v>25</v>
      </c>
      <c r="R942" t="s">
        <v>339</v>
      </c>
      <c r="T942">
        <v>255</v>
      </c>
      <c r="U942">
        <v>175</v>
      </c>
      <c r="V942">
        <v>1059860</v>
      </c>
      <c r="W942" t="s">
        <v>46</v>
      </c>
      <c r="Z942">
        <v>60</v>
      </c>
      <c r="AA942">
        <v>100</v>
      </c>
      <c r="AB942">
        <v>60</v>
      </c>
      <c r="AC942">
        <v>100</v>
      </c>
      <c r="AD942">
        <v>60</v>
      </c>
      <c r="AE942">
        <v>120</v>
      </c>
      <c r="AF942">
        <v>500</v>
      </c>
      <c r="AG942">
        <v>0</v>
      </c>
      <c r="AH942">
        <v>1</v>
      </c>
      <c r="AI942">
        <v>0</v>
      </c>
      <c r="AJ942">
        <v>1</v>
      </c>
      <c r="AK942">
        <v>0</v>
      </c>
      <c r="AL942">
        <v>0</v>
      </c>
    </row>
    <row r="943" spans="1:38" x14ac:dyDescent="0.25">
      <c r="A943" t="s">
        <v>2202</v>
      </c>
      <c r="B943" t="s">
        <v>2218</v>
      </c>
      <c r="C943" s="1">
        <v>774</v>
      </c>
      <c r="D943" s="1" t="s">
        <v>2217</v>
      </c>
      <c r="E943">
        <v>7</v>
      </c>
      <c r="F943">
        <v>0.3</v>
      </c>
      <c r="G943">
        <v>0.3</v>
      </c>
      <c r="H943" t="s">
        <v>290</v>
      </c>
      <c r="I943" t="s">
        <v>66</v>
      </c>
      <c r="J943" t="s">
        <v>2204</v>
      </c>
      <c r="M943" t="s">
        <v>131</v>
      </c>
      <c r="N943">
        <v>0</v>
      </c>
      <c r="O943">
        <v>0</v>
      </c>
      <c r="P943">
        <v>100</v>
      </c>
      <c r="Q943">
        <v>25</v>
      </c>
      <c r="R943" t="s">
        <v>339</v>
      </c>
      <c r="T943">
        <v>255</v>
      </c>
      <c r="U943">
        <v>175</v>
      </c>
      <c r="V943">
        <v>1059860</v>
      </c>
      <c r="W943" t="s">
        <v>46</v>
      </c>
      <c r="Z943">
        <v>60</v>
      </c>
      <c r="AA943">
        <v>100</v>
      </c>
      <c r="AB943">
        <v>60</v>
      </c>
      <c r="AC943">
        <v>100</v>
      </c>
      <c r="AD943">
        <v>60</v>
      </c>
      <c r="AE943">
        <v>120</v>
      </c>
      <c r="AF943">
        <v>500</v>
      </c>
      <c r="AG943">
        <v>0</v>
      </c>
      <c r="AH943">
        <v>1</v>
      </c>
      <c r="AI943">
        <v>0</v>
      </c>
      <c r="AJ943">
        <v>1</v>
      </c>
      <c r="AK943">
        <v>0</v>
      </c>
      <c r="AL943">
        <v>0</v>
      </c>
    </row>
    <row r="944" spans="1:38" x14ac:dyDescent="0.25">
      <c r="A944" t="s">
        <v>2220</v>
      </c>
      <c r="B944" t="s">
        <v>2220</v>
      </c>
      <c r="C944" s="1">
        <v>775</v>
      </c>
      <c r="D944" s="1" t="s">
        <v>2219</v>
      </c>
      <c r="E944">
        <v>7</v>
      </c>
      <c r="F944">
        <v>0.4</v>
      </c>
      <c r="G944">
        <v>19.899999999999999</v>
      </c>
      <c r="H944" t="s">
        <v>116</v>
      </c>
      <c r="J944" t="s">
        <v>2221</v>
      </c>
      <c r="M944" t="s">
        <v>79</v>
      </c>
      <c r="N944">
        <v>50</v>
      </c>
      <c r="O944">
        <v>50</v>
      </c>
      <c r="P944">
        <v>0</v>
      </c>
      <c r="Q944">
        <v>20</v>
      </c>
      <c r="R944" t="s">
        <v>132</v>
      </c>
      <c r="T944">
        <v>45</v>
      </c>
      <c r="U944">
        <v>168</v>
      </c>
      <c r="V944">
        <v>1250000</v>
      </c>
      <c r="W944" t="s">
        <v>46</v>
      </c>
      <c r="Z944">
        <v>65</v>
      </c>
      <c r="AA944">
        <v>115</v>
      </c>
      <c r="AB944">
        <v>65</v>
      </c>
      <c r="AC944">
        <v>75</v>
      </c>
      <c r="AD944">
        <v>95</v>
      </c>
      <c r="AE944">
        <v>65</v>
      </c>
      <c r="AF944">
        <v>480</v>
      </c>
      <c r="AG944">
        <v>0</v>
      </c>
      <c r="AH944">
        <v>2</v>
      </c>
      <c r="AI944">
        <v>0</v>
      </c>
      <c r="AJ944">
        <v>0</v>
      </c>
      <c r="AK944">
        <v>0</v>
      </c>
      <c r="AL944">
        <v>0</v>
      </c>
    </row>
    <row r="945" spans="1:38" x14ac:dyDescent="0.25">
      <c r="A945" t="s">
        <v>2223</v>
      </c>
      <c r="B945" t="s">
        <v>2223</v>
      </c>
      <c r="C945" s="1">
        <v>776</v>
      </c>
      <c r="D945" s="1" t="s">
        <v>2222</v>
      </c>
      <c r="E945">
        <v>7</v>
      </c>
      <c r="F945">
        <v>2</v>
      </c>
      <c r="G945">
        <v>212</v>
      </c>
      <c r="H945" t="s">
        <v>57</v>
      </c>
      <c r="I945" t="s">
        <v>61</v>
      </c>
      <c r="J945" t="s">
        <v>377</v>
      </c>
      <c r="M945" t="s">
        <v>60</v>
      </c>
      <c r="N945">
        <v>50</v>
      </c>
      <c r="O945">
        <v>50</v>
      </c>
      <c r="P945">
        <v>0</v>
      </c>
      <c r="Q945">
        <v>20</v>
      </c>
      <c r="R945" t="s">
        <v>45</v>
      </c>
      <c r="S945" t="s">
        <v>61</v>
      </c>
      <c r="T945">
        <v>70</v>
      </c>
      <c r="U945">
        <v>170</v>
      </c>
      <c r="V945">
        <v>1000000</v>
      </c>
      <c r="W945" t="s">
        <v>46</v>
      </c>
      <c r="Z945">
        <v>60</v>
      </c>
      <c r="AA945">
        <v>78</v>
      </c>
      <c r="AB945">
        <v>135</v>
      </c>
      <c r="AC945">
        <v>91</v>
      </c>
      <c r="AD945">
        <v>85</v>
      </c>
      <c r="AE945">
        <v>36</v>
      </c>
      <c r="AF945">
        <v>485</v>
      </c>
      <c r="AG945">
        <v>0</v>
      </c>
      <c r="AH945">
        <v>0</v>
      </c>
      <c r="AI945">
        <v>2</v>
      </c>
      <c r="AJ945">
        <v>0</v>
      </c>
      <c r="AK945">
        <v>0</v>
      </c>
      <c r="AL945">
        <v>0</v>
      </c>
    </row>
    <row r="946" spans="1:38" x14ac:dyDescent="0.25">
      <c r="A946" t="s">
        <v>2225</v>
      </c>
      <c r="B946" t="s">
        <v>2225</v>
      </c>
      <c r="C946" s="1">
        <v>777</v>
      </c>
      <c r="D946" s="1" t="s">
        <v>2224</v>
      </c>
      <c r="E946">
        <v>7</v>
      </c>
      <c r="F946">
        <v>0.3</v>
      </c>
      <c r="G946">
        <v>3.3</v>
      </c>
      <c r="H946" t="s">
        <v>154</v>
      </c>
      <c r="I946" t="s">
        <v>171</v>
      </c>
      <c r="J946" t="s">
        <v>1732</v>
      </c>
      <c r="K946" t="s">
        <v>156</v>
      </c>
      <c r="L946" t="s">
        <v>338</v>
      </c>
      <c r="M946" t="s">
        <v>318</v>
      </c>
      <c r="N946">
        <v>50</v>
      </c>
      <c r="O946">
        <v>50</v>
      </c>
      <c r="P946">
        <v>0</v>
      </c>
      <c r="Q946">
        <v>10</v>
      </c>
      <c r="R946" t="s">
        <v>132</v>
      </c>
      <c r="S946" t="s">
        <v>157</v>
      </c>
      <c r="T946">
        <v>180</v>
      </c>
      <c r="U946">
        <v>152</v>
      </c>
      <c r="V946">
        <v>1000000</v>
      </c>
      <c r="W946" t="s">
        <v>46</v>
      </c>
      <c r="Z946">
        <v>65</v>
      </c>
      <c r="AA946">
        <v>98</v>
      </c>
      <c r="AB946">
        <v>63</v>
      </c>
      <c r="AC946">
        <v>40</v>
      </c>
      <c r="AD946">
        <v>73</v>
      </c>
      <c r="AE946">
        <v>96</v>
      </c>
      <c r="AF946">
        <v>435</v>
      </c>
      <c r="AG946">
        <v>0</v>
      </c>
      <c r="AH946">
        <v>2</v>
      </c>
      <c r="AI946">
        <v>0</v>
      </c>
      <c r="AJ946">
        <v>0</v>
      </c>
      <c r="AK946">
        <v>0</v>
      </c>
      <c r="AL946">
        <v>0</v>
      </c>
    </row>
    <row r="947" spans="1:38" x14ac:dyDescent="0.25">
      <c r="A947" t="s">
        <v>2227</v>
      </c>
      <c r="B947" t="s">
        <v>2227</v>
      </c>
      <c r="C947" s="1">
        <v>778</v>
      </c>
      <c r="D947" s="1" t="s">
        <v>2226</v>
      </c>
      <c r="E947">
        <v>7</v>
      </c>
      <c r="F947">
        <v>0.2</v>
      </c>
      <c r="G947">
        <v>0.7</v>
      </c>
      <c r="H947" t="s">
        <v>419</v>
      </c>
      <c r="I947" t="s">
        <v>157</v>
      </c>
      <c r="J947" t="s">
        <v>2228</v>
      </c>
      <c r="M947" t="s">
        <v>106</v>
      </c>
      <c r="N947">
        <v>50</v>
      </c>
      <c r="O947">
        <v>50</v>
      </c>
      <c r="P947">
        <v>0</v>
      </c>
      <c r="Q947">
        <v>20</v>
      </c>
      <c r="R947" t="s">
        <v>403</v>
      </c>
      <c r="T947">
        <v>45</v>
      </c>
      <c r="U947">
        <v>167</v>
      </c>
      <c r="V947">
        <v>1000000</v>
      </c>
      <c r="W947" t="s">
        <v>46</v>
      </c>
      <c r="Z947">
        <v>55</v>
      </c>
      <c r="AA947">
        <v>90</v>
      </c>
      <c r="AB947">
        <v>80</v>
      </c>
      <c r="AC947">
        <v>50</v>
      </c>
      <c r="AD947">
        <v>105</v>
      </c>
      <c r="AE947">
        <v>96</v>
      </c>
      <c r="AF947">
        <v>476</v>
      </c>
      <c r="AG947">
        <v>0</v>
      </c>
      <c r="AH947">
        <v>0</v>
      </c>
      <c r="AI947">
        <v>0</v>
      </c>
      <c r="AJ947">
        <v>0</v>
      </c>
      <c r="AK947">
        <v>2</v>
      </c>
      <c r="AL947">
        <v>0</v>
      </c>
    </row>
    <row r="948" spans="1:38" x14ac:dyDescent="0.25">
      <c r="A948" t="s">
        <v>2230</v>
      </c>
      <c r="B948" t="s">
        <v>2230</v>
      </c>
      <c r="C948" s="1">
        <v>779</v>
      </c>
      <c r="D948" s="1" t="s">
        <v>2229</v>
      </c>
      <c r="E948">
        <v>7</v>
      </c>
      <c r="F948">
        <v>0.9</v>
      </c>
      <c r="G948">
        <v>19</v>
      </c>
      <c r="H948" t="s">
        <v>76</v>
      </c>
      <c r="I948" t="s">
        <v>162</v>
      </c>
      <c r="J948" t="s">
        <v>2231</v>
      </c>
      <c r="K948" t="s">
        <v>1031</v>
      </c>
      <c r="L948" t="s">
        <v>243</v>
      </c>
      <c r="M948" t="s">
        <v>199</v>
      </c>
      <c r="N948">
        <v>50</v>
      </c>
      <c r="O948">
        <v>50</v>
      </c>
      <c r="P948">
        <v>0</v>
      </c>
      <c r="Q948">
        <v>15</v>
      </c>
      <c r="R948" t="s">
        <v>508</v>
      </c>
      <c r="T948">
        <v>80</v>
      </c>
      <c r="U948">
        <v>166</v>
      </c>
      <c r="V948">
        <v>1000000</v>
      </c>
      <c r="W948" t="s">
        <v>46</v>
      </c>
      <c r="Z948">
        <v>68</v>
      </c>
      <c r="AA948">
        <v>105</v>
      </c>
      <c r="AB948">
        <v>70</v>
      </c>
      <c r="AC948">
        <v>70</v>
      </c>
      <c r="AD948">
        <v>70</v>
      </c>
      <c r="AE948">
        <v>92</v>
      </c>
      <c r="AF948">
        <v>475</v>
      </c>
      <c r="AG948">
        <v>0</v>
      </c>
      <c r="AH948">
        <v>2</v>
      </c>
      <c r="AI948">
        <v>0</v>
      </c>
      <c r="AJ948">
        <v>0</v>
      </c>
      <c r="AK948">
        <v>0</v>
      </c>
      <c r="AL948">
        <v>0</v>
      </c>
    </row>
    <row r="949" spans="1:38" x14ac:dyDescent="0.25">
      <c r="A949" t="s">
        <v>2233</v>
      </c>
      <c r="B949" t="s">
        <v>2233</v>
      </c>
      <c r="C949" s="1">
        <v>780</v>
      </c>
      <c r="D949" s="1" t="s">
        <v>2232</v>
      </c>
      <c r="E949">
        <v>7</v>
      </c>
      <c r="F949">
        <v>3</v>
      </c>
      <c r="G949">
        <v>185</v>
      </c>
      <c r="H949" t="s">
        <v>116</v>
      </c>
      <c r="I949" t="s">
        <v>61</v>
      </c>
      <c r="J949" t="s">
        <v>600</v>
      </c>
      <c r="K949" t="s">
        <v>691</v>
      </c>
      <c r="L949" t="s">
        <v>273</v>
      </c>
      <c r="M949" t="s">
        <v>100</v>
      </c>
      <c r="N949">
        <v>50</v>
      </c>
      <c r="O949">
        <v>50</v>
      </c>
      <c r="P949">
        <v>0</v>
      </c>
      <c r="Q949">
        <v>20</v>
      </c>
      <c r="R949" t="s">
        <v>45</v>
      </c>
      <c r="S949" t="s">
        <v>61</v>
      </c>
      <c r="T949">
        <v>70</v>
      </c>
      <c r="U949">
        <v>170</v>
      </c>
      <c r="V949">
        <v>1000000</v>
      </c>
      <c r="W949" t="s">
        <v>46</v>
      </c>
      <c r="Z949">
        <v>78</v>
      </c>
      <c r="AA949">
        <v>60</v>
      </c>
      <c r="AB949">
        <v>85</v>
      </c>
      <c r="AC949">
        <v>135</v>
      </c>
      <c r="AD949">
        <v>91</v>
      </c>
      <c r="AE949">
        <v>36</v>
      </c>
      <c r="AF949">
        <v>485</v>
      </c>
      <c r="AG949">
        <v>0</v>
      </c>
      <c r="AH949">
        <v>0</v>
      </c>
      <c r="AI949">
        <v>0</v>
      </c>
      <c r="AJ949">
        <v>2</v>
      </c>
      <c r="AK949">
        <v>0</v>
      </c>
      <c r="AL949">
        <v>0</v>
      </c>
    </row>
    <row r="950" spans="1:38" x14ac:dyDescent="0.25">
      <c r="A950" t="s">
        <v>2235</v>
      </c>
      <c r="B950" t="s">
        <v>2235</v>
      </c>
      <c r="C950" s="1">
        <v>781</v>
      </c>
      <c r="D950" s="1" t="s">
        <v>2234</v>
      </c>
      <c r="E950">
        <v>7</v>
      </c>
      <c r="F950">
        <v>3.9</v>
      </c>
      <c r="G950">
        <v>210</v>
      </c>
      <c r="H950" t="s">
        <v>419</v>
      </c>
      <c r="I950" t="s">
        <v>40</v>
      </c>
      <c r="J950" t="s">
        <v>2236</v>
      </c>
      <c r="M950" t="s">
        <v>44</v>
      </c>
      <c r="N950">
        <v>0</v>
      </c>
      <c r="O950">
        <v>0</v>
      </c>
      <c r="P950">
        <v>100</v>
      </c>
      <c r="Q950">
        <v>25</v>
      </c>
      <c r="R950" t="s">
        <v>339</v>
      </c>
      <c r="T950">
        <v>25</v>
      </c>
      <c r="U950">
        <v>181</v>
      </c>
      <c r="V950">
        <v>1000000</v>
      </c>
      <c r="W950" t="s">
        <v>46</v>
      </c>
      <c r="Z950">
        <v>70</v>
      </c>
      <c r="AA950">
        <v>131</v>
      </c>
      <c r="AB950">
        <v>100</v>
      </c>
      <c r="AC950">
        <v>86</v>
      </c>
      <c r="AD950">
        <v>90</v>
      </c>
      <c r="AE950">
        <v>40</v>
      </c>
      <c r="AF950">
        <v>517</v>
      </c>
      <c r="AG950">
        <v>0</v>
      </c>
      <c r="AH950">
        <v>2</v>
      </c>
      <c r="AI950">
        <v>0</v>
      </c>
      <c r="AJ950">
        <v>0</v>
      </c>
      <c r="AK950">
        <v>0</v>
      </c>
      <c r="AL950">
        <v>0</v>
      </c>
    </row>
    <row r="951" spans="1:38" x14ac:dyDescent="0.25">
      <c r="A951" t="s">
        <v>2238</v>
      </c>
      <c r="B951" t="s">
        <v>2238</v>
      </c>
      <c r="C951" s="1">
        <v>782</v>
      </c>
      <c r="D951" s="1" t="s">
        <v>2237</v>
      </c>
      <c r="E951">
        <v>7</v>
      </c>
      <c r="F951">
        <v>0.6</v>
      </c>
      <c r="G951">
        <v>29.7</v>
      </c>
      <c r="H951" t="s">
        <v>61</v>
      </c>
      <c r="J951" t="s">
        <v>1865</v>
      </c>
      <c r="K951" t="s">
        <v>445</v>
      </c>
      <c r="L951" t="s">
        <v>414</v>
      </c>
      <c r="M951" t="s">
        <v>318</v>
      </c>
      <c r="N951">
        <v>50</v>
      </c>
      <c r="O951">
        <v>50</v>
      </c>
      <c r="P951">
        <v>0</v>
      </c>
      <c r="Q951">
        <v>40</v>
      </c>
      <c r="R951" t="s">
        <v>61</v>
      </c>
      <c r="T951">
        <v>45</v>
      </c>
      <c r="U951">
        <v>60</v>
      </c>
      <c r="V951">
        <v>1250000</v>
      </c>
      <c r="W951" t="s">
        <v>46</v>
      </c>
      <c r="Z951">
        <v>45</v>
      </c>
      <c r="AA951">
        <v>55</v>
      </c>
      <c r="AB951">
        <v>65</v>
      </c>
      <c r="AC951">
        <v>45</v>
      </c>
      <c r="AD951">
        <v>45</v>
      </c>
      <c r="AE951">
        <v>45</v>
      </c>
      <c r="AF951">
        <v>300</v>
      </c>
      <c r="AG951">
        <v>0</v>
      </c>
      <c r="AH951">
        <v>0</v>
      </c>
      <c r="AI951">
        <v>1</v>
      </c>
      <c r="AJ951">
        <v>0</v>
      </c>
      <c r="AK951">
        <v>0</v>
      </c>
      <c r="AL951">
        <v>0</v>
      </c>
    </row>
    <row r="952" spans="1:38" x14ac:dyDescent="0.25">
      <c r="A952" t="s">
        <v>2240</v>
      </c>
      <c r="B952" t="s">
        <v>2240</v>
      </c>
      <c r="C952" s="1">
        <v>783</v>
      </c>
      <c r="D952" s="1" t="s">
        <v>2239</v>
      </c>
      <c r="E952">
        <v>7</v>
      </c>
      <c r="F952">
        <v>1.2</v>
      </c>
      <c r="G952">
        <v>47</v>
      </c>
      <c r="H952" t="s">
        <v>61</v>
      </c>
      <c r="I952" t="s">
        <v>279</v>
      </c>
      <c r="J952" t="s">
        <v>1865</v>
      </c>
      <c r="K952" t="s">
        <v>445</v>
      </c>
      <c r="L952" t="s">
        <v>414</v>
      </c>
      <c r="M952" t="s">
        <v>318</v>
      </c>
      <c r="N952">
        <v>50</v>
      </c>
      <c r="O952">
        <v>50</v>
      </c>
      <c r="P952">
        <v>0</v>
      </c>
      <c r="Q952">
        <v>40</v>
      </c>
      <c r="R952" t="s">
        <v>61</v>
      </c>
      <c r="T952">
        <v>45</v>
      </c>
      <c r="U952">
        <v>147</v>
      </c>
      <c r="V952">
        <v>1250000</v>
      </c>
      <c r="W952" t="s">
        <v>46</v>
      </c>
      <c r="Z952">
        <v>55</v>
      </c>
      <c r="AA952">
        <v>75</v>
      </c>
      <c r="AB952">
        <v>90</v>
      </c>
      <c r="AC952">
        <v>65</v>
      </c>
      <c r="AD952">
        <v>70</v>
      </c>
      <c r="AE952">
        <v>65</v>
      </c>
      <c r="AF952">
        <v>420</v>
      </c>
      <c r="AG952">
        <v>0</v>
      </c>
      <c r="AH952">
        <v>0</v>
      </c>
      <c r="AI952">
        <v>2</v>
      </c>
      <c r="AJ952">
        <v>0</v>
      </c>
      <c r="AK952">
        <v>0</v>
      </c>
      <c r="AL952">
        <v>0</v>
      </c>
    </row>
    <row r="953" spans="1:38" x14ac:dyDescent="0.25">
      <c r="A953" t="s">
        <v>2242</v>
      </c>
      <c r="B953" t="s">
        <v>2242</v>
      </c>
      <c r="C953" s="1">
        <v>784</v>
      </c>
      <c r="D953" s="1" t="s">
        <v>2241</v>
      </c>
      <c r="E953">
        <v>7</v>
      </c>
      <c r="F953">
        <v>1.6</v>
      </c>
      <c r="G953">
        <v>78.2</v>
      </c>
      <c r="H953" t="s">
        <v>61</v>
      </c>
      <c r="I953" t="s">
        <v>279</v>
      </c>
      <c r="J953" t="s">
        <v>1865</v>
      </c>
      <c r="K953" t="s">
        <v>445</v>
      </c>
      <c r="L953" t="s">
        <v>414</v>
      </c>
      <c r="M953" t="s">
        <v>318</v>
      </c>
      <c r="N953">
        <v>50</v>
      </c>
      <c r="O953">
        <v>50</v>
      </c>
      <c r="P953">
        <v>0</v>
      </c>
      <c r="Q953">
        <v>40</v>
      </c>
      <c r="R953" t="s">
        <v>61</v>
      </c>
      <c r="T953">
        <v>45</v>
      </c>
      <c r="U953">
        <v>300</v>
      </c>
      <c r="V953">
        <v>1250000</v>
      </c>
      <c r="W953" t="s">
        <v>46</v>
      </c>
      <c r="Z953">
        <v>75</v>
      </c>
      <c r="AA953">
        <v>110</v>
      </c>
      <c r="AB953">
        <v>125</v>
      </c>
      <c r="AC953">
        <v>100</v>
      </c>
      <c r="AD953">
        <v>105</v>
      </c>
      <c r="AE953">
        <v>85</v>
      </c>
      <c r="AF953">
        <v>600</v>
      </c>
      <c r="AG953">
        <v>0</v>
      </c>
      <c r="AH953">
        <v>0</v>
      </c>
      <c r="AI953">
        <v>3</v>
      </c>
      <c r="AJ953">
        <v>0</v>
      </c>
      <c r="AK953">
        <v>0</v>
      </c>
      <c r="AL953">
        <v>0</v>
      </c>
    </row>
    <row r="954" spans="1:38" x14ac:dyDescent="0.25">
      <c r="A954" t="s">
        <v>2244</v>
      </c>
      <c r="B954" t="s">
        <v>2244</v>
      </c>
      <c r="C954" s="1">
        <v>785</v>
      </c>
      <c r="D954" s="1" t="s">
        <v>2243</v>
      </c>
      <c r="E954">
        <v>7</v>
      </c>
      <c r="F954">
        <v>1.8</v>
      </c>
      <c r="G954">
        <v>20.5</v>
      </c>
      <c r="H954" t="s">
        <v>154</v>
      </c>
      <c r="I954" t="s">
        <v>157</v>
      </c>
      <c r="J954" t="s">
        <v>2245</v>
      </c>
      <c r="L954" t="s">
        <v>738</v>
      </c>
      <c r="M954" t="s">
        <v>106</v>
      </c>
      <c r="N954">
        <v>0</v>
      </c>
      <c r="O954">
        <v>0</v>
      </c>
      <c r="P954">
        <v>100</v>
      </c>
      <c r="Q954">
        <v>15</v>
      </c>
      <c r="R954" t="s">
        <v>184</v>
      </c>
      <c r="T954">
        <v>3</v>
      </c>
      <c r="U954">
        <v>285</v>
      </c>
      <c r="V954">
        <v>1250000</v>
      </c>
      <c r="W954" t="s">
        <v>589</v>
      </c>
      <c r="Z954">
        <v>70</v>
      </c>
      <c r="AA954">
        <v>115</v>
      </c>
      <c r="AB954">
        <v>85</v>
      </c>
      <c r="AC954">
        <v>95</v>
      </c>
      <c r="AD954">
        <v>75</v>
      </c>
      <c r="AE954">
        <v>130</v>
      </c>
      <c r="AF954">
        <v>570</v>
      </c>
      <c r="AG954">
        <v>0</v>
      </c>
      <c r="AH954">
        <v>0</v>
      </c>
      <c r="AI954">
        <v>0</v>
      </c>
      <c r="AJ954">
        <v>0</v>
      </c>
      <c r="AK954">
        <v>0</v>
      </c>
      <c r="AL954">
        <v>3</v>
      </c>
    </row>
    <row r="955" spans="1:38" x14ac:dyDescent="0.25">
      <c r="A955" t="s">
        <v>2247</v>
      </c>
      <c r="B955" t="s">
        <v>2247</v>
      </c>
      <c r="C955" s="1">
        <v>786</v>
      </c>
      <c r="D955" s="1" t="s">
        <v>2246</v>
      </c>
      <c r="E955">
        <v>7</v>
      </c>
      <c r="F955">
        <v>1.2</v>
      </c>
      <c r="G955">
        <v>18.600000000000001</v>
      </c>
      <c r="H955" t="s">
        <v>162</v>
      </c>
      <c r="I955" t="s">
        <v>157</v>
      </c>
      <c r="J955" t="s">
        <v>2248</v>
      </c>
      <c r="L955" t="s">
        <v>738</v>
      </c>
      <c r="M955" t="s">
        <v>199</v>
      </c>
      <c r="N955">
        <v>0</v>
      </c>
      <c r="O955">
        <v>0</v>
      </c>
      <c r="P955">
        <v>100</v>
      </c>
      <c r="Q955">
        <v>15</v>
      </c>
      <c r="R955" t="s">
        <v>184</v>
      </c>
      <c r="T955">
        <v>3</v>
      </c>
      <c r="U955">
        <v>285</v>
      </c>
      <c r="V955">
        <v>1250000</v>
      </c>
      <c r="W955" t="s">
        <v>589</v>
      </c>
      <c r="Z955">
        <v>70</v>
      </c>
      <c r="AA955">
        <v>85</v>
      </c>
      <c r="AB955">
        <v>75</v>
      </c>
      <c r="AC955">
        <v>130</v>
      </c>
      <c r="AD955">
        <v>115</v>
      </c>
      <c r="AE955">
        <v>95</v>
      </c>
      <c r="AF955">
        <v>570</v>
      </c>
      <c r="AG955">
        <v>0</v>
      </c>
      <c r="AH955">
        <v>0</v>
      </c>
      <c r="AI955">
        <v>0</v>
      </c>
      <c r="AJ955">
        <v>3</v>
      </c>
      <c r="AK955">
        <v>0</v>
      </c>
      <c r="AL955">
        <v>0</v>
      </c>
    </row>
    <row r="956" spans="1:38" x14ac:dyDescent="0.25">
      <c r="A956" t="s">
        <v>2250</v>
      </c>
      <c r="B956" t="s">
        <v>2250</v>
      </c>
      <c r="C956" s="1">
        <v>787</v>
      </c>
      <c r="D956" s="1" t="s">
        <v>2249</v>
      </c>
      <c r="E956">
        <v>7</v>
      </c>
      <c r="F956">
        <v>1.9</v>
      </c>
      <c r="G956">
        <v>45.5</v>
      </c>
      <c r="H956" t="s">
        <v>40</v>
      </c>
      <c r="I956" t="s">
        <v>157</v>
      </c>
      <c r="J956" t="s">
        <v>2251</v>
      </c>
      <c r="L956" t="s">
        <v>738</v>
      </c>
      <c r="M956" t="s">
        <v>60</v>
      </c>
      <c r="N956">
        <v>0</v>
      </c>
      <c r="O956">
        <v>0</v>
      </c>
      <c r="P956">
        <v>100</v>
      </c>
      <c r="Q956">
        <v>15</v>
      </c>
      <c r="R956" t="s">
        <v>184</v>
      </c>
      <c r="T956">
        <v>3</v>
      </c>
      <c r="U956">
        <v>285</v>
      </c>
      <c r="V956">
        <v>1250000</v>
      </c>
      <c r="W956" t="s">
        <v>589</v>
      </c>
      <c r="Z956">
        <v>70</v>
      </c>
      <c r="AA956">
        <v>130</v>
      </c>
      <c r="AB956">
        <v>115</v>
      </c>
      <c r="AC956">
        <v>85</v>
      </c>
      <c r="AD956">
        <v>95</v>
      </c>
      <c r="AE956">
        <v>75</v>
      </c>
      <c r="AF956">
        <v>570</v>
      </c>
      <c r="AG956">
        <v>0</v>
      </c>
      <c r="AH956">
        <v>3</v>
      </c>
      <c r="AI956">
        <v>0</v>
      </c>
      <c r="AJ956">
        <v>0</v>
      </c>
      <c r="AK956">
        <v>0</v>
      </c>
      <c r="AL956">
        <v>0</v>
      </c>
    </row>
    <row r="957" spans="1:38" x14ac:dyDescent="0.25">
      <c r="A957" t="s">
        <v>2253</v>
      </c>
      <c r="B957" t="s">
        <v>2253</v>
      </c>
      <c r="C957" s="1">
        <v>788</v>
      </c>
      <c r="D957" s="1" t="s">
        <v>2252</v>
      </c>
      <c r="E957">
        <v>7</v>
      </c>
      <c r="F957">
        <v>1.3</v>
      </c>
      <c r="G957">
        <v>21.2</v>
      </c>
      <c r="H957" t="s">
        <v>76</v>
      </c>
      <c r="I957" t="s">
        <v>157</v>
      </c>
      <c r="J957" t="s">
        <v>483</v>
      </c>
      <c r="L957" t="s">
        <v>738</v>
      </c>
      <c r="M957" t="s">
        <v>131</v>
      </c>
      <c r="N957">
        <v>0</v>
      </c>
      <c r="O957">
        <v>0</v>
      </c>
      <c r="P957">
        <v>100</v>
      </c>
      <c r="Q957">
        <v>15</v>
      </c>
      <c r="R957" t="s">
        <v>184</v>
      </c>
      <c r="T957">
        <v>3</v>
      </c>
      <c r="U957">
        <v>285</v>
      </c>
      <c r="V957">
        <v>1250000</v>
      </c>
      <c r="W957" t="s">
        <v>589</v>
      </c>
      <c r="Z957">
        <v>70</v>
      </c>
      <c r="AA957">
        <v>75</v>
      </c>
      <c r="AB957">
        <v>115</v>
      </c>
      <c r="AC957">
        <v>95</v>
      </c>
      <c r="AD957">
        <v>130</v>
      </c>
      <c r="AE957">
        <v>85</v>
      </c>
      <c r="AF957">
        <v>570</v>
      </c>
      <c r="AG957">
        <v>0</v>
      </c>
      <c r="AH957">
        <v>0</v>
      </c>
      <c r="AI957">
        <v>0</v>
      </c>
      <c r="AJ957">
        <v>0</v>
      </c>
      <c r="AK957">
        <v>3</v>
      </c>
      <c r="AL957">
        <v>0</v>
      </c>
    </row>
    <row r="958" spans="1:38" x14ac:dyDescent="0.25">
      <c r="A958" t="s">
        <v>2255</v>
      </c>
      <c r="B958" t="s">
        <v>2255</v>
      </c>
      <c r="C958" s="1">
        <v>789</v>
      </c>
      <c r="D958" s="1" t="s">
        <v>2254</v>
      </c>
      <c r="E958">
        <v>7</v>
      </c>
      <c r="F958">
        <v>0.2</v>
      </c>
      <c r="G958">
        <v>0.1</v>
      </c>
      <c r="H958" t="s">
        <v>162</v>
      </c>
      <c r="J958" t="s">
        <v>202</v>
      </c>
      <c r="M958" t="s">
        <v>79</v>
      </c>
      <c r="N958">
        <v>0</v>
      </c>
      <c r="O958">
        <v>0</v>
      </c>
      <c r="P958">
        <v>100</v>
      </c>
      <c r="Q958">
        <v>120</v>
      </c>
      <c r="R958" t="s">
        <v>184</v>
      </c>
      <c r="T958">
        <v>45</v>
      </c>
      <c r="U958">
        <v>40</v>
      </c>
      <c r="V958">
        <v>1250000</v>
      </c>
      <c r="W958" t="s">
        <v>611</v>
      </c>
      <c r="Z958">
        <v>43</v>
      </c>
      <c r="AA958">
        <v>29</v>
      </c>
      <c r="AB958">
        <v>31</v>
      </c>
      <c r="AC958">
        <v>29</v>
      </c>
      <c r="AD958">
        <v>31</v>
      </c>
      <c r="AE958">
        <v>37</v>
      </c>
      <c r="AF958">
        <v>200</v>
      </c>
      <c r="AG958">
        <v>1</v>
      </c>
      <c r="AH958">
        <v>0</v>
      </c>
      <c r="AI958">
        <v>0</v>
      </c>
      <c r="AJ958">
        <v>0</v>
      </c>
      <c r="AK958">
        <v>0</v>
      </c>
      <c r="AL958">
        <v>0</v>
      </c>
    </row>
    <row r="959" spans="1:38" x14ac:dyDescent="0.25">
      <c r="A959" t="s">
        <v>2257</v>
      </c>
      <c r="B959" t="s">
        <v>2257</v>
      </c>
      <c r="C959" s="1">
        <v>790</v>
      </c>
      <c r="D959" s="1" t="s">
        <v>2256</v>
      </c>
      <c r="E959">
        <v>7</v>
      </c>
      <c r="F959">
        <v>0.1</v>
      </c>
      <c r="G959">
        <v>999.9</v>
      </c>
      <c r="H959" t="s">
        <v>162</v>
      </c>
      <c r="J959" t="s">
        <v>338</v>
      </c>
      <c r="M959" t="s">
        <v>79</v>
      </c>
      <c r="N959">
        <v>0</v>
      </c>
      <c r="O959">
        <v>0</v>
      </c>
      <c r="P959">
        <v>100</v>
      </c>
      <c r="Q959">
        <v>120</v>
      </c>
      <c r="R959" t="s">
        <v>184</v>
      </c>
      <c r="T959">
        <v>45</v>
      </c>
      <c r="U959">
        <v>140</v>
      </c>
      <c r="V959">
        <v>1250000</v>
      </c>
      <c r="W959" t="s">
        <v>611</v>
      </c>
      <c r="Z959">
        <v>43</v>
      </c>
      <c r="AA959">
        <v>29</v>
      </c>
      <c r="AB959">
        <v>131</v>
      </c>
      <c r="AC959">
        <v>29</v>
      </c>
      <c r="AD959">
        <v>131</v>
      </c>
      <c r="AE959">
        <v>37</v>
      </c>
      <c r="AF959">
        <v>400</v>
      </c>
      <c r="AG959">
        <v>0</v>
      </c>
      <c r="AH959">
        <v>0</v>
      </c>
      <c r="AI959">
        <v>1</v>
      </c>
      <c r="AJ959">
        <v>0</v>
      </c>
      <c r="AK959">
        <v>1</v>
      </c>
      <c r="AL959">
        <v>0</v>
      </c>
    </row>
    <row r="960" spans="1:38" x14ac:dyDescent="0.25">
      <c r="A960" t="s">
        <v>2259</v>
      </c>
      <c r="B960" t="s">
        <v>2259</v>
      </c>
      <c r="C960" s="1">
        <v>791</v>
      </c>
      <c r="D960" s="1" t="s">
        <v>2258</v>
      </c>
      <c r="E960">
        <v>7</v>
      </c>
      <c r="F960">
        <v>3.4</v>
      </c>
      <c r="G960">
        <v>230</v>
      </c>
      <c r="H960" t="s">
        <v>162</v>
      </c>
      <c r="I960" t="s">
        <v>171</v>
      </c>
      <c r="J960" t="s">
        <v>2260</v>
      </c>
      <c r="M960" t="s">
        <v>100</v>
      </c>
      <c r="N960">
        <v>0</v>
      </c>
      <c r="O960">
        <v>0</v>
      </c>
      <c r="P960">
        <v>100</v>
      </c>
      <c r="Q960">
        <v>120</v>
      </c>
      <c r="R960" t="s">
        <v>184</v>
      </c>
      <c r="T960">
        <v>45</v>
      </c>
      <c r="U960">
        <v>340</v>
      </c>
      <c r="V960">
        <v>1250000</v>
      </c>
      <c r="W960" t="s">
        <v>611</v>
      </c>
      <c r="Z960">
        <v>137</v>
      </c>
      <c r="AA960">
        <v>137</v>
      </c>
      <c r="AB960">
        <v>107</v>
      </c>
      <c r="AC960">
        <v>113</v>
      </c>
      <c r="AD960">
        <v>89</v>
      </c>
      <c r="AE960">
        <v>97</v>
      </c>
      <c r="AF960">
        <v>680</v>
      </c>
      <c r="AG960">
        <v>0</v>
      </c>
      <c r="AH960">
        <v>3</v>
      </c>
      <c r="AI960">
        <v>0</v>
      </c>
      <c r="AJ960">
        <v>0</v>
      </c>
      <c r="AK960">
        <v>0</v>
      </c>
      <c r="AL960">
        <v>0</v>
      </c>
    </row>
    <row r="961" spans="1:38" x14ac:dyDescent="0.25">
      <c r="A961" t="s">
        <v>2262</v>
      </c>
      <c r="B961" t="s">
        <v>2262</v>
      </c>
      <c r="C961" s="1">
        <v>792</v>
      </c>
      <c r="D961" s="1" t="s">
        <v>2261</v>
      </c>
      <c r="E961">
        <v>7</v>
      </c>
      <c r="F961">
        <v>4</v>
      </c>
      <c r="G961">
        <v>120</v>
      </c>
      <c r="H961" t="s">
        <v>162</v>
      </c>
      <c r="I961" t="s">
        <v>419</v>
      </c>
      <c r="J961" t="s">
        <v>2263</v>
      </c>
      <c r="M961" t="s">
        <v>131</v>
      </c>
      <c r="N961">
        <v>0</v>
      </c>
      <c r="O961">
        <v>0</v>
      </c>
      <c r="P961">
        <v>100</v>
      </c>
      <c r="Q961">
        <v>120</v>
      </c>
      <c r="R961" t="s">
        <v>184</v>
      </c>
      <c r="T961">
        <v>45</v>
      </c>
      <c r="U961">
        <v>340</v>
      </c>
      <c r="V961">
        <v>1250000</v>
      </c>
      <c r="W961" t="s">
        <v>611</v>
      </c>
      <c r="Z961">
        <v>137</v>
      </c>
      <c r="AA961">
        <v>113</v>
      </c>
      <c r="AB961">
        <v>89</v>
      </c>
      <c r="AC961">
        <v>137</v>
      </c>
      <c r="AD961">
        <v>107</v>
      </c>
      <c r="AE961">
        <v>97</v>
      </c>
      <c r="AF961">
        <v>680</v>
      </c>
      <c r="AG961">
        <v>0</v>
      </c>
      <c r="AH961">
        <v>0</v>
      </c>
      <c r="AI961">
        <v>0</v>
      </c>
      <c r="AJ961">
        <v>3</v>
      </c>
      <c r="AK961">
        <v>0</v>
      </c>
      <c r="AL961">
        <v>0</v>
      </c>
    </row>
    <row r="962" spans="1:38" x14ac:dyDescent="0.25">
      <c r="A962" t="s">
        <v>2265</v>
      </c>
      <c r="B962" t="s">
        <v>2265</v>
      </c>
      <c r="C962" s="1">
        <v>793</v>
      </c>
      <c r="D962" s="1" t="s">
        <v>2264</v>
      </c>
      <c r="E962">
        <v>7</v>
      </c>
      <c r="F962">
        <v>1.2</v>
      </c>
      <c r="G962">
        <v>55.5</v>
      </c>
      <c r="H962" t="s">
        <v>290</v>
      </c>
      <c r="I962" t="s">
        <v>41</v>
      </c>
      <c r="J962" t="s">
        <v>2266</v>
      </c>
      <c r="M962" t="s">
        <v>100</v>
      </c>
      <c r="N962">
        <v>0</v>
      </c>
      <c r="O962">
        <v>0</v>
      </c>
      <c r="P962">
        <v>100</v>
      </c>
      <c r="Q962">
        <v>120</v>
      </c>
      <c r="R962" t="s">
        <v>184</v>
      </c>
      <c r="T962">
        <v>45</v>
      </c>
      <c r="U962">
        <v>285</v>
      </c>
      <c r="V962">
        <v>1250000</v>
      </c>
      <c r="W962" t="s">
        <v>589</v>
      </c>
      <c r="Z962">
        <v>109</v>
      </c>
      <c r="AA962">
        <v>53</v>
      </c>
      <c r="AB962">
        <v>47</v>
      </c>
      <c r="AC962">
        <v>127</v>
      </c>
      <c r="AD962">
        <v>131</v>
      </c>
      <c r="AE962">
        <v>103</v>
      </c>
      <c r="AF962">
        <v>570</v>
      </c>
      <c r="AG962">
        <v>0</v>
      </c>
      <c r="AH962">
        <v>0</v>
      </c>
      <c r="AI962">
        <v>0</v>
      </c>
      <c r="AJ962">
        <v>0</v>
      </c>
      <c r="AK962">
        <v>3</v>
      </c>
      <c r="AL962">
        <v>0</v>
      </c>
    </row>
    <row r="963" spans="1:38" x14ac:dyDescent="0.25">
      <c r="A963" t="s">
        <v>2268</v>
      </c>
      <c r="B963" t="s">
        <v>2268</v>
      </c>
      <c r="C963" s="1">
        <v>794</v>
      </c>
      <c r="D963" s="1" t="s">
        <v>2267</v>
      </c>
      <c r="E963">
        <v>7</v>
      </c>
      <c r="F963">
        <v>2.4</v>
      </c>
      <c r="G963">
        <v>333.6</v>
      </c>
      <c r="H963" t="s">
        <v>90</v>
      </c>
      <c r="I963" t="s">
        <v>279</v>
      </c>
      <c r="J963" t="s">
        <v>2266</v>
      </c>
      <c r="M963" t="s">
        <v>60</v>
      </c>
      <c r="N963">
        <v>0</v>
      </c>
      <c r="O963">
        <v>0</v>
      </c>
      <c r="P963">
        <v>100</v>
      </c>
      <c r="Q963">
        <v>120</v>
      </c>
      <c r="R963" t="s">
        <v>184</v>
      </c>
      <c r="T963">
        <v>45</v>
      </c>
      <c r="U963">
        <v>285</v>
      </c>
      <c r="V963">
        <v>1250000</v>
      </c>
      <c r="W963" t="s">
        <v>589</v>
      </c>
      <c r="Z963">
        <v>107</v>
      </c>
      <c r="AA963">
        <v>139</v>
      </c>
      <c r="AB963">
        <v>139</v>
      </c>
      <c r="AC963">
        <v>53</v>
      </c>
      <c r="AD963">
        <v>53</v>
      </c>
      <c r="AE963">
        <v>79</v>
      </c>
      <c r="AF963">
        <v>570</v>
      </c>
      <c r="AG963">
        <v>0</v>
      </c>
      <c r="AH963">
        <v>1</v>
      </c>
      <c r="AI963">
        <v>2</v>
      </c>
      <c r="AJ963">
        <v>0</v>
      </c>
      <c r="AK963">
        <v>0</v>
      </c>
      <c r="AL963">
        <v>0</v>
      </c>
    </row>
    <row r="964" spans="1:38" x14ac:dyDescent="0.25">
      <c r="A964" t="s">
        <v>2270</v>
      </c>
      <c r="B964" t="s">
        <v>2270</v>
      </c>
      <c r="C964" s="1">
        <v>795</v>
      </c>
      <c r="D964" s="1" t="s">
        <v>2269</v>
      </c>
      <c r="E964">
        <v>7</v>
      </c>
      <c r="F964">
        <v>1.8</v>
      </c>
      <c r="G964">
        <v>25</v>
      </c>
      <c r="H964" t="s">
        <v>90</v>
      </c>
      <c r="I964" t="s">
        <v>279</v>
      </c>
      <c r="J964" t="s">
        <v>2266</v>
      </c>
      <c r="M964" t="s">
        <v>100</v>
      </c>
      <c r="N964">
        <v>0</v>
      </c>
      <c r="O964">
        <v>0</v>
      </c>
      <c r="P964">
        <v>100</v>
      </c>
      <c r="Q964">
        <v>120</v>
      </c>
      <c r="R964" t="s">
        <v>184</v>
      </c>
      <c r="T964">
        <v>45</v>
      </c>
      <c r="U964">
        <v>285</v>
      </c>
      <c r="V964">
        <v>1250000</v>
      </c>
      <c r="W964" t="s">
        <v>589</v>
      </c>
      <c r="Z964">
        <v>71</v>
      </c>
      <c r="AA964">
        <v>137</v>
      </c>
      <c r="AB964">
        <v>37</v>
      </c>
      <c r="AC964">
        <v>137</v>
      </c>
      <c r="AD964">
        <v>37</v>
      </c>
      <c r="AE964">
        <v>151</v>
      </c>
      <c r="AF964">
        <v>570</v>
      </c>
      <c r="AG964">
        <v>0</v>
      </c>
      <c r="AH964">
        <v>0</v>
      </c>
      <c r="AI964">
        <v>0</v>
      </c>
      <c r="AJ964">
        <v>0</v>
      </c>
      <c r="AK964">
        <v>0</v>
      </c>
      <c r="AL964">
        <v>3</v>
      </c>
    </row>
    <row r="965" spans="1:38" x14ac:dyDescent="0.25">
      <c r="A965" t="s">
        <v>2272</v>
      </c>
      <c r="B965" t="s">
        <v>2272</v>
      </c>
      <c r="C965" s="1">
        <v>796</v>
      </c>
      <c r="D965" s="1" t="s">
        <v>2271</v>
      </c>
      <c r="E965">
        <v>7</v>
      </c>
      <c r="F965">
        <v>3.8</v>
      </c>
      <c r="G965">
        <v>100</v>
      </c>
      <c r="H965" t="s">
        <v>154</v>
      </c>
      <c r="J965" t="s">
        <v>2266</v>
      </c>
      <c r="M965" t="s">
        <v>70</v>
      </c>
      <c r="N965">
        <v>0</v>
      </c>
      <c r="O965">
        <v>0</v>
      </c>
      <c r="P965">
        <v>100</v>
      </c>
      <c r="Q965">
        <v>120</v>
      </c>
      <c r="R965" t="s">
        <v>184</v>
      </c>
      <c r="T965">
        <v>45</v>
      </c>
      <c r="U965">
        <v>285</v>
      </c>
      <c r="V965">
        <v>1250000</v>
      </c>
      <c r="W965" t="s">
        <v>589</v>
      </c>
      <c r="Z965">
        <v>83</v>
      </c>
      <c r="AA965">
        <v>89</v>
      </c>
      <c r="AB965">
        <v>71</v>
      </c>
      <c r="AC965">
        <v>173</v>
      </c>
      <c r="AD965">
        <v>71</v>
      </c>
      <c r="AE965">
        <v>83</v>
      </c>
      <c r="AF965">
        <v>570</v>
      </c>
      <c r="AG965">
        <v>0</v>
      </c>
      <c r="AH965">
        <v>0</v>
      </c>
      <c r="AI965">
        <v>0</v>
      </c>
      <c r="AJ965">
        <v>3</v>
      </c>
      <c r="AK965">
        <v>0</v>
      </c>
      <c r="AL965">
        <v>0</v>
      </c>
    </row>
    <row r="966" spans="1:38" x14ac:dyDescent="0.25">
      <c r="A966" t="s">
        <v>2274</v>
      </c>
      <c r="B966" t="s">
        <v>2274</v>
      </c>
      <c r="C966" s="1">
        <v>797</v>
      </c>
      <c r="D966" s="1" t="s">
        <v>2273</v>
      </c>
      <c r="E966">
        <v>7</v>
      </c>
      <c r="F966">
        <v>9.1999999999999993</v>
      </c>
      <c r="G966">
        <v>999.9</v>
      </c>
      <c r="H966" t="s">
        <v>171</v>
      </c>
      <c r="I966" t="s">
        <v>66</v>
      </c>
      <c r="J966" t="s">
        <v>2266</v>
      </c>
      <c r="M966" t="s">
        <v>44</v>
      </c>
      <c r="N966">
        <v>0</v>
      </c>
      <c r="O966">
        <v>0</v>
      </c>
      <c r="P966">
        <v>100</v>
      </c>
      <c r="Q966">
        <v>120</v>
      </c>
      <c r="R966" t="s">
        <v>184</v>
      </c>
      <c r="T966">
        <v>45</v>
      </c>
      <c r="U966">
        <v>285</v>
      </c>
      <c r="V966">
        <v>1250000</v>
      </c>
      <c r="W966" t="s">
        <v>589</v>
      </c>
      <c r="Z966">
        <v>97</v>
      </c>
      <c r="AA966">
        <v>101</v>
      </c>
      <c r="AB966">
        <v>103</v>
      </c>
      <c r="AC966">
        <v>107</v>
      </c>
      <c r="AD966">
        <v>101</v>
      </c>
      <c r="AE966">
        <v>61</v>
      </c>
      <c r="AF966">
        <v>570</v>
      </c>
      <c r="AG966">
        <v>0</v>
      </c>
      <c r="AH966">
        <v>1</v>
      </c>
      <c r="AI966">
        <v>1</v>
      </c>
      <c r="AJ966">
        <v>1</v>
      </c>
      <c r="AK966">
        <v>0</v>
      </c>
      <c r="AL966">
        <v>0</v>
      </c>
    </row>
    <row r="967" spans="1:38" x14ac:dyDescent="0.25">
      <c r="A967" t="s">
        <v>2276</v>
      </c>
      <c r="B967" t="s">
        <v>2276</v>
      </c>
      <c r="C967" s="1">
        <v>798</v>
      </c>
      <c r="D967" s="1" t="s">
        <v>2275</v>
      </c>
      <c r="E967">
        <v>7</v>
      </c>
      <c r="F967">
        <v>0.3</v>
      </c>
      <c r="G967">
        <v>0.1</v>
      </c>
      <c r="H967" t="s">
        <v>40</v>
      </c>
      <c r="I967" t="s">
        <v>171</v>
      </c>
      <c r="J967" t="s">
        <v>2266</v>
      </c>
      <c r="M967" t="s">
        <v>100</v>
      </c>
      <c r="N967">
        <v>0</v>
      </c>
      <c r="O967">
        <v>0</v>
      </c>
      <c r="P967">
        <v>100</v>
      </c>
      <c r="Q967">
        <v>120</v>
      </c>
      <c r="R967" t="s">
        <v>184</v>
      </c>
      <c r="T967">
        <v>45</v>
      </c>
      <c r="U967">
        <v>285</v>
      </c>
      <c r="V967">
        <v>1250000</v>
      </c>
      <c r="W967" t="s">
        <v>589</v>
      </c>
      <c r="Z967">
        <v>59</v>
      </c>
      <c r="AA967">
        <v>181</v>
      </c>
      <c r="AB967">
        <v>131</v>
      </c>
      <c r="AC967">
        <v>59</v>
      </c>
      <c r="AD967">
        <v>31</v>
      </c>
      <c r="AE967">
        <v>109</v>
      </c>
      <c r="AF967">
        <v>570</v>
      </c>
      <c r="AG967">
        <v>0</v>
      </c>
      <c r="AH967">
        <v>3</v>
      </c>
      <c r="AI967">
        <v>0</v>
      </c>
      <c r="AJ967">
        <v>0</v>
      </c>
      <c r="AK967">
        <v>0</v>
      </c>
      <c r="AL967">
        <v>0</v>
      </c>
    </row>
    <row r="968" spans="1:38" x14ac:dyDescent="0.25">
      <c r="A968" t="s">
        <v>2278</v>
      </c>
      <c r="B968" t="s">
        <v>2278</v>
      </c>
      <c r="C968" s="1">
        <v>799</v>
      </c>
      <c r="D968" s="1" t="s">
        <v>2277</v>
      </c>
      <c r="E968">
        <v>7</v>
      </c>
      <c r="F968">
        <v>5.5</v>
      </c>
      <c r="G968">
        <v>888</v>
      </c>
      <c r="H968" t="s">
        <v>135</v>
      </c>
      <c r="I968" t="s">
        <v>61</v>
      </c>
      <c r="J968" t="s">
        <v>2266</v>
      </c>
      <c r="M968" t="s">
        <v>70</v>
      </c>
      <c r="N968">
        <v>0</v>
      </c>
      <c r="O968">
        <v>0</v>
      </c>
      <c r="P968">
        <v>100</v>
      </c>
      <c r="Q968">
        <v>120</v>
      </c>
      <c r="R968" t="s">
        <v>184</v>
      </c>
      <c r="T968">
        <v>45</v>
      </c>
      <c r="U968">
        <v>285</v>
      </c>
      <c r="V968">
        <v>1250000</v>
      </c>
      <c r="W968" t="s">
        <v>589</v>
      </c>
      <c r="Z968">
        <v>223</v>
      </c>
      <c r="AA968">
        <v>101</v>
      </c>
      <c r="AB968">
        <v>53</v>
      </c>
      <c r="AC968">
        <v>97</v>
      </c>
      <c r="AD968">
        <v>53</v>
      </c>
      <c r="AE968">
        <v>43</v>
      </c>
      <c r="AF968">
        <v>570</v>
      </c>
      <c r="AG968">
        <v>3</v>
      </c>
      <c r="AH968">
        <v>0</v>
      </c>
      <c r="AI968">
        <v>0</v>
      </c>
      <c r="AJ968">
        <v>0</v>
      </c>
      <c r="AK968">
        <v>0</v>
      </c>
      <c r="AL968">
        <v>0</v>
      </c>
    </row>
    <row r="969" spans="1:38" x14ac:dyDescent="0.25">
      <c r="A969" t="s">
        <v>2280</v>
      </c>
      <c r="B969" t="s">
        <v>2280</v>
      </c>
      <c r="C969" s="1">
        <v>800</v>
      </c>
      <c r="D969" s="1" t="s">
        <v>2279</v>
      </c>
      <c r="E969">
        <v>7</v>
      </c>
      <c r="F969">
        <v>2.4</v>
      </c>
      <c r="G969">
        <v>230</v>
      </c>
      <c r="H969" t="s">
        <v>162</v>
      </c>
      <c r="J969" t="s">
        <v>2281</v>
      </c>
      <c r="M969" t="s">
        <v>70</v>
      </c>
      <c r="N969">
        <v>0</v>
      </c>
      <c r="O969">
        <v>0</v>
      </c>
      <c r="P969">
        <v>100</v>
      </c>
      <c r="Q969">
        <v>120</v>
      </c>
      <c r="R969" t="s">
        <v>184</v>
      </c>
      <c r="T969">
        <v>255</v>
      </c>
      <c r="U969">
        <v>300</v>
      </c>
      <c r="V969">
        <v>1250000</v>
      </c>
      <c r="W969" t="s">
        <v>611</v>
      </c>
      <c r="Z969">
        <v>97</v>
      </c>
      <c r="AA969">
        <v>107</v>
      </c>
      <c r="AB969">
        <v>101</v>
      </c>
      <c r="AC969">
        <v>127</v>
      </c>
      <c r="AD969">
        <v>89</v>
      </c>
      <c r="AE969">
        <v>79</v>
      </c>
      <c r="AF969">
        <v>600</v>
      </c>
      <c r="AG969">
        <v>0</v>
      </c>
      <c r="AH969">
        <v>1</v>
      </c>
      <c r="AI969">
        <v>0</v>
      </c>
      <c r="AJ969">
        <v>2</v>
      </c>
      <c r="AK969">
        <v>0</v>
      </c>
      <c r="AL969">
        <v>0</v>
      </c>
    </row>
    <row r="970" spans="1:38" x14ac:dyDescent="0.25">
      <c r="A970" t="s">
        <v>2280</v>
      </c>
      <c r="B970" t="s">
        <v>2283</v>
      </c>
      <c r="C970" s="1">
        <v>800</v>
      </c>
      <c r="D970" s="1" t="s">
        <v>2282</v>
      </c>
      <c r="E970">
        <v>7</v>
      </c>
      <c r="F970">
        <v>3.8</v>
      </c>
      <c r="G970">
        <v>460</v>
      </c>
      <c r="H970" t="s">
        <v>162</v>
      </c>
      <c r="I970" t="s">
        <v>171</v>
      </c>
      <c r="J970" t="s">
        <v>2281</v>
      </c>
      <c r="M970" t="s">
        <v>106</v>
      </c>
      <c r="N970">
        <v>0</v>
      </c>
      <c r="O970">
        <v>0</v>
      </c>
      <c r="P970">
        <v>100</v>
      </c>
      <c r="Q970">
        <v>120</v>
      </c>
      <c r="R970" t="s">
        <v>184</v>
      </c>
      <c r="T970">
        <v>255</v>
      </c>
      <c r="U970">
        <v>340</v>
      </c>
      <c r="V970">
        <v>1250000</v>
      </c>
      <c r="W970" t="s">
        <v>611</v>
      </c>
      <c r="Z970">
        <v>97</v>
      </c>
      <c r="AA970">
        <v>157</v>
      </c>
      <c r="AB970">
        <v>127</v>
      </c>
      <c r="AC970">
        <v>113</v>
      </c>
      <c r="AD970">
        <v>109</v>
      </c>
      <c r="AE970">
        <v>77</v>
      </c>
      <c r="AF970">
        <v>680</v>
      </c>
      <c r="AG970">
        <v>0</v>
      </c>
      <c r="AH970">
        <v>3</v>
      </c>
      <c r="AI970">
        <v>0</v>
      </c>
      <c r="AJ970">
        <v>0</v>
      </c>
      <c r="AK970">
        <v>0</v>
      </c>
      <c r="AL970">
        <v>0</v>
      </c>
    </row>
    <row r="971" spans="1:38" x14ac:dyDescent="0.25">
      <c r="A971" t="s">
        <v>2280</v>
      </c>
      <c r="B971" t="s">
        <v>2285</v>
      </c>
      <c r="C971" s="1">
        <v>800</v>
      </c>
      <c r="D971" s="1" t="s">
        <v>2284</v>
      </c>
      <c r="E971">
        <v>7</v>
      </c>
      <c r="F971">
        <v>4.2</v>
      </c>
      <c r="G971">
        <v>350</v>
      </c>
      <c r="H971" t="s">
        <v>162</v>
      </c>
      <c r="I971" t="s">
        <v>419</v>
      </c>
      <c r="J971" t="s">
        <v>2281</v>
      </c>
      <c r="M971" t="s">
        <v>79</v>
      </c>
      <c r="N971">
        <v>0</v>
      </c>
      <c r="O971">
        <v>0</v>
      </c>
      <c r="P971">
        <v>100</v>
      </c>
      <c r="Q971">
        <v>120</v>
      </c>
      <c r="R971" t="s">
        <v>184</v>
      </c>
      <c r="T971">
        <v>255</v>
      </c>
      <c r="U971">
        <v>340</v>
      </c>
      <c r="V971">
        <v>1250000</v>
      </c>
      <c r="W971" t="s">
        <v>611</v>
      </c>
      <c r="Z971">
        <v>97</v>
      </c>
      <c r="AA971">
        <v>113</v>
      </c>
      <c r="AB971">
        <v>109</v>
      </c>
      <c r="AC971">
        <v>157</v>
      </c>
      <c r="AD971">
        <v>127</v>
      </c>
      <c r="AE971">
        <v>77</v>
      </c>
      <c r="AF971">
        <v>680</v>
      </c>
      <c r="AG971">
        <v>0</v>
      </c>
      <c r="AH971">
        <v>0</v>
      </c>
      <c r="AI971">
        <v>0</v>
      </c>
      <c r="AJ971">
        <v>3</v>
      </c>
      <c r="AK971">
        <v>0</v>
      </c>
      <c r="AL971">
        <v>0</v>
      </c>
    </row>
    <row r="972" spans="1:38" x14ac:dyDescent="0.25">
      <c r="A972" t="s">
        <v>2280</v>
      </c>
      <c r="B972" t="s">
        <v>2287</v>
      </c>
      <c r="C972" s="1">
        <v>800</v>
      </c>
      <c r="D972" s="1" t="s">
        <v>2286</v>
      </c>
      <c r="E972">
        <v>7</v>
      </c>
      <c r="F972">
        <v>7.5</v>
      </c>
      <c r="G972">
        <v>230</v>
      </c>
      <c r="H972" t="s">
        <v>162</v>
      </c>
      <c r="I972" t="s">
        <v>61</v>
      </c>
      <c r="J972" t="s">
        <v>2288</v>
      </c>
      <c r="M972" t="s">
        <v>106</v>
      </c>
      <c r="N972">
        <v>0</v>
      </c>
      <c r="O972">
        <v>0</v>
      </c>
      <c r="P972">
        <v>100</v>
      </c>
      <c r="Q972">
        <v>120</v>
      </c>
      <c r="R972" t="s">
        <v>184</v>
      </c>
      <c r="T972">
        <v>255</v>
      </c>
      <c r="U972">
        <v>339</v>
      </c>
      <c r="V972">
        <v>1250000</v>
      </c>
      <c r="W972" t="s">
        <v>611</v>
      </c>
      <c r="Z972">
        <v>97</v>
      </c>
      <c r="AA972">
        <v>167</v>
      </c>
      <c r="AB972">
        <v>97</v>
      </c>
      <c r="AC972">
        <v>167</v>
      </c>
      <c r="AD972">
        <v>97</v>
      </c>
      <c r="AE972">
        <v>129</v>
      </c>
      <c r="AF972">
        <v>754</v>
      </c>
      <c r="AG972">
        <v>0</v>
      </c>
      <c r="AH972">
        <v>1</v>
      </c>
      <c r="AI972">
        <v>0</v>
      </c>
      <c r="AJ972">
        <v>1</v>
      </c>
      <c r="AK972">
        <v>0</v>
      </c>
      <c r="AL972">
        <v>1</v>
      </c>
    </row>
    <row r="973" spans="1:38" x14ac:dyDescent="0.25">
      <c r="A973" t="s">
        <v>2290</v>
      </c>
      <c r="B973" t="s">
        <v>2290</v>
      </c>
      <c r="C973" s="1">
        <v>801</v>
      </c>
      <c r="D973" s="1" t="s">
        <v>2289</v>
      </c>
      <c r="E973">
        <v>7</v>
      </c>
      <c r="F973">
        <v>1</v>
      </c>
      <c r="G973">
        <v>80.5</v>
      </c>
      <c r="H973" t="s">
        <v>171</v>
      </c>
      <c r="I973" t="s">
        <v>157</v>
      </c>
      <c r="J973" t="s">
        <v>2291</v>
      </c>
      <c r="M973" t="s">
        <v>318</v>
      </c>
      <c r="N973">
        <v>0</v>
      </c>
      <c r="O973">
        <v>0</v>
      </c>
      <c r="P973">
        <v>100</v>
      </c>
      <c r="Q973">
        <v>120</v>
      </c>
      <c r="R973" t="s">
        <v>184</v>
      </c>
      <c r="T973">
        <v>3</v>
      </c>
      <c r="U973">
        <v>300</v>
      </c>
      <c r="V973">
        <v>1250000</v>
      </c>
      <c r="W973" t="s">
        <v>618</v>
      </c>
      <c r="Z973">
        <v>80</v>
      </c>
      <c r="AA973">
        <v>95</v>
      </c>
      <c r="AB973">
        <v>115</v>
      </c>
      <c r="AC973">
        <v>130</v>
      </c>
      <c r="AD973">
        <v>115</v>
      </c>
      <c r="AE973">
        <v>65</v>
      </c>
      <c r="AF973">
        <v>600</v>
      </c>
      <c r="AG973">
        <v>0</v>
      </c>
      <c r="AH973">
        <v>0</v>
      </c>
      <c r="AI973">
        <v>0</v>
      </c>
      <c r="AJ973">
        <v>3</v>
      </c>
      <c r="AK973">
        <v>0</v>
      </c>
      <c r="AL973">
        <v>0</v>
      </c>
    </row>
    <row r="974" spans="1:38" x14ac:dyDescent="0.25">
      <c r="A974" t="s">
        <v>2293</v>
      </c>
      <c r="B974" t="s">
        <v>2293</v>
      </c>
      <c r="C974" s="1">
        <v>802</v>
      </c>
      <c r="D974" s="1" t="s">
        <v>2292</v>
      </c>
      <c r="E974">
        <v>7</v>
      </c>
      <c r="F974">
        <v>0.7</v>
      </c>
      <c r="G974">
        <v>22.2</v>
      </c>
      <c r="H974" t="s">
        <v>279</v>
      </c>
      <c r="I974" t="s">
        <v>419</v>
      </c>
      <c r="J974" t="s">
        <v>258</v>
      </c>
      <c r="M974" t="s">
        <v>318</v>
      </c>
      <c r="N974">
        <v>0</v>
      </c>
      <c r="O974">
        <v>0</v>
      </c>
      <c r="P974">
        <v>100</v>
      </c>
      <c r="Q974">
        <v>120</v>
      </c>
      <c r="R974" t="s">
        <v>184</v>
      </c>
      <c r="T974">
        <v>3</v>
      </c>
      <c r="U974">
        <v>300</v>
      </c>
      <c r="V974">
        <v>1250000</v>
      </c>
      <c r="W974" t="s">
        <v>618</v>
      </c>
      <c r="Z974">
        <v>90</v>
      </c>
      <c r="AA974">
        <v>125</v>
      </c>
      <c r="AB974">
        <v>80</v>
      </c>
      <c r="AC974">
        <v>90</v>
      </c>
      <c r="AD974">
        <v>90</v>
      </c>
      <c r="AE974">
        <v>125</v>
      </c>
      <c r="AF974">
        <v>600</v>
      </c>
      <c r="AG974">
        <v>0</v>
      </c>
      <c r="AH974">
        <v>2</v>
      </c>
      <c r="AI974">
        <v>0</v>
      </c>
      <c r="AJ974">
        <v>0</v>
      </c>
      <c r="AK974">
        <v>0</v>
      </c>
      <c r="AL974">
        <v>1</v>
      </c>
    </row>
    <row r="975" spans="1:38" x14ac:dyDescent="0.25">
      <c r="A975" t="s">
        <v>2295</v>
      </c>
      <c r="B975" t="s">
        <v>2295</v>
      </c>
      <c r="C975" s="1">
        <v>803</v>
      </c>
      <c r="D975" s="1" t="s">
        <v>2294</v>
      </c>
      <c r="E975">
        <v>7</v>
      </c>
      <c r="F975">
        <v>0.6</v>
      </c>
      <c r="G975">
        <v>1.8</v>
      </c>
      <c r="H975" t="s">
        <v>41</v>
      </c>
      <c r="J975" t="s">
        <v>2266</v>
      </c>
      <c r="M975" t="s">
        <v>131</v>
      </c>
      <c r="N975">
        <v>0</v>
      </c>
      <c r="O975">
        <v>0</v>
      </c>
      <c r="P975">
        <v>100</v>
      </c>
      <c r="Q975">
        <v>120</v>
      </c>
      <c r="R975" t="s">
        <v>184</v>
      </c>
      <c r="T975">
        <v>45</v>
      </c>
      <c r="U975">
        <v>210</v>
      </c>
      <c r="V975">
        <v>1250000</v>
      </c>
      <c r="W975" t="s">
        <v>589</v>
      </c>
      <c r="Z975">
        <v>67</v>
      </c>
      <c r="AA975">
        <v>73</v>
      </c>
      <c r="AB975">
        <v>67</v>
      </c>
      <c r="AC975">
        <v>73</v>
      </c>
      <c r="AD975">
        <v>67</v>
      </c>
      <c r="AE975">
        <v>73</v>
      </c>
      <c r="AF975">
        <v>420</v>
      </c>
      <c r="AG975">
        <v>0</v>
      </c>
      <c r="AH975">
        <v>0</v>
      </c>
      <c r="AI975">
        <v>0</v>
      </c>
      <c r="AJ975">
        <v>0</v>
      </c>
      <c r="AK975">
        <v>0</v>
      </c>
      <c r="AL975">
        <v>1</v>
      </c>
    </row>
    <row r="976" spans="1:38" x14ac:dyDescent="0.25">
      <c r="A976" t="s">
        <v>2297</v>
      </c>
      <c r="B976" t="s">
        <v>2297</v>
      </c>
      <c r="C976" s="1">
        <v>804</v>
      </c>
      <c r="D976" s="1" t="s">
        <v>2296</v>
      </c>
      <c r="E976">
        <v>7</v>
      </c>
      <c r="F976">
        <v>3.6</v>
      </c>
      <c r="G976">
        <v>150</v>
      </c>
      <c r="H976" t="s">
        <v>41</v>
      </c>
      <c r="I976" t="s">
        <v>61</v>
      </c>
      <c r="J976" t="s">
        <v>2266</v>
      </c>
      <c r="M976" t="s">
        <v>131</v>
      </c>
      <c r="N976">
        <v>0</v>
      </c>
      <c r="O976">
        <v>0</v>
      </c>
      <c r="P976">
        <v>100</v>
      </c>
      <c r="Q976">
        <v>120</v>
      </c>
      <c r="R976" t="s">
        <v>184</v>
      </c>
      <c r="T976">
        <v>45</v>
      </c>
      <c r="U976">
        <v>270</v>
      </c>
      <c r="V976">
        <v>1250000</v>
      </c>
      <c r="W976" t="s">
        <v>589</v>
      </c>
      <c r="Z976">
        <v>73</v>
      </c>
      <c r="AA976">
        <v>73</v>
      </c>
      <c r="AB976">
        <v>73</v>
      </c>
      <c r="AC976">
        <v>127</v>
      </c>
      <c r="AD976">
        <v>73</v>
      </c>
      <c r="AE976">
        <v>121</v>
      </c>
      <c r="AF976">
        <v>540</v>
      </c>
      <c r="AG976">
        <v>0</v>
      </c>
      <c r="AH976">
        <v>0</v>
      </c>
      <c r="AI976">
        <v>0</v>
      </c>
      <c r="AJ976">
        <v>3</v>
      </c>
      <c r="AK976">
        <v>0</v>
      </c>
      <c r="AL976">
        <v>0</v>
      </c>
    </row>
    <row r="977" spans="1:38" x14ac:dyDescent="0.25">
      <c r="A977" t="s">
        <v>2299</v>
      </c>
      <c r="B977" t="s">
        <v>2299</v>
      </c>
      <c r="C977" s="1">
        <v>805</v>
      </c>
      <c r="D977" s="1" t="s">
        <v>2298</v>
      </c>
      <c r="E977">
        <v>7</v>
      </c>
      <c r="F977">
        <v>5.5</v>
      </c>
      <c r="G977">
        <v>820</v>
      </c>
      <c r="H977" t="s">
        <v>290</v>
      </c>
      <c r="I977" t="s">
        <v>171</v>
      </c>
      <c r="J977" t="s">
        <v>2266</v>
      </c>
      <c r="M977" t="s">
        <v>318</v>
      </c>
      <c r="N977">
        <v>0</v>
      </c>
      <c r="O977">
        <v>0</v>
      </c>
      <c r="P977">
        <v>100</v>
      </c>
      <c r="Q977">
        <v>120</v>
      </c>
      <c r="R977" t="s">
        <v>184</v>
      </c>
      <c r="T977">
        <v>30</v>
      </c>
      <c r="U977">
        <v>285</v>
      </c>
      <c r="V977">
        <v>1250000</v>
      </c>
      <c r="W977" t="s">
        <v>589</v>
      </c>
      <c r="Z977">
        <v>61</v>
      </c>
      <c r="AA977">
        <v>131</v>
      </c>
      <c r="AB977">
        <v>211</v>
      </c>
      <c r="AC977">
        <v>53</v>
      </c>
      <c r="AD977">
        <v>101</v>
      </c>
      <c r="AE977">
        <v>13</v>
      </c>
      <c r="AF977">
        <v>570</v>
      </c>
      <c r="AG977">
        <v>0</v>
      </c>
      <c r="AH977">
        <v>0</v>
      </c>
      <c r="AI977">
        <v>3</v>
      </c>
      <c r="AJ977">
        <v>0</v>
      </c>
      <c r="AK977">
        <v>0</v>
      </c>
      <c r="AL977">
        <v>0</v>
      </c>
    </row>
    <row r="978" spans="1:38" x14ac:dyDescent="0.25">
      <c r="A978" t="s">
        <v>2301</v>
      </c>
      <c r="B978" t="s">
        <v>2301</v>
      </c>
      <c r="C978" s="1">
        <v>806</v>
      </c>
      <c r="D978" s="1" t="s">
        <v>2300</v>
      </c>
      <c r="E978">
        <v>7</v>
      </c>
      <c r="F978">
        <v>1.8</v>
      </c>
      <c r="G978">
        <v>13</v>
      </c>
      <c r="H978" t="s">
        <v>57</v>
      </c>
      <c r="I978" t="s">
        <v>419</v>
      </c>
      <c r="J978" t="s">
        <v>2266</v>
      </c>
      <c r="M978" t="s">
        <v>100</v>
      </c>
      <c r="N978">
        <v>0</v>
      </c>
      <c r="O978">
        <v>0</v>
      </c>
      <c r="P978">
        <v>100</v>
      </c>
      <c r="Q978">
        <v>120</v>
      </c>
      <c r="R978" t="s">
        <v>184</v>
      </c>
      <c r="T978">
        <v>30</v>
      </c>
      <c r="U978">
        <v>285</v>
      </c>
      <c r="V978">
        <v>1250000</v>
      </c>
      <c r="W978" t="s">
        <v>589</v>
      </c>
      <c r="Z978">
        <v>53</v>
      </c>
      <c r="AA978">
        <v>127</v>
      </c>
      <c r="AB978">
        <v>53</v>
      </c>
      <c r="AC978">
        <v>151</v>
      </c>
      <c r="AD978">
        <v>79</v>
      </c>
      <c r="AE978">
        <v>107</v>
      </c>
      <c r="AF978">
        <v>570</v>
      </c>
      <c r="AG978">
        <v>0</v>
      </c>
      <c r="AH978">
        <v>0</v>
      </c>
      <c r="AI978">
        <v>0</v>
      </c>
      <c r="AJ978">
        <v>3</v>
      </c>
      <c r="AK978">
        <v>0</v>
      </c>
      <c r="AL978">
        <v>0</v>
      </c>
    </row>
    <row r="979" spans="1:38" x14ac:dyDescent="0.25">
      <c r="A979" t="s">
        <v>2303</v>
      </c>
      <c r="B979" t="s">
        <v>2303</v>
      </c>
      <c r="C979" s="1">
        <v>807</v>
      </c>
      <c r="D979" s="1" t="s">
        <v>2302</v>
      </c>
      <c r="E979">
        <v>7</v>
      </c>
      <c r="F979">
        <v>1.5</v>
      </c>
      <c r="G979">
        <v>44.5</v>
      </c>
      <c r="H979" t="s">
        <v>154</v>
      </c>
      <c r="J979" t="s">
        <v>564</v>
      </c>
      <c r="M979" t="s">
        <v>106</v>
      </c>
      <c r="N979">
        <v>0</v>
      </c>
      <c r="O979">
        <v>0</v>
      </c>
      <c r="P979">
        <v>100</v>
      </c>
      <c r="Q979">
        <v>120</v>
      </c>
      <c r="R979" t="s">
        <v>184</v>
      </c>
      <c r="T979">
        <v>3</v>
      </c>
      <c r="U979">
        <v>300</v>
      </c>
      <c r="V979">
        <v>1250000</v>
      </c>
      <c r="W979" t="s">
        <v>618</v>
      </c>
      <c r="Z979">
        <v>88</v>
      </c>
      <c r="AA979">
        <v>112</v>
      </c>
      <c r="AB979">
        <v>75</v>
      </c>
      <c r="AC979">
        <v>102</v>
      </c>
      <c r="AD979">
        <v>80</v>
      </c>
      <c r="AE979">
        <v>143</v>
      </c>
      <c r="AF979">
        <v>600</v>
      </c>
      <c r="AG979">
        <v>0</v>
      </c>
      <c r="AH979">
        <v>0</v>
      </c>
      <c r="AI979">
        <v>0</v>
      </c>
      <c r="AJ979">
        <v>0</v>
      </c>
      <c r="AK979">
        <v>0</v>
      </c>
      <c r="AL979">
        <v>3</v>
      </c>
    </row>
    <row r="980" spans="1:38" x14ac:dyDescent="0.25">
      <c r="A980" t="s">
        <v>2305</v>
      </c>
      <c r="B980" t="s">
        <v>2305</v>
      </c>
      <c r="C980" s="1">
        <v>808</v>
      </c>
      <c r="D980" s="1" t="s">
        <v>2304</v>
      </c>
      <c r="E980">
        <v>7</v>
      </c>
      <c r="F980">
        <v>0.2</v>
      </c>
      <c r="G980">
        <v>8</v>
      </c>
      <c r="H980" t="s">
        <v>171</v>
      </c>
      <c r="J980" t="s">
        <v>342</v>
      </c>
      <c r="M980" t="s">
        <v>318</v>
      </c>
      <c r="N980">
        <v>0</v>
      </c>
      <c r="O980">
        <v>0</v>
      </c>
      <c r="P980">
        <v>100</v>
      </c>
      <c r="Q980">
        <v>120</v>
      </c>
      <c r="R980" t="s">
        <v>184</v>
      </c>
      <c r="T980">
        <v>3</v>
      </c>
      <c r="U980">
        <v>150</v>
      </c>
      <c r="V980">
        <v>1250000</v>
      </c>
      <c r="W980" t="s">
        <v>618</v>
      </c>
      <c r="Z980">
        <v>46</v>
      </c>
      <c r="AA980">
        <v>65</v>
      </c>
      <c r="AB980">
        <v>65</v>
      </c>
      <c r="AC980">
        <v>55</v>
      </c>
      <c r="AD980">
        <v>35</v>
      </c>
      <c r="AE980">
        <v>34</v>
      </c>
      <c r="AF980">
        <v>300</v>
      </c>
      <c r="AG980">
        <v>0</v>
      </c>
      <c r="AH980">
        <v>1</v>
      </c>
      <c r="AI980">
        <v>0</v>
      </c>
      <c r="AJ980">
        <v>0</v>
      </c>
      <c r="AK980">
        <v>0</v>
      </c>
      <c r="AL980">
        <v>0</v>
      </c>
    </row>
    <row r="981" spans="1:38" x14ac:dyDescent="0.25">
      <c r="A981" t="s">
        <v>2307</v>
      </c>
      <c r="B981" t="s">
        <v>2307</v>
      </c>
      <c r="C981" s="1">
        <v>809</v>
      </c>
      <c r="D981" s="1" t="s">
        <v>2306</v>
      </c>
      <c r="E981">
        <v>7</v>
      </c>
      <c r="F981">
        <v>2.5</v>
      </c>
      <c r="G981">
        <v>800</v>
      </c>
      <c r="H981" t="s">
        <v>171</v>
      </c>
      <c r="J981" t="s">
        <v>473</v>
      </c>
      <c r="M981" t="s">
        <v>318</v>
      </c>
      <c r="N981">
        <v>0</v>
      </c>
      <c r="O981">
        <v>0</v>
      </c>
      <c r="P981">
        <v>100</v>
      </c>
      <c r="Q981">
        <v>120</v>
      </c>
      <c r="R981" t="s">
        <v>184</v>
      </c>
      <c r="T981">
        <v>3</v>
      </c>
      <c r="U981">
        <v>300</v>
      </c>
      <c r="V981">
        <v>1250000</v>
      </c>
      <c r="W981" t="s">
        <v>618</v>
      </c>
      <c r="Z981">
        <v>135</v>
      </c>
      <c r="AA981">
        <v>143</v>
      </c>
      <c r="AB981">
        <v>143</v>
      </c>
      <c r="AC981">
        <v>80</v>
      </c>
      <c r="AD981">
        <v>65</v>
      </c>
      <c r="AE981">
        <v>34</v>
      </c>
      <c r="AF981">
        <v>600</v>
      </c>
      <c r="AG981">
        <v>0</v>
      </c>
      <c r="AH981">
        <v>3</v>
      </c>
      <c r="AI981">
        <v>0</v>
      </c>
      <c r="AJ981">
        <v>0</v>
      </c>
      <c r="AK981">
        <v>0</v>
      </c>
      <c r="AL981">
        <v>0</v>
      </c>
    </row>
    <row r="982" spans="1:38" x14ac:dyDescent="0.25">
      <c r="A982" t="s">
        <v>2309</v>
      </c>
      <c r="B982" t="s">
        <v>2309</v>
      </c>
      <c r="C982" s="1">
        <v>810</v>
      </c>
      <c r="D982" s="1" t="s">
        <v>2308</v>
      </c>
      <c r="E982">
        <v>8</v>
      </c>
      <c r="F982">
        <v>0.3</v>
      </c>
      <c r="G982">
        <v>5</v>
      </c>
      <c r="H982" t="s">
        <v>40</v>
      </c>
      <c r="J982" t="s">
        <v>42</v>
      </c>
      <c r="L982" t="s">
        <v>2251</v>
      </c>
      <c r="M982" t="s">
        <v>44</v>
      </c>
      <c r="N982">
        <v>87.5</v>
      </c>
      <c r="O982">
        <v>12.5</v>
      </c>
      <c r="P982">
        <v>0</v>
      </c>
      <c r="Q982">
        <v>20</v>
      </c>
      <c r="R982" t="s">
        <v>132</v>
      </c>
      <c r="S982" t="s">
        <v>40</v>
      </c>
      <c r="T982">
        <v>45</v>
      </c>
      <c r="U982">
        <v>62</v>
      </c>
      <c r="V982">
        <v>1059860</v>
      </c>
      <c r="W982" t="s">
        <v>46</v>
      </c>
      <c r="Z982">
        <v>50</v>
      </c>
      <c r="AA982">
        <v>65</v>
      </c>
      <c r="AB982">
        <v>50</v>
      </c>
      <c r="AC982">
        <v>40</v>
      </c>
      <c r="AD982">
        <v>40</v>
      </c>
      <c r="AE982">
        <v>65</v>
      </c>
      <c r="AF982">
        <v>310</v>
      </c>
      <c r="AG982">
        <v>0</v>
      </c>
      <c r="AH982">
        <v>1</v>
      </c>
      <c r="AI982">
        <v>0</v>
      </c>
      <c r="AJ982">
        <v>0</v>
      </c>
      <c r="AK982">
        <v>0</v>
      </c>
      <c r="AL982">
        <v>0</v>
      </c>
    </row>
    <row r="983" spans="1:38" x14ac:dyDescent="0.25">
      <c r="A983" t="s">
        <v>2311</v>
      </c>
      <c r="B983" t="s">
        <v>2311</v>
      </c>
      <c r="C983" s="1">
        <v>811</v>
      </c>
      <c r="D983" s="1" t="s">
        <v>2310</v>
      </c>
      <c r="E983">
        <v>8</v>
      </c>
      <c r="F983">
        <v>0.7</v>
      </c>
      <c r="G983">
        <v>14</v>
      </c>
      <c r="H983" t="s">
        <v>40</v>
      </c>
      <c r="J983" t="s">
        <v>42</v>
      </c>
      <c r="L983" t="s">
        <v>2251</v>
      </c>
      <c r="M983" t="s">
        <v>44</v>
      </c>
      <c r="N983">
        <v>87.5</v>
      </c>
      <c r="O983">
        <v>12.5</v>
      </c>
      <c r="P983">
        <v>0</v>
      </c>
      <c r="Q983">
        <v>20</v>
      </c>
      <c r="R983" t="s">
        <v>132</v>
      </c>
      <c r="S983" t="s">
        <v>40</v>
      </c>
      <c r="T983">
        <v>45</v>
      </c>
      <c r="U983">
        <v>147</v>
      </c>
      <c r="V983">
        <v>1059860</v>
      </c>
      <c r="W983" t="s">
        <v>46</v>
      </c>
      <c r="Z983">
        <v>70</v>
      </c>
      <c r="AA983">
        <v>85</v>
      </c>
      <c r="AB983">
        <v>70</v>
      </c>
      <c r="AC983">
        <v>55</v>
      </c>
      <c r="AD983">
        <v>60</v>
      </c>
      <c r="AE983">
        <v>80</v>
      </c>
      <c r="AF983">
        <v>420</v>
      </c>
      <c r="AG983">
        <v>0</v>
      </c>
      <c r="AH983">
        <v>2</v>
      </c>
      <c r="AI983">
        <v>0</v>
      </c>
      <c r="AJ983">
        <v>0</v>
      </c>
      <c r="AK983">
        <v>0</v>
      </c>
      <c r="AL983">
        <v>0</v>
      </c>
    </row>
    <row r="984" spans="1:38" x14ac:dyDescent="0.25">
      <c r="A984" t="s">
        <v>2313</v>
      </c>
      <c r="B984" t="s">
        <v>2313</v>
      </c>
      <c r="C984" s="1">
        <v>812</v>
      </c>
      <c r="D984" s="1" t="s">
        <v>2312</v>
      </c>
      <c r="E984">
        <v>8</v>
      </c>
      <c r="F984">
        <v>2.1</v>
      </c>
      <c r="G984">
        <v>90</v>
      </c>
      <c r="H984" t="s">
        <v>40</v>
      </c>
      <c r="J984" t="s">
        <v>42</v>
      </c>
      <c r="L984" t="s">
        <v>2251</v>
      </c>
      <c r="M984" t="s">
        <v>44</v>
      </c>
      <c r="N984">
        <v>87.5</v>
      </c>
      <c r="O984">
        <v>12.5</v>
      </c>
      <c r="P984">
        <v>0</v>
      </c>
      <c r="Q984">
        <v>20</v>
      </c>
      <c r="R984" t="s">
        <v>132</v>
      </c>
      <c r="S984" t="s">
        <v>40</v>
      </c>
      <c r="T984">
        <v>45</v>
      </c>
      <c r="U984">
        <v>265</v>
      </c>
      <c r="V984">
        <v>1059860</v>
      </c>
      <c r="W984" t="s">
        <v>46</v>
      </c>
      <c r="Z984">
        <v>100</v>
      </c>
      <c r="AA984">
        <v>125</v>
      </c>
      <c r="AB984">
        <v>90</v>
      </c>
      <c r="AC984">
        <v>60</v>
      </c>
      <c r="AD984">
        <v>70</v>
      </c>
      <c r="AE984">
        <v>85</v>
      </c>
      <c r="AF984">
        <v>530</v>
      </c>
      <c r="AG984">
        <v>0</v>
      </c>
      <c r="AH984">
        <v>3</v>
      </c>
      <c r="AI984">
        <v>0</v>
      </c>
      <c r="AJ984">
        <v>0</v>
      </c>
      <c r="AK984">
        <v>0</v>
      </c>
      <c r="AL984">
        <v>0</v>
      </c>
    </row>
    <row r="985" spans="1:38" x14ac:dyDescent="0.25">
      <c r="A985" t="s">
        <v>2315</v>
      </c>
      <c r="B985" t="s">
        <v>2315</v>
      </c>
      <c r="C985" s="1">
        <v>813</v>
      </c>
      <c r="D985" s="1" t="s">
        <v>2314</v>
      </c>
      <c r="E985">
        <v>8</v>
      </c>
      <c r="F985">
        <v>0.3</v>
      </c>
      <c r="G985">
        <v>4.5</v>
      </c>
      <c r="H985" t="s">
        <v>57</v>
      </c>
      <c r="J985" t="s">
        <v>58</v>
      </c>
      <c r="L985" t="s">
        <v>2316</v>
      </c>
      <c r="M985" t="s">
        <v>100</v>
      </c>
      <c r="N985">
        <v>87.5</v>
      </c>
      <c r="O985">
        <v>12.5</v>
      </c>
      <c r="P985">
        <v>0</v>
      </c>
      <c r="Q985">
        <v>20</v>
      </c>
      <c r="R985" t="s">
        <v>132</v>
      </c>
      <c r="S985" t="s">
        <v>307</v>
      </c>
      <c r="T985">
        <v>45</v>
      </c>
      <c r="U985">
        <v>62</v>
      </c>
      <c r="V985">
        <v>1059860</v>
      </c>
      <c r="W985" t="s">
        <v>46</v>
      </c>
      <c r="Z985">
        <v>50</v>
      </c>
      <c r="AA985">
        <v>71</v>
      </c>
      <c r="AB985">
        <v>40</v>
      </c>
      <c r="AC985">
        <v>40</v>
      </c>
      <c r="AD985">
        <v>40</v>
      </c>
      <c r="AE985">
        <v>69</v>
      </c>
      <c r="AF985">
        <v>310</v>
      </c>
      <c r="AG985">
        <v>0</v>
      </c>
      <c r="AH985">
        <v>0</v>
      </c>
      <c r="AI985">
        <v>0</v>
      </c>
      <c r="AJ985">
        <v>0</v>
      </c>
      <c r="AK985">
        <v>0</v>
      </c>
      <c r="AL985">
        <v>1</v>
      </c>
    </row>
    <row r="986" spans="1:38" x14ac:dyDescent="0.25">
      <c r="A986" t="s">
        <v>2318</v>
      </c>
      <c r="B986" t="s">
        <v>2318</v>
      </c>
      <c r="C986" s="1">
        <v>814</v>
      </c>
      <c r="D986" s="1" t="s">
        <v>2317</v>
      </c>
      <c r="E986">
        <v>8</v>
      </c>
      <c r="F986">
        <v>0.6</v>
      </c>
      <c r="G986">
        <v>9</v>
      </c>
      <c r="H986" t="s">
        <v>57</v>
      </c>
      <c r="J986" t="s">
        <v>58</v>
      </c>
      <c r="L986" t="s">
        <v>2316</v>
      </c>
      <c r="M986" t="s">
        <v>318</v>
      </c>
      <c r="N986">
        <v>87.5</v>
      </c>
      <c r="O986">
        <v>12.5</v>
      </c>
      <c r="P986">
        <v>0</v>
      </c>
      <c r="Q986">
        <v>20</v>
      </c>
      <c r="R986" t="s">
        <v>132</v>
      </c>
      <c r="S986" t="s">
        <v>307</v>
      </c>
      <c r="T986">
        <v>45</v>
      </c>
      <c r="U986">
        <v>147</v>
      </c>
      <c r="V986">
        <v>1059860</v>
      </c>
      <c r="W986" t="s">
        <v>46</v>
      </c>
      <c r="Z986">
        <v>65</v>
      </c>
      <c r="AA986">
        <v>86</v>
      </c>
      <c r="AB986">
        <v>60</v>
      </c>
      <c r="AC986">
        <v>55</v>
      </c>
      <c r="AD986">
        <v>60</v>
      </c>
      <c r="AE986">
        <v>94</v>
      </c>
      <c r="AF986">
        <v>420</v>
      </c>
      <c r="AG986">
        <v>0</v>
      </c>
      <c r="AH986">
        <v>0</v>
      </c>
      <c r="AI986">
        <v>0</v>
      </c>
      <c r="AJ986">
        <v>0</v>
      </c>
      <c r="AK986">
        <v>0</v>
      </c>
      <c r="AL986">
        <v>2</v>
      </c>
    </row>
    <row r="987" spans="1:38" x14ac:dyDescent="0.25">
      <c r="A987" t="s">
        <v>2320</v>
      </c>
      <c r="B987" t="s">
        <v>2320</v>
      </c>
      <c r="C987" s="1">
        <v>815</v>
      </c>
      <c r="D987" s="1" t="s">
        <v>2319</v>
      </c>
      <c r="E987">
        <v>8</v>
      </c>
      <c r="F987">
        <v>1.4</v>
      </c>
      <c r="G987">
        <v>33</v>
      </c>
      <c r="H987" t="s">
        <v>57</v>
      </c>
      <c r="J987" t="s">
        <v>58</v>
      </c>
      <c r="L987" t="s">
        <v>2316</v>
      </c>
      <c r="M987" t="s">
        <v>100</v>
      </c>
      <c r="N987">
        <v>87.5</v>
      </c>
      <c r="O987">
        <v>12.5</v>
      </c>
      <c r="P987">
        <v>0</v>
      </c>
      <c r="Q987">
        <v>20</v>
      </c>
      <c r="R987" t="s">
        <v>132</v>
      </c>
      <c r="S987" t="s">
        <v>307</v>
      </c>
      <c r="T987">
        <v>45</v>
      </c>
      <c r="U987">
        <v>265</v>
      </c>
      <c r="V987">
        <v>1059860</v>
      </c>
      <c r="W987" t="s">
        <v>46</v>
      </c>
      <c r="Z987">
        <v>80</v>
      </c>
      <c r="AA987">
        <v>116</v>
      </c>
      <c r="AB987">
        <v>75</v>
      </c>
      <c r="AC987">
        <v>65</v>
      </c>
      <c r="AD987">
        <v>75</v>
      </c>
      <c r="AE987">
        <v>119</v>
      </c>
      <c r="AF987">
        <v>530</v>
      </c>
      <c r="AG987">
        <v>0</v>
      </c>
      <c r="AH987">
        <v>0</v>
      </c>
      <c r="AI987">
        <v>0</v>
      </c>
      <c r="AJ987">
        <v>0</v>
      </c>
      <c r="AK987">
        <v>0</v>
      </c>
      <c r="AL987">
        <v>3</v>
      </c>
    </row>
    <row r="988" spans="1:38" x14ac:dyDescent="0.25">
      <c r="A988" t="s">
        <v>2322</v>
      </c>
      <c r="B988" t="s">
        <v>2322</v>
      </c>
      <c r="C988" s="1">
        <v>816</v>
      </c>
      <c r="D988" s="1" t="s">
        <v>2321</v>
      </c>
      <c r="E988">
        <v>8</v>
      </c>
      <c r="F988">
        <v>0.3</v>
      </c>
      <c r="G988">
        <v>4</v>
      </c>
      <c r="H988" t="s">
        <v>76</v>
      </c>
      <c r="J988" t="s">
        <v>77</v>
      </c>
      <c r="L988" t="s">
        <v>110</v>
      </c>
      <c r="M988" t="s">
        <v>79</v>
      </c>
      <c r="N988">
        <v>87.5</v>
      </c>
      <c r="O988">
        <v>12.5</v>
      </c>
      <c r="P988">
        <v>0</v>
      </c>
      <c r="Q988">
        <v>20</v>
      </c>
      <c r="R988" t="s">
        <v>80</v>
      </c>
      <c r="S988" t="s">
        <v>132</v>
      </c>
      <c r="T988">
        <v>45</v>
      </c>
      <c r="U988">
        <v>62</v>
      </c>
      <c r="V988">
        <v>1059860</v>
      </c>
      <c r="W988" t="s">
        <v>46</v>
      </c>
      <c r="Z988">
        <v>50</v>
      </c>
      <c r="AA988">
        <v>40</v>
      </c>
      <c r="AB988">
        <v>40</v>
      </c>
      <c r="AC988">
        <v>70</v>
      </c>
      <c r="AD988">
        <v>40</v>
      </c>
      <c r="AE988">
        <v>70</v>
      </c>
      <c r="AF988">
        <v>310</v>
      </c>
      <c r="AG988">
        <v>0</v>
      </c>
      <c r="AH988">
        <v>0</v>
      </c>
      <c r="AI988">
        <v>0</v>
      </c>
      <c r="AJ988">
        <v>0</v>
      </c>
      <c r="AK988">
        <v>1</v>
      </c>
      <c r="AL988">
        <v>1</v>
      </c>
    </row>
    <row r="989" spans="1:38" x14ac:dyDescent="0.25">
      <c r="A989" t="s">
        <v>2324</v>
      </c>
      <c r="B989" t="s">
        <v>2324</v>
      </c>
      <c r="C989" s="1">
        <v>817</v>
      </c>
      <c r="D989" s="1" t="s">
        <v>2323</v>
      </c>
      <c r="E989">
        <v>8</v>
      </c>
      <c r="F989">
        <v>0.7</v>
      </c>
      <c r="G989">
        <v>11.5</v>
      </c>
      <c r="H989" t="s">
        <v>76</v>
      </c>
      <c r="J989" t="s">
        <v>77</v>
      </c>
      <c r="L989" t="s">
        <v>110</v>
      </c>
      <c r="M989" t="s">
        <v>79</v>
      </c>
      <c r="N989">
        <v>87.5</v>
      </c>
      <c r="O989">
        <v>12.5</v>
      </c>
      <c r="P989">
        <v>0</v>
      </c>
      <c r="Q989">
        <v>20</v>
      </c>
      <c r="R989" t="s">
        <v>80</v>
      </c>
      <c r="S989" t="s">
        <v>132</v>
      </c>
      <c r="T989">
        <v>45</v>
      </c>
      <c r="U989">
        <v>147</v>
      </c>
      <c r="V989">
        <v>1059860</v>
      </c>
      <c r="W989" t="s">
        <v>46</v>
      </c>
      <c r="Z989">
        <v>65</v>
      </c>
      <c r="AA989">
        <v>60</v>
      </c>
      <c r="AB989">
        <v>55</v>
      </c>
      <c r="AC989">
        <v>95</v>
      </c>
      <c r="AD989">
        <v>55</v>
      </c>
      <c r="AE989">
        <v>90</v>
      </c>
      <c r="AF989">
        <v>420</v>
      </c>
      <c r="AG989">
        <v>0</v>
      </c>
      <c r="AH989">
        <v>0</v>
      </c>
      <c r="AI989">
        <v>0</v>
      </c>
      <c r="AJ989">
        <v>2</v>
      </c>
      <c r="AK989">
        <v>0</v>
      </c>
      <c r="AL989">
        <v>0</v>
      </c>
    </row>
    <row r="990" spans="1:38" x14ac:dyDescent="0.25">
      <c r="A990" t="s">
        <v>2326</v>
      </c>
      <c r="B990" t="s">
        <v>2326</v>
      </c>
      <c r="C990" s="1">
        <v>818</v>
      </c>
      <c r="D990" s="1" t="s">
        <v>2325</v>
      </c>
      <c r="E990">
        <v>8</v>
      </c>
      <c r="F990">
        <v>1.9</v>
      </c>
      <c r="G990">
        <v>45.2</v>
      </c>
      <c r="H990" t="s">
        <v>76</v>
      </c>
      <c r="J990" t="s">
        <v>77</v>
      </c>
      <c r="L990" t="s">
        <v>110</v>
      </c>
      <c r="M990" t="s">
        <v>79</v>
      </c>
      <c r="N990">
        <v>87.5</v>
      </c>
      <c r="O990">
        <v>12.5</v>
      </c>
      <c r="P990">
        <v>0</v>
      </c>
      <c r="Q990">
        <v>20</v>
      </c>
      <c r="R990" t="s">
        <v>80</v>
      </c>
      <c r="S990" t="s">
        <v>132</v>
      </c>
      <c r="T990">
        <v>45</v>
      </c>
      <c r="U990">
        <v>265</v>
      </c>
      <c r="V990">
        <v>1059860</v>
      </c>
      <c r="W990" t="s">
        <v>46</v>
      </c>
      <c r="Z990">
        <v>70</v>
      </c>
      <c r="AA990">
        <v>85</v>
      </c>
      <c r="AB990">
        <v>65</v>
      </c>
      <c r="AC990">
        <v>125</v>
      </c>
      <c r="AD990">
        <v>65</v>
      </c>
      <c r="AE990">
        <v>120</v>
      </c>
      <c r="AF990">
        <v>530</v>
      </c>
      <c r="AG990">
        <v>0</v>
      </c>
      <c r="AH990">
        <v>0</v>
      </c>
      <c r="AI990">
        <v>0</v>
      </c>
      <c r="AJ990">
        <v>0</v>
      </c>
      <c r="AK990">
        <v>0</v>
      </c>
      <c r="AL990">
        <v>3</v>
      </c>
    </row>
    <row r="991" spans="1:38" x14ac:dyDescent="0.25">
      <c r="A991" t="s">
        <v>2328</v>
      </c>
      <c r="B991" t="s">
        <v>2328</v>
      </c>
      <c r="C991" s="1">
        <v>819</v>
      </c>
      <c r="D991" s="1" t="s">
        <v>2327</v>
      </c>
      <c r="E991">
        <v>8</v>
      </c>
      <c r="F991">
        <v>0.3</v>
      </c>
      <c r="G991">
        <v>2.5</v>
      </c>
      <c r="H991" t="s">
        <v>116</v>
      </c>
      <c r="J991" t="s">
        <v>1888</v>
      </c>
      <c r="L991" t="s">
        <v>136</v>
      </c>
      <c r="M991" t="s">
        <v>103</v>
      </c>
      <c r="N991">
        <v>50</v>
      </c>
      <c r="O991">
        <v>50</v>
      </c>
      <c r="P991">
        <v>0</v>
      </c>
      <c r="Q991">
        <v>20</v>
      </c>
      <c r="R991" t="s">
        <v>132</v>
      </c>
      <c r="T991">
        <v>255</v>
      </c>
      <c r="U991">
        <v>55</v>
      </c>
      <c r="V991">
        <v>1000000</v>
      </c>
      <c r="W991" t="s">
        <v>46</v>
      </c>
      <c r="Z991">
        <v>70</v>
      </c>
      <c r="AA991">
        <v>55</v>
      </c>
      <c r="AB991">
        <v>55</v>
      </c>
      <c r="AC991">
        <v>35</v>
      </c>
      <c r="AD991">
        <v>35</v>
      </c>
      <c r="AE991">
        <v>25</v>
      </c>
      <c r="AF991">
        <v>275</v>
      </c>
      <c r="AG991">
        <v>1</v>
      </c>
      <c r="AH991">
        <v>0</v>
      </c>
      <c r="AI991">
        <v>0</v>
      </c>
      <c r="AJ991">
        <v>0</v>
      </c>
      <c r="AK991">
        <v>0</v>
      </c>
      <c r="AL991">
        <v>0</v>
      </c>
    </row>
    <row r="992" spans="1:38" x14ac:dyDescent="0.25">
      <c r="A992" t="s">
        <v>2330</v>
      </c>
      <c r="B992" t="s">
        <v>2330</v>
      </c>
      <c r="C992" s="1">
        <v>820</v>
      </c>
      <c r="D992" s="1" t="s">
        <v>2329</v>
      </c>
      <c r="E992">
        <v>8</v>
      </c>
      <c r="F992">
        <v>0.6</v>
      </c>
      <c r="G992">
        <v>6</v>
      </c>
      <c r="H992" t="s">
        <v>116</v>
      </c>
      <c r="J992" t="s">
        <v>1888</v>
      </c>
      <c r="L992" t="s">
        <v>136</v>
      </c>
      <c r="M992" t="s">
        <v>103</v>
      </c>
      <c r="N992">
        <v>50</v>
      </c>
      <c r="O992">
        <v>50</v>
      </c>
      <c r="P992">
        <v>0</v>
      </c>
      <c r="Q992">
        <v>20</v>
      </c>
      <c r="R992" t="s">
        <v>132</v>
      </c>
      <c r="T992">
        <v>90</v>
      </c>
      <c r="U992">
        <v>161</v>
      </c>
      <c r="V992">
        <v>1000000</v>
      </c>
      <c r="W992" t="s">
        <v>46</v>
      </c>
      <c r="Z992">
        <v>120</v>
      </c>
      <c r="AA992">
        <v>95</v>
      </c>
      <c r="AB992">
        <v>95</v>
      </c>
      <c r="AC992">
        <v>55</v>
      </c>
      <c r="AD992">
        <v>75</v>
      </c>
      <c r="AE992">
        <v>20</v>
      </c>
      <c r="AF992">
        <v>460</v>
      </c>
      <c r="AG992">
        <v>2</v>
      </c>
      <c r="AH992">
        <v>0</v>
      </c>
      <c r="AI992">
        <v>0</v>
      </c>
      <c r="AJ992">
        <v>0</v>
      </c>
      <c r="AK992">
        <v>0</v>
      </c>
      <c r="AL992">
        <v>0</v>
      </c>
    </row>
    <row r="993" spans="1:38" x14ac:dyDescent="0.25">
      <c r="A993" t="s">
        <v>2332</v>
      </c>
      <c r="B993" t="s">
        <v>2332</v>
      </c>
      <c r="C993" s="1">
        <v>821</v>
      </c>
      <c r="D993" s="1" t="s">
        <v>2331</v>
      </c>
      <c r="E993">
        <v>8</v>
      </c>
      <c r="F993">
        <v>0.2</v>
      </c>
      <c r="G993">
        <v>1.8</v>
      </c>
      <c r="H993" t="s">
        <v>66</v>
      </c>
      <c r="J993" t="s">
        <v>117</v>
      </c>
      <c r="K993" t="s">
        <v>149</v>
      </c>
      <c r="L993" t="s">
        <v>119</v>
      </c>
      <c r="M993" t="s">
        <v>79</v>
      </c>
      <c r="N993">
        <v>50</v>
      </c>
      <c r="O993">
        <v>50</v>
      </c>
      <c r="P993">
        <v>0</v>
      </c>
      <c r="Q993">
        <v>15</v>
      </c>
      <c r="R993" t="s">
        <v>66</v>
      </c>
      <c r="T993">
        <v>255</v>
      </c>
      <c r="U993">
        <v>49</v>
      </c>
      <c r="V993">
        <v>1059860</v>
      </c>
      <c r="W993" t="s">
        <v>46</v>
      </c>
      <c r="Z993">
        <v>38</v>
      </c>
      <c r="AA993">
        <v>47</v>
      </c>
      <c r="AB993">
        <v>35</v>
      </c>
      <c r="AC993">
        <v>33</v>
      </c>
      <c r="AD993">
        <v>35</v>
      </c>
      <c r="AE993">
        <v>57</v>
      </c>
      <c r="AF993">
        <v>245</v>
      </c>
      <c r="AG993">
        <v>0</v>
      </c>
      <c r="AH993">
        <v>0</v>
      </c>
      <c r="AI993">
        <v>0</v>
      </c>
      <c r="AJ993">
        <v>0</v>
      </c>
      <c r="AK993">
        <v>0</v>
      </c>
      <c r="AL993">
        <v>1</v>
      </c>
    </row>
    <row r="994" spans="1:38" x14ac:dyDescent="0.25">
      <c r="A994" t="s">
        <v>2334</v>
      </c>
      <c r="B994" t="s">
        <v>2334</v>
      </c>
      <c r="C994" s="1">
        <v>822</v>
      </c>
      <c r="D994" s="1" t="s">
        <v>2333</v>
      </c>
      <c r="E994">
        <v>8</v>
      </c>
      <c r="F994">
        <v>0.8</v>
      </c>
      <c r="G994">
        <v>16</v>
      </c>
      <c r="H994" t="s">
        <v>66</v>
      </c>
      <c r="J994" t="s">
        <v>117</v>
      </c>
      <c r="K994" t="s">
        <v>149</v>
      </c>
      <c r="L994" t="s">
        <v>119</v>
      </c>
      <c r="M994" t="s">
        <v>79</v>
      </c>
      <c r="N994">
        <v>50</v>
      </c>
      <c r="O994">
        <v>50</v>
      </c>
      <c r="P994">
        <v>0</v>
      </c>
      <c r="Q994">
        <v>15</v>
      </c>
      <c r="R994" t="s">
        <v>66</v>
      </c>
      <c r="T994">
        <v>120</v>
      </c>
      <c r="U994">
        <v>128</v>
      </c>
      <c r="V994">
        <v>1059860</v>
      </c>
      <c r="W994" t="s">
        <v>46</v>
      </c>
      <c r="Z994">
        <v>68</v>
      </c>
      <c r="AA994">
        <v>67</v>
      </c>
      <c r="AB994">
        <v>55</v>
      </c>
      <c r="AC994">
        <v>43</v>
      </c>
      <c r="AD994">
        <v>55</v>
      </c>
      <c r="AE994">
        <v>77</v>
      </c>
      <c r="AF994">
        <v>365</v>
      </c>
      <c r="AG994">
        <v>0</v>
      </c>
      <c r="AH994">
        <v>0</v>
      </c>
      <c r="AI994">
        <v>0</v>
      </c>
      <c r="AJ994">
        <v>0</v>
      </c>
      <c r="AK994">
        <v>0</v>
      </c>
      <c r="AL994">
        <v>2</v>
      </c>
    </row>
    <row r="995" spans="1:38" x14ac:dyDescent="0.25">
      <c r="A995" t="s">
        <v>2336</v>
      </c>
      <c r="B995" t="s">
        <v>2336</v>
      </c>
      <c r="C995" s="1">
        <v>823</v>
      </c>
      <c r="D995" s="1" t="s">
        <v>2335</v>
      </c>
      <c r="E995">
        <v>8</v>
      </c>
      <c r="F995">
        <v>2.2000000000000002</v>
      </c>
      <c r="G995">
        <v>75</v>
      </c>
      <c r="H995" t="s">
        <v>66</v>
      </c>
      <c r="I995" t="s">
        <v>171</v>
      </c>
      <c r="J995" t="s">
        <v>581</v>
      </c>
      <c r="K995" t="s">
        <v>149</v>
      </c>
      <c r="L995" t="s">
        <v>2337</v>
      </c>
      <c r="M995" t="s">
        <v>131</v>
      </c>
      <c r="N995">
        <v>50</v>
      </c>
      <c r="O995">
        <v>50</v>
      </c>
      <c r="P995">
        <v>0</v>
      </c>
      <c r="Q995">
        <v>15</v>
      </c>
      <c r="R995" t="s">
        <v>66</v>
      </c>
      <c r="T995">
        <v>45</v>
      </c>
      <c r="U995">
        <v>248</v>
      </c>
      <c r="V995">
        <v>1059860</v>
      </c>
      <c r="W995" t="s">
        <v>46</v>
      </c>
      <c r="Z995">
        <v>98</v>
      </c>
      <c r="AA995">
        <v>87</v>
      </c>
      <c r="AB995">
        <v>105</v>
      </c>
      <c r="AC995">
        <v>53</v>
      </c>
      <c r="AD995">
        <v>85</v>
      </c>
      <c r="AE995">
        <v>67</v>
      </c>
      <c r="AF995">
        <v>495</v>
      </c>
      <c r="AG995">
        <v>0</v>
      </c>
      <c r="AH995">
        <v>0</v>
      </c>
      <c r="AI995">
        <v>3</v>
      </c>
      <c r="AJ995">
        <v>0</v>
      </c>
      <c r="AK995">
        <v>0</v>
      </c>
      <c r="AL995">
        <v>0</v>
      </c>
    </row>
    <row r="996" spans="1:38" x14ac:dyDescent="0.25">
      <c r="A996" t="s">
        <v>2339</v>
      </c>
      <c r="B996" t="s">
        <v>2339</v>
      </c>
      <c r="C996" s="1">
        <v>824</v>
      </c>
      <c r="D996" s="1" t="s">
        <v>2338</v>
      </c>
      <c r="E996">
        <v>8</v>
      </c>
      <c r="F996">
        <v>0.4</v>
      </c>
      <c r="G996">
        <v>8</v>
      </c>
      <c r="H996" t="s">
        <v>90</v>
      </c>
      <c r="J996" t="s">
        <v>109</v>
      </c>
      <c r="K996" t="s">
        <v>98</v>
      </c>
      <c r="L996" t="s">
        <v>738</v>
      </c>
      <c r="M996" t="s">
        <v>79</v>
      </c>
      <c r="N996">
        <v>50</v>
      </c>
      <c r="O996">
        <v>50</v>
      </c>
      <c r="P996">
        <v>0</v>
      </c>
      <c r="Q996">
        <v>15</v>
      </c>
      <c r="R996" t="s">
        <v>90</v>
      </c>
      <c r="T996">
        <v>255</v>
      </c>
      <c r="U996">
        <v>36</v>
      </c>
      <c r="V996">
        <v>1000000</v>
      </c>
      <c r="W996" t="s">
        <v>46</v>
      </c>
      <c r="Z996">
        <v>25</v>
      </c>
      <c r="AA996">
        <v>20</v>
      </c>
      <c r="AB996">
        <v>20</v>
      </c>
      <c r="AC996">
        <v>25</v>
      </c>
      <c r="AD996">
        <v>45</v>
      </c>
      <c r="AE996">
        <v>45</v>
      </c>
      <c r="AF996">
        <v>180</v>
      </c>
      <c r="AG996">
        <v>0</v>
      </c>
      <c r="AH996">
        <v>0</v>
      </c>
      <c r="AI996">
        <v>0</v>
      </c>
      <c r="AJ996">
        <v>0</v>
      </c>
      <c r="AK996">
        <v>1</v>
      </c>
      <c r="AL996">
        <v>0</v>
      </c>
    </row>
    <row r="997" spans="1:38" x14ac:dyDescent="0.25">
      <c r="A997" t="s">
        <v>2341</v>
      </c>
      <c r="B997" t="s">
        <v>2341</v>
      </c>
      <c r="C997" s="1">
        <v>825</v>
      </c>
      <c r="D997" s="1" t="s">
        <v>2340</v>
      </c>
      <c r="E997">
        <v>8</v>
      </c>
      <c r="F997">
        <v>0.4</v>
      </c>
      <c r="G997">
        <v>19.5</v>
      </c>
      <c r="H997" t="s">
        <v>90</v>
      </c>
      <c r="I997" t="s">
        <v>162</v>
      </c>
      <c r="J997" t="s">
        <v>109</v>
      </c>
      <c r="K997" t="s">
        <v>98</v>
      </c>
      <c r="L997" t="s">
        <v>738</v>
      </c>
      <c r="M997" t="s">
        <v>106</v>
      </c>
      <c r="N997">
        <v>50</v>
      </c>
      <c r="O997">
        <v>50</v>
      </c>
      <c r="P997">
        <v>0</v>
      </c>
      <c r="Q997">
        <v>15</v>
      </c>
      <c r="R997" t="s">
        <v>90</v>
      </c>
      <c r="T997">
        <v>120</v>
      </c>
      <c r="U997">
        <v>117</v>
      </c>
      <c r="V997">
        <v>1000000</v>
      </c>
      <c r="W997" t="s">
        <v>46</v>
      </c>
      <c r="Z997">
        <v>50</v>
      </c>
      <c r="AA997">
        <v>35</v>
      </c>
      <c r="AB997">
        <v>80</v>
      </c>
      <c r="AC997">
        <v>50</v>
      </c>
      <c r="AD997">
        <v>90</v>
      </c>
      <c r="AE997">
        <v>30</v>
      </c>
      <c r="AF997">
        <v>335</v>
      </c>
      <c r="AG997">
        <v>0</v>
      </c>
      <c r="AH997">
        <v>0</v>
      </c>
      <c r="AI997">
        <v>0</v>
      </c>
      <c r="AJ997">
        <v>0</v>
      </c>
      <c r="AK997">
        <v>2</v>
      </c>
      <c r="AL997">
        <v>0</v>
      </c>
    </row>
    <row r="998" spans="1:38" x14ac:dyDescent="0.25">
      <c r="A998" t="s">
        <v>2343</v>
      </c>
      <c r="B998" t="s">
        <v>2343</v>
      </c>
      <c r="C998" s="1">
        <v>826</v>
      </c>
      <c r="D998" s="1" t="s">
        <v>2342</v>
      </c>
      <c r="E998">
        <v>8</v>
      </c>
      <c r="F998">
        <v>0.4</v>
      </c>
      <c r="G998">
        <v>40.799999999999997</v>
      </c>
      <c r="H998" t="s">
        <v>90</v>
      </c>
      <c r="I998" t="s">
        <v>162</v>
      </c>
      <c r="J998" t="s">
        <v>109</v>
      </c>
      <c r="K998" t="s">
        <v>218</v>
      </c>
      <c r="L998" t="s">
        <v>738</v>
      </c>
      <c r="M998" t="s">
        <v>60</v>
      </c>
      <c r="N998">
        <v>50</v>
      </c>
      <c r="O998">
        <v>50</v>
      </c>
      <c r="P998">
        <v>0</v>
      </c>
      <c r="Q998">
        <v>15</v>
      </c>
      <c r="R998" t="s">
        <v>90</v>
      </c>
      <c r="T998">
        <v>45</v>
      </c>
      <c r="U998">
        <v>253</v>
      </c>
      <c r="V998">
        <v>1000000</v>
      </c>
      <c r="W998" t="s">
        <v>46</v>
      </c>
      <c r="Z998">
        <v>60</v>
      </c>
      <c r="AA998">
        <v>45</v>
      </c>
      <c r="AB998">
        <v>110</v>
      </c>
      <c r="AC998">
        <v>80</v>
      </c>
      <c r="AD998">
        <v>120</v>
      </c>
      <c r="AE998">
        <v>90</v>
      </c>
      <c r="AF998">
        <v>505</v>
      </c>
      <c r="AG998">
        <v>0</v>
      </c>
      <c r="AH998">
        <v>0</v>
      </c>
      <c r="AI998">
        <v>0</v>
      </c>
      <c r="AJ998">
        <v>0</v>
      </c>
      <c r="AK998">
        <v>3</v>
      </c>
      <c r="AL998">
        <v>0</v>
      </c>
    </row>
    <row r="999" spans="1:38" x14ac:dyDescent="0.25">
      <c r="A999" t="s">
        <v>2345</v>
      </c>
      <c r="B999" t="s">
        <v>2345</v>
      </c>
      <c r="C999" s="1">
        <v>827</v>
      </c>
      <c r="D999" s="1" t="s">
        <v>2344</v>
      </c>
      <c r="E999">
        <v>8</v>
      </c>
      <c r="F999">
        <v>0.6</v>
      </c>
      <c r="G999">
        <v>8.9</v>
      </c>
      <c r="H999" t="s">
        <v>135</v>
      </c>
      <c r="J999" t="s">
        <v>92</v>
      </c>
      <c r="K999" t="s">
        <v>470</v>
      </c>
      <c r="L999" t="s">
        <v>2091</v>
      </c>
      <c r="M999" t="s">
        <v>103</v>
      </c>
      <c r="N999">
        <v>50</v>
      </c>
      <c r="O999">
        <v>50</v>
      </c>
      <c r="P999">
        <v>0</v>
      </c>
      <c r="Q999">
        <v>15</v>
      </c>
      <c r="R999" t="s">
        <v>132</v>
      </c>
      <c r="T999">
        <v>255</v>
      </c>
      <c r="U999">
        <v>49</v>
      </c>
      <c r="V999">
        <v>800000</v>
      </c>
      <c r="W999" t="s">
        <v>46</v>
      </c>
      <c r="Z999">
        <v>40</v>
      </c>
      <c r="AA999">
        <v>28</v>
      </c>
      <c r="AB999">
        <v>28</v>
      </c>
      <c r="AC999">
        <v>47</v>
      </c>
      <c r="AD999">
        <v>52</v>
      </c>
      <c r="AE999">
        <v>50</v>
      </c>
      <c r="AF999">
        <v>245</v>
      </c>
      <c r="AG999">
        <v>0</v>
      </c>
      <c r="AH999">
        <v>0</v>
      </c>
      <c r="AI999">
        <v>0</v>
      </c>
      <c r="AJ999">
        <v>0</v>
      </c>
      <c r="AK999">
        <v>1</v>
      </c>
      <c r="AL999">
        <v>0</v>
      </c>
    </row>
    <row r="1000" spans="1:38" x14ac:dyDescent="0.25">
      <c r="A1000" t="s">
        <v>2347</v>
      </c>
      <c r="B1000" t="s">
        <v>2347</v>
      </c>
      <c r="C1000" s="1">
        <v>828</v>
      </c>
      <c r="D1000" s="1" t="s">
        <v>2346</v>
      </c>
      <c r="E1000">
        <v>8</v>
      </c>
      <c r="F1000">
        <v>1.2</v>
      </c>
      <c r="G1000">
        <v>19.899999999999999</v>
      </c>
      <c r="H1000" t="s">
        <v>135</v>
      </c>
      <c r="J1000" t="s">
        <v>92</v>
      </c>
      <c r="K1000" t="s">
        <v>470</v>
      </c>
      <c r="L1000" t="s">
        <v>2091</v>
      </c>
      <c r="M1000" t="s">
        <v>103</v>
      </c>
      <c r="N1000">
        <v>50</v>
      </c>
      <c r="O1000">
        <v>50</v>
      </c>
      <c r="P1000">
        <v>0</v>
      </c>
      <c r="Q1000">
        <v>15</v>
      </c>
      <c r="R1000" t="s">
        <v>132</v>
      </c>
      <c r="T1000">
        <v>127</v>
      </c>
      <c r="U1000">
        <v>159</v>
      </c>
      <c r="V1000">
        <v>800000</v>
      </c>
      <c r="W1000" t="s">
        <v>46</v>
      </c>
      <c r="Z1000">
        <v>70</v>
      </c>
      <c r="AA1000">
        <v>58</v>
      </c>
      <c r="AB1000">
        <v>58</v>
      </c>
      <c r="AC1000">
        <v>87</v>
      </c>
      <c r="AD1000">
        <v>92</v>
      </c>
      <c r="AE1000">
        <v>90</v>
      </c>
      <c r="AF1000">
        <v>455</v>
      </c>
      <c r="AG1000">
        <v>0</v>
      </c>
      <c r="AH1000">
        <v>0</v>
      </c>
      <c r="AI1000">
        <v>0</v>
      </c>
      <c r="AJ1000">
        <v>0</v>
      </c>
      <c r="AK1000">
        <v>2</v>
      </c>
      <c r="AL1000">
        <v>0</v>
      </c>
    </row>
    <row r="1001" spans="1:38" x14ac:dyDescent="0.25">
      <c r="A1001" t="s">
        <v>2349</v>
      </c>
      <c r="B1001" t="s">
        <v>2349</v>
      </c>
      <c r="C1001" s="1">
        <v>829</v>
      </c>
      <c r="D1001" s="1" t="s">
        <v>2348</v>
      </c>
      <c r="E1001">
        <v>8</v>
      </c>
      <c r="F1001">
        <v>0.4</v>
      </c>
      <c r="G1001">
        <v>2.2000000000000002</v>
      </c>
      <c r="H1001" t="s">
        <v>40</v>
      </c>
      <c r="J1001" t="s">
        <v>2350</v>
      </c>
      <c r="K1001" t="s">
        <v>367</v>
      </c>
      <c r="L1001" t="s">
        <v>232</v>
      </c>
      <c r="M1001" t="s">
        <v>44</v>
      </c>
      <c r="N1001">
        <v>50</v>
      </c>
      <c r="O1001">
        <v>50</v>
      </c>
      <c r="P1001">
        <v>0</v>
      </c>
      <c r="Q1001">
        <v>20</v>
      </c>
      <c r="R1001" t="s">
        <v>40</v>
      </c>
      <c r="T1001">
        <v>190</v>
      </c>
      <c r="U1001">
        <v>50</v>
      </c>
      <c r="V1001">
        <v>1000000</v>
      </c>
      <c r="W1001" t="s">
        <v>46</v>
      </c>
      <c r="Z1001">
        <v>40</v>
      </c>
      <c r="AA1001">
        <v>40</v>
      </c>
      <c r="AB1001">
        <v>60</v>
      </c>
      <c r="AC1001">
        <v>40</v>
      </c>
      <c r="AD1001">
        <v>60</v>
      </c>
      <c r="AE1001">
        <v>10</v>
      </c>
      <c r="AF1001">
        <v>250</v>
      </c>
      <c r="AG1001">
        <v>0</v>
      </c>
      <c r="AH1001">
        <v>0</v>
      </c>
      <c r="AI1001">
        <v>0</v>
      </c>
      <c r="AJ1001">
        <v>0</v>
      </c>
      <c r="AK1001">
        <v>1</v>
      </c>
      <c r="AL1001">
        <v>0</v>
      </c>
    </row>
    <row r="1002" spans="1:38" x14ac:dyDescent="0.25">
      <c r="A1002" t="s">
        <v>2352</v>
      </c>
      <c r="B1002" t="s">
        <v>2352</v>
      </c>
      <c r="C1002" s="1">
        <v>830</v>
      </c>
      <c r="D1002" s="1" t="s">
        <v>2351</v>
      </c>
      <c r="E1002">
        <v>8</v>
      </c>
      <c r="F1002">
        <v>0.5</v>
      </c>
      <c r="G1002">
        <v>2.5</v>
      </c>
      <c r="H1002" t="s">
        <v>40</v>
      </c>
      <c r="J1002" t="s">
        <v>2350</v>
      </c>
      <c r="K1002" t="s">
        <v>367</v>
      </c>
      <c r="L1002" t="s">
        <v>232</v>
      </c>
      <c r="M1002" t="s">
        <v>44</v>
      </c>
      <c r="N1002">
        <v>50</v>
      </c>
      <c r="O1002">
        <v>50</v>
      </c>
      <c r="P1002">
        <v>0</v>
      </c>
      <c r="Q1002">
        <v>20</v>
      </c>
      <c r="R1002" t="s">
        <v>40</v>
      </c>
      <c r="T1002">
        <v>75</v>
      </c>
      <c r="U1002">
        <v>161</v>
      </c>
      <c r="V1002">
        <v>1000000</v>
      </c>
      <c r="W1002" t="s">
        <v>46</v>
      </c>
      <c r="Z1002">
        <v>60</v>
      </c>
      <c r="AA1002">
        <v>50</v>
      </c>
      <c r="AB1002">
        <v>90</v>
      </c>
      <c r="AC1002">
        <v>80</v>
      </c>
      <c r="AD1002">
        <v>120</v>
      </c>
      <c r="AE1002">
        <v>60</v>
      </c>
      <c r="AF1002">
        <v>460</v>
      </c>
      <c r="AG1002">
        <v>0</v>
      </c>
      <c r="AH1002">
        <v>0</v>
      </c>
      <c r="AI1002">
        <v>0</v>
      </c>
      <c r="AJ1002">
        <v>0</v>
      </c>
      <c r="AK1002">
        <v>2</v>
      </c>
      <c r="AL1002">
        <v>0</v>
      </c>
    </row>
    <row r="1003" spans="1:38" x14ac:dyDescent="0.25">
      <c r="A1003" t="s">
        <v>2354</v>
      </c>
      <c r="B1003" t="s">
        <v>2354</v>
      </c>
      <c r="C1003" s="1">
        <v>831</v>
      </c>
      <c r="D1003" s="1" t="s">
        <v>2353</v>
      </c>
      <c r="E1003">
        <v>8</v>
      </c>
      <c r="F1003">
        <v>0.6</v>
      </c>
      <c r="G1003">
        <v>6</v>
      </c>
      <c r="H1003" t="s">
        <v>116</v>
      </c>
      <c r="J1003" t="s">
        <v>2164</v>
      </c>
      <c r="K1003" t="s">
        <v>92</v>
      </c>
      <c r="L1003" t="s">
        <v>1865</v>
      </c>
      <c r="M1003" t="s">
        <v>100</v>
      </c>
      <c r="N1003">
        <v>50</v>
      </c>
      <c r="O1003">
        <v>50</v>
      </c>
      <c r="P1003">
        <v>0</v>
      </c>
      <c r="Q1003">
        <v>15</v>
      </c>
      <c r="R1003" t="s">
        <v>132</v>
      </c>
      <c r="T1003">
        <v>255</v>
      </c>
      <c r="U1003">
        <v>122</v>
      </c>
      <c r="V1003">
        <v>1000000</v>
      </c>
      <c r="W1003" t="s">
        <v>46</v>
      </c>
      <c r="Z1003">
        <v>42</v>
      </c>
      <c r="AA1003">
        <v>40</v>
      </c>
      <c r="AB1003">
        <v>55</v>
      </c>
      <c r="AC1003">
        <v>40</v>
      </c>
      <c r="AD1003">
        <v>45</v>
      </c>
      <c r="AE1003">
        <v>48</v>
      </c>
      <c r="AF1003">
        <v>270</v>
      </c>
      <c r="AG1003">
        <v>0</v>
      </c>
      <c r="AH1003">
        <v>0</v>
      </c>
      <c r="AI1003">
        <v>1</v>
      </c>
      <c r="AJ1003">
        <v>0</v>
      </c>
      <c r="AK1003">
        <v>0</v>
      </c>
      <c r="AL1003">
        <v>0</v>
      </c>
    </row>
    <row r="1004" spans="1:38" x14ac:dyDescent="0.25">
      <c r="A1004" t="s">
        <v>2356</v>
      </c>
      <c r="B1004" t="s">
        <v>2356</v>
      </c>
      <c r="C1004" s="1">
        <v>832</v>
      </c>
      <c r="D1004" s="1" t="s">
        <v>2355</v>
      </c>
      <c r="E1004">
        <v>8</v>
      </c>
      <c r="F1004">
        <v>1.3</v>
      </c>
      <c r="G1004">
        <v>43</v>
      </c>
      <c r="H1004" t="s">
        <v>116</v>
      </c>
      <c r="J1004" t="s">
        <v>2164</v>
      </c>
      <c r="K1004" t="s">
        <v>317</v>
      </c>
      <c r="L1004" t="s">
        <v>1865</v>
      </c>
      <c r="M1004" t="s">
        <v>100</v>
      </c>
      <c r="N1004">
        <v>50</v>
      </c>
      <c r="O1004">
        <v>50</v>
      </c>
      <c r="P1004">
        <v>0</v>
      </c>
      <c r="Q1004">
        <v>15</v>
      </c>
      <c r="R1004" t="s">
        <v>132</v>
      </c>
      <c r="T1004">
        <v>127</v>
      </c>
      <c r="U1004">
        <v>172</v>
      </c>
      <c r="V1004">
        <v>1000000</v>
      </c>
      <c r="W1004" t="s">
        <v>46</v>
      </c>
      <c r="Z1004">
        <v>72</v>
      </c>
      <c r="AA1004">
        <v>80</v>
      </c>
      <c r="AB1004">
        <v>100</v>
      </c>
      <c r="AC1004">
        <v>60</v>
      </c>
      <c r="AD1004">
        <v>90</v>
      </c>
      <c r="AE1004">
        <v>88</v>
      </c>
      <c r="AF1004">
        <v>490</v>
      </c>
      <c r="AG1004">
        <v>0</v>
      </c>
      <c r="AH1004">
        <v>0</v>
      </c>
      <c r="AI1004">
        <v>2</v>
      </c>
      <c r="AJ1004">
        <v>0</v>
      </c>
      <c r="AK1004">
        <v>0</v>
      </c>
      <c r="AL1004">
        <v>0</v>
      </c>
    </row>
    <row r="1005" spans="1:38" x14ac:dyDescent="0.25">
      <c r="A1005" t="s">
        <v>2358</v>
      </c>
      <c r="B1005" t="s">
        <v>2358</v>
      </c>
      <c r="C1005" s="1">
        <v>833</v>
      </c>
      <c r="D1005" s="1" t="s">
        <v>2357</v>
      </c>
      <c r="E1005">
        <v>8</v>
      </c>
      <c r="F1005">
        <v>0.3</v>
      </c>
      <c r="G1005">
        <v>8.5</v>
      </c>
      <c r="H1005" t="s">
        <v>76</v>
      </c>
      <c r="J1005" t="s">
        <v>1031</v>
      </c>
      <c r="K1005" t="s">
        <v>377</v>
      </c>
      <c r="L1005" t="s">
        <v>274</v>
      </c>
      <c r="M1005" t="s">
        <v>44</v>
      </c>
      <c r="N1005">
        <v>50</v>
      </c>
      <c r="O1005">
        <v>50</v>
      </c>
      <c r="P1005">
        <v>0</v>
      </c>
      <c r="Q1005">
        <v>20</v>
      </c>
      <c r="R1005" t="s">
        <v>45</v>
      </c>
      <c r="S1005" t="s">
        <v>80</v>
      </c>
      <c r="T1005">
        <v>255</v>
      </c>
      <c r="U1005">
        <v>57</v>
      </c>
      <c r="V1005">
        <v>1000000</v>
      </c>
      <c r="W1005" t="s">
        <v>46</v>
      </c>
      <c r="Z1005">
        <v>50</v>
      </c>
      <c r="AA1005">
        <v>64</v>
      </c>
      <c r="AB1005">
        <v>50</v>
      </c>
      <c r="AC1005">
        <v>38</v>
      </c>
      <c r="AD1005">
        <v>38</v>
      </c>
      <c r="AE1005">
        <v>44</v>
      </c>
      <c r="AF1005">
        <v>284</v>
      </c>
      <c r="AG1005">
        <v>0</v>
      </c>
      <c r="AH1005">
        <v>1</v>
      </c>
      <c r="AI1005">
        <v>0</v>
      </c>
      <c r="AJ1005">
        <v>0</v>
      </c>
      <c r="AK1005">
        <v>0</v>
      </c>
      <c r="AL1005">
        <v>0</v>
      </c>
    </row>
    <row r="1006" spans="1:38" x14ac:dyDescent="0.25">
      <c r="A1006" t="s">
        <v>2360</v>
      </c>
      <c r="B1006" t="s">
        <v>2360</v>
      </c>
      <c r="C1006" s="1">
        <v>834</v>
      </c>
      <c r="D1006" s="1" t="s">
        <v>2359</v>
      </c>
      <c r="E1006">
        <v>8</v>
      </c>
      <c r="F1006">
        <v>1</v>
      </c>
      <c r="G1006">
        <v>115.5</v>
      </c>
      <c r="H1006" t="s">
        <v>76</v>
      </c>
      <c r="I1006" t="s">
        <v>290</v>
      </c>
      <c r="J1006" t="s">
        <v>1031</v>
      </c>
      <c r="K1006" t="s">
        <v>377</v>
      </c>
      <c r="L1006" t="s">
        <v>274</v>
      </c>
      <c r="M1006" t="s">
        <v>44</v>
      </c>
      <c r="N1006">
        <v>50</v>
      </c>
      <c r="O1006">
        <v>50</v>
      </c>
      <c r="P1006">
        <v>0</v>
      </c>
      <c r="Q1006">
        <v>20</v>
      </c>
      <c r="R1006" t="s">
        <v>45</v>
      </c>
      <c r="S1006" t="s">
        <v>80</v>
      </c>
      <c r="T1006">
        <v>75</v>
      </c>
      <c r="U1006">
        <v>170</v>
      </c>
      <c r="V1006">
        <v>1000000</v>
      </c>
      <c r="W1006" t="s">
        <v>46</v>
      </c>
      <c r="Z1006">
        <v>90</v>
      </c>
      <c r="AA1006">
        <v>115</v>
      </c>
      <c r="AB1006">
        <v>90</v>
      </c>
      <c r="AC1006">
        <v>48</v>
      </c>
      <c r="AD1006">
        <v>68</v>
      </c>
      <c r="AE1006">
        <v>74</v>
      </c>
      <c r="AF1006">
        <v>485</v>
      </c>
      <c r="AG1006">
        <v>0</v>
      </c>
      <c r="AH1006">
        <v>2</v>
      </c>
      <c r="AI1006">
        <v>0</v>
      </c>
      <c r="AJ1006">
        <v>0</v>
      </c>
      <c r="AK1006">
        <v>0</v>
      </c>
      <c r="AL1006">
        <v>0</v>
      </c>
    </row>
    <row r="1007" spans="1:38" x14ac:dyDescent="0.25">
      <c r="A1007" t="s">
        <v>2362</v>
      </c>
      <c r="B1007" t="s">
        <v>2362</v>
      </c>
      <c r="C1007" s="1">
        <v>835</v>
      </c>
      <c r="D1007" s="1" t="s">
        <v>2361</v>
      </c>
      <c r="E1007">
        <v>8</v>
      </c>
      <c r="F1007">
        <v>0.3</v>
      </c>
      <c r="G1007">
        <v>13.5</v>
      </c>
      <c r="H1007" t="s">
        <v>154</v>
      </c>
      <c r="J1007" t="s">
        <v>2363</v>
      </c>
      <c r="L1007" t="s">
        <v>261</v>
      </c>
      <c r="M1007" t="s">
        <v>106</v>
      </c>
      <c r="N1007">
        <v>50</v>
      </c>
      <c r="O1007">
        <v>50</v>
      </c>
      <c r="P1007">
        <v>0</v>
      </c>
      <c r="Q1007">
        <v>20</v>
      </c>
      <c r="R1007" t="s">
        <v>132</v>
      </c>
      <c r="T1007">
        <v>255</v>
      </c>
      <c r="U1007">
        <v>54</v>
      </c>
      <c r="V1007">
        <v>800000</v>
      </c>
      <c r="W1007" t="s">
        <v>46</v>
      </c>
      <c r="Z1007">
        <v>59</v>
      </c>
      <c r="AA1007">
        <v>45</v>
      </c>
      <c r="AB1007">
        <v>50</v>
      </c>
      <c r="AC1007">
        <v>40</v>
      </c>
      <c r="AD1007">
        <v>50</v>
      </c>
      <c r="AE1007">
        <v>26</v>
      </c>
      <c r="AF1007">
        <v>270</v>
      </c>
      <c r="AG1007">
        <v>1</v>
      </c>
      <c r="AH1007">
        <v>0</v>
      </c>
      <c r="AI1007">
        <v>0</v>
      </c>
      <c r="AJ1007">
        <v>0</v>
      </c>
      <c r="AK1007">
        <v>0</v>
      </c>
      <c r="AL1007">
        <v>0</v>
      </c>
    </row>
    <row r="1008" spans="1:38" x14ac:dyDescent="0.25">
      <c r="A1008" t="s">
        <v>2365</v>
      </c>
      <c r="B1008" t="s">
        <v>2365</v>
      </c>
      <c r="C1008" s="1">
        <v>836</v>
      </c>
      <c r="D1008" s="1" t="s">
        <v>2364</v>
      </c>
      <c r="E1008">
        <v>8</v>
      </c>
      <c r="F1008">
        <v>1</v>
      </c>
      <c r="G1008">
        <v>34</v>
      </c>
      <c r="H1008" t="s">
        <v>154</v>
      </c>
      <c r="J1008" t="s">
        <v>1031</v>
      </c>
      <c r="L1008" t="s">
        <v>215</v>
      </c>
      <c r="M1008" t="s">
        <v>106</v>
      </c>
      <c r="N1008">
        <v>50</v>
      </c>
      <c r="O1008">
        <v>50</v>
      </c>
      <c r="P1008">
        <v>0</v>
      </c>
      <c r="Q1008">
        <v>20</v>
      </c>
      <c r="R1008" t="s">
        <v>132</v>
      </c>
      <c r="T1008">
        <v>45</v>
      </c>
      <c r="U1008">
        <v>172</v>
      </c>
      <c r="V1008">
        <v>800000</v>
      </c>
      <c r="W1008" t="s">
        <v>46</v>
      </c>
      <c r="Z1008">
        <v>69</v>
      </c>
      <c r="AA1008">
        <v>90</v>
      </c>
      <c r="AB1008">
        <v>60</v>
      </c>
      <c r="AC1008">
        <v>90</v>
      </c>
      <c r="AD1008">
        <v>60</v>
      </c>
      <c r="AE1008">
        <v>121</v>
      </c>
      <c r="AF1008">
        <v>490</v>
      </c>
      <c r="AG1008">
        <v>0</v>
      </c>
      <c r="AH1008">
        <v>0</v>
      </c>
      <c r="AI1008">
        <v>0</v>
      </c>
      <c r="AJ1008">
        <v>0</v>
      </c>
      <c r="AK1008">
        <v>0</v>
      </c>
      <c r="AL1008">
        <v>2</v>
      </c>
    </row>
    <row r="1009" spans="1:38" x14ac:dyDescent="0.25">
      <c r="A1009" t="s">
        <v>2367</v>
      </c>
      <c r="B1009" t="s">
        <v>2367</v>
      </c>
      <c r="C1009" s="1">
        <v>837</v>
      </c>
      <c r="D1009" s="1" t="s">
        <v>2366</v>
      </c>
      <c r="E1009">
        <v>8</v>
      </c>
      <c r="F1009">
        <v>0.3</v>
      </c>
      <c r="G1009">
        <v>12</v>
      </c>
      <c r="H1009" t="s">
        <v>290</v>
      </c>
      <c r="J1009" t="s">
        <v>2368</v>
      </c>
      <c r="K1009" t="s">
        <v>1338</v>
      </c>
      <c r="L1009" t="s">
        <v>205</v>
      </c>
      <c r="M1009" t="s">
        <v>70</v>
      </c>
      <c r="N1009">
        <v>50</v>
      </c>
      <c r="O1009">
        <v>50</v>
      </c>
      <c r="P1009">
        <v>0</v>
      </c>
      <c r="Q1009">
        <v>15</v>
      </c>
      <c r="R1009" t="s">
        <v>339</v>
      </c>
      <c r="T1009">
        <v>255</v>
      </c>
      <c r="U1009">
        <v>48</v>
      </c>
      <c r="V1009">
        <v>1059860</v>
      </c>
      <c r="W1009" t="s">
        <v>46</v>
      </c>
      <c r="Z1009">
        <v>30</v>
      </c>
      <c r="AA1009">
        <v>40</v>
      </c>
      <c r="AB1009">
        <v>50</v>
      </c>
      <c r="AC1009">
        <v>40</v>
      </c>
      <c r="AD1009">
        <v>50</v>
      </c>
      <c r="AE1009">
        <v>30</v>
      </c>
      <c r="AF1009">
        <v>240</v>
      </c>
      <c r="AG1009">
        <v>0</v>
      </c>
      <c r="AH1009">
        <v>0</v>
      </c>
      <c r="AI1009">
        <v>1</v>
      </c>
      <c r="AJ1009">
        <v>0</v>
      </c>
      <c r="AK1009">
        <v>0</v>
      </c>
      <c r="AL1009">
        <v>0</v>
      </c>
    </row>
    <row r="1010" spans="1:38" x14ac:dyDescent="0.25">
      <c r="A1010" t="s">
        <v>2370</v>
      </c>
      <c r="B1010" t="s">
        <v>2370</v>
      </c>
      <c r="C1010" s="1">
        <v>838</v>
      </c>
      <c r="D1010" s="1" t="s">
        <v>2369</v>
      </c>
      <c r="E1010">
        <v>8</v>
      </c>
      <c r="F1010">
        <v>1.1000000000000001</v>
      </c>
      <c r="G1010">
        <v>78</v>
      </c>
      <c r="H1010" t="s">
        <v>290</v>
      </c>
      <c r="I1010" t="s">
        <v>57</v>
      </c>
      <c r="J1010" t="s">
        <v>2368</v>
      </c>
      <c r="K1010" t="s">
        <v>354</v>
      </c>
      <c r="L1010" t="s">
        <v>205</v>
      </c>
      <c r="M1010" t="s">
        <v>70</v>
      </c>
      <c r="N1010">
        <v>50</v>
      </c>
      <c r="O1010">
        <v>50</v>
      </c>
      <c r="P1010">
        <v>0</v>
      </c>
      <c r="Q1010">
        <v>15</v>
      </c>
      <c r="R1010" t="s">
        <v>339</v>
      </c>
      <c r="T1010">
        <v>120</v>
      </c>
      <c r="U1010">
        <v>144</v>
      </c>
      <c r="V1010">
        <v>1059860</v>
      </c>
      <c r="W1010" t="s">
        <v>46</v>
      </c>
      <c r="Z1010">
        <v>80</v>
      </c>
      <c r="AA1010">
        <v>60</v>
      </c>
      <c r="AB1010">
        <v>90</v>
      </c>
      <c r="AC1010">
        <v>60</v>
      </c>
      <c r="AD1010">
        <v>70</v>
      </c>
      <c r="AE1010">
        <v>50</v>
      </c>
      <c r="AF1010">
        <v>410</v>
      </c>
      <c r="AG1010">
        <v>0</v>
      </c>
      <c r="AH1010">
        <v>0</v>
      </c>
      <c r="AI1010">
        <v>2</v>
      </c>
      <c r="AJ1010">
        <v>0</v>
      </c>
      <c r="AK1010">
        <v>0</v>
      </c>
      <c r="AL1010">
        <v>0</v>
      </c>
    </row>
    <row r="1011" spans="1:38" x14ac:dyDescent="0.25">
      <c r="A1011" t="s">
        <v>2372</v>
      </c>
      <c r="B1011" t="s">
        <v>2372</v>
      </c>
      <c r="C1011" s="1">
        <v>839</v>
      </c>
      <c r="D1011" s="1" t="s">
        <v>2371</v>
      </c>
      <c r="E1011">
        <v>8</v>
      </c>
      <c r="F1011">
        <v>2.8</v>
      </c>
      <c r="G1011">
        <v>310.5</v>
      </c>
      <c r="H1011" t="s">
        <v>290</v>
      </c>
      <c r="I1011" t="s">
        <v>57</v>
      </c>
      <c r="J1011" t="s">
        <v>2368</v>
      </c>
      <c r="K1011" t="s">
        <v>354</v>
      </c>
      <c r="L1011" t="s">
        <v>205</v>
      </c>
      <c r="M1011" t="s">
        <v>70</v>
      </c>
      <c r="N1011">
        <v>50</v>
      </c>
      <c r="O1011">
        <v>50</v>
      </c>
      <c r="P1011">
        <v>0</v>
      </c>
      <c r="Q1011">
        <v>15</v>
      </c>
      <c r="R1011" t="s">
        <v>339</v>
      </c>
      <c r="T1011">
        <v>45</v>
      </c>
      <c r="U1011">
        <v>255</v>
      </c>
      <c r="V1011">
        <v>1059860</v>
      </c>
      <c r="W1011" t="s">
        <v>46</v>
      </c>
      <c r="Z1011">
        <v>110</v>
      </c>
      <c r="AA1011">
        <v>80</v>
      </c>
      <c r="AB1011">
        <v>120</v>
      </c>
      <c r="AC1011">
        <v>80</v>
      </c>
      <c r="AD1011">
        <v>90</v>
      </c>
      <c r="AE1011">
        <v>30</v>
      </c>
      <c r="AF1011">
        <v>510</v>
      </c>
      <c r="AG1011">
        <v>0</v>
      </c>
      <c r="AH1011">
        <v>0</v>
      </c>
      <c r="AI1011">
        <v>3</v>
      </c>
      <c r="AJ1011">
        <v>0</v>
      </c>
      <c r="AK1011">
        <v>0</v>
      </c>
      <c r="AL1011">
        <v>0</v>
      </c>
    </row>
    <row r="1012" spans="1:38" x14ac:dyDescent="0.25">
      <c r="A1012" t="s">
        <v>2374</v>
      </c>
      <c r="B1012" t="s">
        <v>2374</v>
      </c>
      <c r="C1012" s="1">
        <v>840</v>
      </c>
      <c r="D1012" s="1" t="s">
        <v>2373</v>
      </c>
      <c r="E1012">
        <v>8</v>
      </c>
      <c r="F1012">
        <v>0.2</v>
      </c>
      <c r="G1012">
        <v>0.5</v>
      </c>
      <c r="H1012" t="s">
        <v>40</v>
      </c>
      <c r="I1012" t="s">
        <v>61</v>
      </c>
      <c r="J1012" t="s">
        <v>2375</v>
      </c>
      <c r="K1012" t="s">
        <v>136</v>
      </c>
      <c r="L1012" t="s">
        <v>1865</v>
      </c>
      <c r="M1012" t="s">
        <v>44</v>
      </c>
      <c r="N1012">
        <v>50</v>
      </c>
      <c r="O1012">
        <v>50</v>
      </c>
      <c r="P1012">
        <v>0</v>
      </c>
      <c r="Q1012">
        <v>20</v>
      </c>
      <c r="R1012" t="s">
        <v>40</v>
      </c>
      <c r="S1012" t="s">
        <v>61</v>
      </c>
      <c r="T1012">
        <v>255</v>
      </c>
      <c r="U1012">
        <v>52</v>
      </c>
      <c r="V1012">
        <v>600000</v>
      </c>
      <c r="W1012" t="s">
        <v>46</v>
      </c>
      <c r="Z1012">
        <v>40</v>
      </c>
      <c r="AA1012">
        <v>40</v>
      </c>
      <c r="AB1012">
        <v>80</v>
      </c>
      <c r="AC1012">
        <v>40</v>
      </c>
      <c r="AD1012">
        <v>40</v>
      </c>
      <c r="AE1012">
        <v>20</v>
      </c>
      <c r="AF1012">
        <v>260</v>
      </c>
      <c r="AG1012">
        <v>0</v>
      </c>
      <c r="AH1012">
        <v>0</v>
      </c>
      <c r="AI1012">
        <v>1</v>
      </c>
      <c r="AJ1012">
        <v>0</v>
      </c>
      <c r="AK1012">
        <v>0</v>
      </c>
      <c r="AL1012">
        <v>0</v>
      </c>
    </row>
    <row r="1013" spans="1:38" x14ac:dyDescent="0.25">
      <c r="A1013" t="s">
        <v>2377</v>
      </c>
      <c r="B1013" t="s">
        <v>2377</v>
      </c>
      <c r="C1013" s="1">
        <v>841</v>
      </c>
      <c r="D1013" s="1" t="s">
        <v>2376</v>
      </c>
      <c r="E1013">
        <v>8</v>
      </c>
      <c r="F1013">
        <v>0.3</v>
      </c>
      <c r="G1013">
        <v>1</v>
      </c>
      <c r="H1013" t="s">
        <v>40</v>
      </c>
      <c r="I1013" t="s">
        <v>61</v>
      </c>
      <c r="J1013" t="s">
        <v>2375</v>
      </c>
      <c r="K1013" t="s">
        <v>136</v>
      </c>
      <c r="L1013" t="s">
        <v>130</v>
      </c>
      <c r="M1013" t="s">
        <v>44</v>
      </c>
      <c r="N1013">
        <v>50</v>
      </c>
      <c r="O1013">
        <v>50</v>
      </c>
      <c r="P1013">
        <v>0</v>
      </c>
      <c r="Q1013">
        <v>20</v>
      </c>
      <c r="R1013" t="s">
        <v>40</v>
      </c>
      <c r="S1013" t="s">
        <v>61</v>
      </c>
      <c r="T1013">
        <v>45</v>
      </c>
      <c r="U1013">
        <v>170</v>
      </c>
      <c r="V1013">
        <v>600000</v>
      </c>
      <c r="W1013" t="s">
        <v>46</v>
      </c>
      <c r="Z1013">
        <v>70</v>
      </c>
      <c r="AA1013">
        <v>110</v>
      </c>
      <c r="AB1013">
        <v>80</v>
      </c>
      <c r="AC1013">
        <v>95</v>
      </c>
      <c r="AD1013">
        <v>60</v>
      </c>
      <c r="AE1013">
        <v>70</v>
      </c>
      <c r="AF1013">
        <v>485</v>
      </c>
      <c r="AG1013">
        <v>0</v>
      </c>
      <c r="AH1013">
        <v>2</v>
      </c>
      <c r="AI1013">
        <v>0</v>
      </c>
      <c r="AJ1013">
        <v>0</v>
      </c>
      <c r="AK1013">
        <v>0</v>
      </c>
      <c r="AL1013">
        <v>0</v>
      </c>
    </row>
    <row r="1014" spans="1:38" x14ac:dyDescent="0.25">
      <c r="A1014" t="s">
        <v>2379</v>
      </c>
      <c r="B1014" t="s">
        <v>2379</v>
      </c>
      <c r="C1014" s="1">
        <v>842</v>
      </c>
      <c r="D1014" s="1" t="s">
        <v>2378</v>
      </c>
      <c r="E1014">
        <v>8</v>
      </c>
      <c r="F1014">
        <v>0.4</v>
      </c>
      <c r="G1014">
        <v>13</v>
      </c>
      <c r="H1014" t="s">
        <v>40</v>
      </c>
      <c r="I1014" t="s">
        <v>61</v>
      </c>
      <c r="J1014" t="s">
        <v>2375</v>
      </c>
      <c r="K1014" t="s">
        <v>136</v>
      </c>
      <c r="L1014" t="s">
        <v>53</v>
      </c>
      <c r="M1014" t="s">
        <v>44</v>
      </c>
      <c r="N1014">
        <v>50</v>
      </c>
      <c r="O1014">
        <v>50</v>
      </c>
      <c r="P1014">
        <v>0</v>
      </c>
      <c r="Q1014">
        <v>20</v>
      </c>
      <c r="R1014" t="s">
        <v>40</v>
      </c>
      <c r="S1014" t="s">
        <v>61</v>
      </c>
      <c r="T1014">
        <v>45</v>
      </c>
      <c r="U1014">
        <v>170</v>
      </c>
      <c r="V1014">
        <v>600000</v>
      </c>
      <c r="W1014" t="s">
        <v>46</v>
      </c>
      <c r="Z1014">
        <v>110</v>
      </c>
      <c r="AA1014">
        <v>85</v>
      </c>
      <c r="AB1014">
        <v>80</v>
      </c>
      <c r="AC1014">
        <v>100</v>
      </c>
      <c r="AD1014">
        <v>80</v>
      </c>
      <c r="AE1014">
        <v>30</v>
      </c>
      <c r="AF1014">
        <v>485</v>
      </c>
      <c r="AG1014">
        <v>2</v>
      </c>
      <c r="AH1014">
        <v>0</v>
      </c>
      <c r="AI1014">
        <v>0</v>
      </c>
      <c r="AJ1014">
        <v>0</v>
      </c>
      <c r="AK1014">
        <v>0</v>
      </c>
      <c r="AL1014">
        <v>0</v>
      </c>
    </row>
    <row r="1015" spans="1:38" x14ac:dyDescent="0.25">
      <c r="A1015" t="s">
        <v>2381</v>
      </c>
      <c r="B1015" t="s">
        <v>2381</v>
      </c>
      <c r="C1015" s="1">
        <v>843</v>
      </c>
      <c r="D1015" s="1" t="s">
        <v>2380</v>
      </c>
      <c r="E1015">
        <v>8</v>
      </c>
      <c r="F1015">
        <v>2.2000000000000002</v>
      </c>
      <c r="G1015">
        <v>7.6</v>
      </c>
      <c r="H1015" t="s">
        <v>132</v>
      </c>
      <c r="J1015" t="s">
        <v>2382</v>
      </c>
      <c r="K1015" t="s">
        <v>95</v>
      </c>
      <c r="L1015" t="s">
        <v>166</v>
      </c>
      <c r="M1015" t="s">
        <v>44</v>
      </c>
      <c r="N1015">
        <v>50</v>
      </c>
      <c r="O1015">
        <v>50</v>
      </c>
      <c r="P1015">
        <v>0</v>
      </c>
      <c r="Q1015">
        <v>20</v>
      </c>
      <c r="R1015" t="s">
        <v>132</v>
      </c>
      <c r="S1015" t="s">
        <v>61</v>
      </c>
      <c r="T1015">
        <v>255</v>
      </c>
      <c r="U1015">
        <v>63</v>
      </c>
      <c r="V1015">
        <v>1000000</v>
      </c>
      <c r="W1015" t="s">
        <v>46</v>
      </c>
      <c r="Z1015">
        <v>52</v>
      </c>
      <c r="AA1015">
        <v>57</v>
      </c>
      <c r="AB1015">
        <v>75</v>
      </c>
      <c r="AC1015">
        <v>35</v>
      </c>
      <c r="AD1015">
        <v>50</v>
      </c>
      <c r="AE1015">
        <v>46</v>
      </c>
      <c r="AF1015">
        <v>315</v>
      </c>
      <c r="AG1015">
        <v>0</v>
      </c>
      <c r="AH1015">
        <v>0</v>
      </c>
      <c r="AI1015">
        <v>1</v>
      </c>
      <c r="AJ1015">
        <v>0</v>
      </c>
      <c r="AK1015">
        <v>0</v>
      </c>
      <c r="AL1015">
        <v>0</v>
      </c>
    </row>
    <row r="1016" spans="1:38" x14ac:dyDescent="0.25">
      <c r="A1016" t="s">
        <v>2384</v>
      </c>
      <c r="B1016" t="s">
        <v>2384</v>
      </c>
      <c r="C1016" s="1">
        <v>844</v>
      </c>
      <c r="D1016" s="1" t="s">
        <v>2383</v>
      </c>
      <c r="E1016">
        <v>8</v>
      </c>
      <c r="F1016">
        <v>3.8</v>
      </c>
      <c r="G1016">
        <v>65.5</v>
      </c>
      <c r="H1016" t="s">
        <v>132</v>
      </c>
      <c r="J1016" t="s">
        <v>2382</v>
      </c>
      <c r="K1016" t="s">
        <v>95</v>
      </c>
      <c r="L1016" t="s">
        <v>166</v>
      </c>
      <c r="M1016" t="s">
        <v>44</v>
      </c>
      <c r="N1016">
        <v>50</v>
      </c>
      <c r="O1016">
        <v>50</v>
      </c>
      <c r="P1016">
        <v>0</v>
      </c>
      <c r="Q1016">
        <v>20</v>
      </c>
      <c r="R1016" t="s">
        <v>132</v>
      </c>
      <c r="S1016" t="s">
        <v>61</v>
      </c>
      <c r="T1016">
        <v>120</v>
      </c>
      <c r="U1016">
        <v>179</v>
      </c>
      <c r="V1016">
        <v>1000000</v>
      </c>
      <c r="W1016" t="s">
        <v>46</v>
      </c>
      <c r="Z1016">
        <v>72</v>
      </c>
      <c r="AA1016">
        <v>107</v>
      </c>
      <c r="AB1016">
        <v>125</v>
      </c>
      <c r="AC1016">
        <v>65</v>
      </c>
      <c r="AD1016">
        <v>70</v>
      </c>
      <c r="AE1016">
        <v>71</v>
      </c>
      <c r="AF1016">
        <v>510</v>
      </c>
      <c r="AG1016">
        <v>0</v>
      </c>
      <c r="AH1016">
        <v>0</v>
      </c>
      <c r="AI1016">
        <v>2</v>
      </c>
      <c r="AJ1016">
        <v>0</v>
      </c>
      <c r="AK1016">
        <v>0</v>
      </c>
      <c r="AL1016">
        <v>0</v>
      </c>
    </row>
    <row r="1017" spans="1:38" x14ac:dyDescent="0.25">
      <c r="A1017" t="s">
        <v>2386</v>
      </c>
      <c r="B1017" t="s">
        <v>2386</v>
      </c>
      <c r="C1017" s="1">
        <v>845</v>
      </c>
      <c r="D1017" s="1" t="s">
        <v>2385</v>
      </c>
      <c r="E1017">
        <v>8</v>
      </c>
      <c r="F1017">
        <v>0.8</v>
      </c>
      <c r="G1017">
        <v>18</v>
      </c>
      <c r="H1017" t="s">
        <v>66</v>
      </c>
      <c r="I1017" t="s">
        <v>76</v>
      </c>
      <c r="J1017" t="s">
        <v>2387</v>
      </c>
      <c r="M1017" t="s">
        <v>79</v>
      </c>
      <c r="N1017">
        <v>50</v>
      </c>
      <c r="O1017">
        <v>50</v>
      </c>
      <c r="P1017">
        <v>0</v>
      </c>
      <c r="Q1017">
        <v>20</v>
      </c>
      <c r="R1017" t="s">
        <v>80</v>
      </c>
      <c r="S1017" t="s">
        <v>66</v>
      </c>
      <c r="T1017">
        <v>45</v>
      </c>
      <c r="U1017">
        <v>166</v>
      </c>
      <c r="V1017">
        <v>1000000</v>
      </c>
      <c r="W1017" t="s">
        <v>46</v>
      </c>
      <c r="Z1017">
        <v>70</v>
      </c>
      <c r="AA1017">
        <v>85</v>
      </c>
      <c r="AB1017">
        <v>55</v>
      </c>
      <c r="AC1017">
        <v>85</v>
      </c>
      <c r="AD1017">
        <v>95</v>
      </c>
      <c r="AE1017">
        <v>85</v>
      </c>
      <c r="AF1017">
        <v>475</v>
      </c>
      <c r="AG1017">
        <v>0</v>
      </c>
      <c r="AH1017">
        <v>0</v>
      </c>
      <c r="AI1017">
        <v>0</v>
      </c>
      <c r="AJ1017">
        <v>0</v>
      </c>
      <c r="AK1017">
        <v>2</v>
      </c>
      <c r="AL1017">
        <v>0</v>
      </c>
    </row>
    <row r="1018" spans="1:38" x14ac:dyDescent="0.25">
      <c r="A1018" t="s">
        <v>2389</v>
      </c>
      <c r="B1018" t="s">
        <v>2389</v>
      </c>
      <c r="C1018" s="1">
        <v>846</v>
      </c>
      <c r="D1018" s="1" t="s">
        <v>2388</v>
      </c>
      <c r="E1018">
        <v>8</v>
      </c>
      <c r="F1018">
        <v>0.5</v>
      </c>
      <c r="G1018">
        <v>1</v>
      </c>
      <c r="H1018" t="s">
        <v>76</v>
      </c>
      <c r="J1018" t="s">
        <v>274</v>
      </c>
      <c r="L1018" t="s">
        <v>2390</v>
      </c>
      <c r="M1018" t="s">
        <v>103</v>
      </c>
      <c r="N1018">
        <v>50</v>
      </c>
      <c r="O1018">
        <v>50</v>
      </c>
      <c r="P1018">
        <v>0</v>
      </c>
      <c r="Q1018">
        <v>20</v>
      </c>
      <c r="R1018" t="s">
        <v>508</v>
      </c>
      <c r="T1018">
        <v>255</v>
      </c>
      <c r="U1018">
        <v>56</v>
      </c>
      <c r="V1018">
        <v>1250000</v>
      </c>
      <c r="W1018" t="s">
        <v>46</v>
      </c>
      <c r="Z1018">
        <v>41</v>
      </c>
      <c r="AA1018">
        <v>63</v>
      </c>
      <c r="AB1018">
        <v>40</v>
      </c>
      <c r="AC1018">
        <v>40</v>
      </c>
      <c r="AD1018">
        <v>30</v>
      </c>
      <c r="AE1018">
        <v>66</v>
      </c>
      <c r="AF1018">
        <v>280</v>
      </c>
      <c r="AG1018">
        <v>0</v>
      </c>
      <c r="AH1018">
        <v>0</v>
      </c>
      <c r="AI1018">
        <v>0</v>
      </c>
      <c r="AJ1018">
        <v>0</v>
      </c>
      <c r="AK1018">
        <v>0</v>
      </c>
      <c r="AL1018">
        <v>1</v>
      </c>
    </row>
    <row r="1019" spans="1:38" x14ac:dyDescent="0.25">
      <c r="A1019" t="s">
        <v>2392</v>
      </c>
      <c r="B1019" t="s">
        <v>2392</v>
      </c>
      <c r="C1019" s="1">
        <v>847</v>
      </c>
      <c r="D1019" s="1" t="s">
        <v>2391</v>
      </c>
      <c r="E1019">
        <v>8</v>
      </c>
      <c r="F1019">
        <v>1.3</v>
      </c>
      <c r="G1019">
        <v>30</v>
      </c>
      <c r="H1019" t="s">
        <v>76</v>
      </c>
      <c r="J1019" t="s">
        <v>274</v>
      </c>
      <c r="L1019" t="s">
        <v>2390</v>
      </c>
      <c r="M1019" t="s">
        <v>103</v>
      </c>
      <c r="N1019">
        <v>50</v>
      </c>
      <c r="O1019">
        <v>50</v>
      </c>
      <c r="P1019">
        <v>0</v>
      </c>
      <c r="Q1019">
        <v>20</v>
      </c>
      <c r="R1019" t="s">
        <v>508</v>
      </c>
      <c r="T1019">
        <v>60</v>
      </c>
      <c r="U1019">
        <v>172</v>
      </c>
      <c r="V1019">
        <v>1250000</v>
      </c>
      <c r="W1019" t="s">
        <v>46</v>
      </c>
      <c r="Z1019">
        <v>61</v>
      </c>
      <c r="AA1019">
        <v>123</v>
      </c>
      <c r="AB1019">
        <v>60</v>
      </c>
      <c r="AC1019">
        <v>60</v>
      </c>
      <c r="AD1019">
        <v>50</v>
      </c>
      <c r="AE1019">
        <v>136</v>
      </c>
      <c r="AF1019">
        <v>490</v>
      </c>
      <c r="AG1019">
        <v>0</v>
      </c>
      <c r="AH1019">
        <v>0</v>
      </c>
      <c r="AI1019">
        <v>0</v>
      </c>
      <c r="AJ1019">
        <v>0</v>
      </c>
      <c r="AK1019">
        <v>0</v>
      </c>
      <c r="AL1019">
        <v>2</v>
      </c>
    </row>
    <row r="1020" spans="1:38" x14ac:dyDescent="0.25">
      <c r="A1020" t="s">
        <v>2394</v>
      </c>
      <c r="B1020" t="s">
        <v>2394</v>
      </c>
      <c r="C1020" s="1">
        <v>848</v>
      </c>
      <c r="D1020" s="1" t="s">
        <v>2393</v>
      </c>
      <c r="E1020">
        <v>8</v>
      </c>
      <c r="F1020">
        <v>0.4</v>
      </c>
      <c r="G1020">
        <v>11</v>
      </c>
      <c r="H1020" t="s">
        <v>154</v>
      </c>
      <c r="I1020" t="s">
        <v>41</v>
      </c>
      <c r="J1020" t="s">
        <v>261</v>
      </c>
      <c r="K1020" t="s">
        <v>155</v>
      </c>
      <c r="L1020" t="s">
        <v>1317</v>
      </c>
      <c r="M1020" t="s">
        <v>131</v>
      </c>
      <c r="N1020">
        <v>50</v>
      </c>
      <c r="O1020">
        <v>50</v>
      </c>
      <c r="P1020">
        <v>0</v>
      </c>
      <c r="Q1020">
        <v>25</v>
      </c>
      <c r="R1020" t="s">
        <v>184</v>
      </c>
      <c r="T1020">
        <v>75</v>
      </c>
      <c r="U1020">
        <v>48</v>
      </c>
      <c r="V1020">
        <v>1059860</v>
      </c>
      <c r="W1020" t="s">
        <v>46</v>
      </c>
      <c r="Z1020">
        <v>40</v>
      </c>
      <c r="AA1020">
        <v>38</v>
      </c>
      <c r="AB1020">
        <v>35</v>
      </c>
      <c r="AC1020">
        <v>54</v>
      </c>
      <c r="AD1020">
        <v>35</v>
      </c>
      <c r="AE1020">
        <v>40</v>
      </c>
      <c r="AF1020">
        <v>242</v>
      </c>
      <c r="AG1020">
        <v>0</v>
      </c>
      <c r="AH1020">
        <v>0</v>
      </c>
      <c r="AI1020">
        <v>0</v>
      </c>
      <c r="AJ1020">
        <v>1</v>
      </c>
      <c r="AK1020">
        <v>0</v>
      </c>
      <c r="AL1020">
        <v>0</v>
      </c>
    </row>
    <row r="1021" spans="1:38" x14ac:dyDescent="0.25">
      <c r="A1021" t="s">
        <v>2396</v>
      </c>
      <c r="B1021" t="s">
        <v>2397</v>
      </c>
      <c r="C1021" s="1">
        <v>849</v>
      </c>
      <c r="D1021" s="1" t="s">
        <v>2395</v>
      </c>
      <c r="E1021">
        <v>8</v>
      </c>
      <c r="F1021">
        <v>1.6</v>
      </c>
      <c r="G1021">
        <v>40</v>
      </c>
      <c r="H1021" t="s">
        <v>154</v>
      </c>
      <c r="I1021" t="s">
        <v>41</v>
      </c>
      <c r="J1021" t="s">
        <v>2398</v>
      </c>
      <c r="K1021" t="s">
        <v>679</v>
      </c>
      <c r="L1021" t="s">
        <v>258</v>
      </c>
      <c r="M1021" t="s">
        <v>131</v>
      </c>
      <c r="N1021">
        <v>50</v>
      </c>
      <c r="O1021">
        <v>50</v>
      </c>
      <c r="P1021">
        <v>0</v>
      </c>
      <c r="Q1021">
        <v>25</v>
      </c>
      <c r="R1021" t="s">
        <v>307</v>
      </c>
      <c r="T1021">
        <v>45</v>
      </c>
      <c r="U1021">
        <v>176</v>
      </c>
      <c r="V1021">
        <v>1059860</v>
      </c>
      <c r="W1021" t="s">
        <v>46</v>
      </c>
      <c r="Z1021">
        <v>75</v>
      </c>
      <c r="AA1021">
        <v>98</v>
      </c>
      <c r="AB1021">
        <v>70</v>
      </c>
      <c r="AC1021">
        <v>114</v>
      </c>
      <c r="AD1021">
        <v>70</v>
      </c>
      <c r="AE1021">
        <v>75</v>
      </c>
      <c r="AF1021">
        <v>502</v>
      </c>
      <c r="AG1021">
        <v>0</v>
      </c>
      <c r="AH1021">
        <v>0</v>
      </c>
      <c r="AI1021">
        <v>0</v>
      </c>
      <c r="AJ1021">
        <v>2</v>
      </c>
      <c r="AK1021">
        <v>0</v>
      </c>
      <c r="AL1021">
        <v>0</v>
      </c>
    </row>
    <row r="1022" spans="1:38" x14ac:dyDescent="0.25">
      <c r="A1022" t="s">
        <v>2396</v>
      </c>
      <c r="B1022" t="s">
        <v>2400</v>
      </c>
      <c r="C1022" s="1">
        <v>849</v>
      </c>
      <c r="D1022" s="1" t="s">
        <v>2399</v>
      </c>
      <c r="E1022">
        <v>8</v>
      </c>
      <c r="F1022">
        <v>1.6</v>
      </c>
      <c r="G1022">
        <v>40</v>
      </c>
      <c r="H1022" t="s">
        <v>154</v>
      </c>
      <c r="I1022" t="s">
        <v>41</v>
      </c>
      <c r="J1022" t="s">
        <v>2398</v>
      </c>
      <c r="K1022" t="s">
        <v>1005</v>
      </c>
      <c r="L1022" t="s">
        <v>258</v>
      </c>
      <c r="M1022" t="s">
        <v>131</v>
      </c>
      <c r="N1022">
        <v>50</v>
      </c>
      <c r="O1022">
        <v>50</v>
      </c>
      <c r="P1022">
        <v>0</v>
      </c>
      <c r="Q1022">
        <v>25</v>
      </c>
      <c r="R1022" t="s">
        <v>307</v>
      </c>
      <c r="T1022">
        <v>45</v>
      </c>
      <c r="U1022">
        <v>176</v>
      </c>
      <c r="V1022">
        <v>1059860</v>
      </c>
      <c r="W1022" t="s">
        <v>46</v>
      </c>
      <c r="Z1022">
        <v>75</v>
      </c>
      <c r="AA1022">
        <v>98</v>
      </c>
      <c r="AB1022">
        <v>70</v>
      </c>
      <c r="AC1022">
        <v>114</v>
      </c>
      <c r="AD1022">
        <v>70</v>
      </c>
      <c r="AE1022">
        <v>75</v>
      </c>
      <c r="AF1022">
        <v>502</v>
      </c>
      <c r="AG1022">
        <v>0</v>
      </c>
      <c r="AH1022">
        <v>0</v>
      </c>
      <c r="AI1022">
        <v>0</v>
      </c>
      <c r="AJ1022">
        <v>2</v>
      </c>
      <c r="AK1022">
        <v>0</v>
      </c>
      <c r="AL1022">
        <v>0</v>
      </c>
    </row>
    <row r="1023" spans="1:38" x14ac:dyDescent="0.25">
      <c r="A1023" t="s">
        <v>2402</v>
      </c>
      <c r="B1023" t="s">
        <v>2402</v>
      </c>
      <c r="C1023" s="1">
        <v>850</v>
      </c>
      <c r="D1023" s="1" t="s">
        <v>2401</v>
      </c>
      <c r="E1023">
        <v>8</v>
      </c>
      <c r="F1023">
        <v>0.7</v>
      </c>
      <c r="G1023">
        <v>1</v>
      </c>
      <c r="H1023" t="s">
        <v>57</v>
      </c>
      <c r="I1023" t="s">
        <v>90</v>
      </c>
      <c r="J1023" t="s">
        <v>205</v>
      </c>
      <c r="K1023" t="s">
        <v>1046</v>
      </c>
      <c r="L1023" t="s">
        <v>354</v>
      </c>
      <c r="M1023" t="s">
        <v>60</v>
      </c>
      <c r="N1023">
        <v>50</v>
      </c>
      <c r="O1023">
        <v>50</v>
      </c>
      <c r="P1023">
        <v>0</v>
      </c>
      <c r="Q1023">
        <v>20</v>
      </c>
      <c r="R1023" t="s">
        <v>90</v>
      </c>
      <c r="T1023">
        <v>190</v>
      </c>
      <c r="U1023">
        <v>61</v>
      </c>
      <c r="V1023">
        <v>1000000</v>
      </c>
      <c r="W1023" t="s">
        <v>46</v>
      </c>
      <c r="Z1023">
        <v>50</v>
      </c>
      <c r="AA1023">
        <v>65</v>
      </c>
      <c r="AB1023">
        <v>45</v>
      </c>
      <c r="AC1023">
        <v>50</v>
      </c>
      <c r="AD1023">
        <v>50</v>
      </c>
      <c r="AE1023">
        <v>45</v>
      </c>
      <c r="AF1023">
        <v>305</v>
      </c>
      <c r="AG1023">
        <v>0</v>
      </c>
      <c r="AH1023">
        <v>1</v>
      </c>
      <c r="AI1023">
        <v>0</v>
      </c>
      <c r="AJ1023">
        <v>0</v>
      </c>
      <c r="AK1023">
        <v>0</v>
      </c>
      <c r="AL1023">
        <v>0</v>
      </c>
    </row>
    <row r="1024" spans="1:38" x14ac:dyDescent="0.25">
      <c r="A1024" t="s">
        <v>2404</v>
      </c>
      <c r="B1024" t="s">
        <v>2404</v>
      </c>
      <c r="C1024" s="1">
        <v>851</v>
      </c>
      <c r="D1024" s="1" t="s">
        <v>2403</v>
      </c>
      <c r="E1024">
        <v>8</v>
      </c>
      <c r="F1024">
        <v>3</v>
      </c>
      <c r="G1024">
        <v>120</v>
      </c>
      <c r="H1024" t="s">
        <v>57</v>
      </c>
      <c r="I1024" t="s">
        <v>90</v>
      </c>
      <c r="J1024" t="s">
        <v>205</v>
      </c>
      <c r="K1024" t="s">
        <v>1046</v>
      </c>
      <c r="L1024" t="s">
        <v>354</v>
      </c>
      <c r="M1024" t="s">
        <v>60</v>
      </c>
      <c r="N1024">
        <v>50</v>
      </c>
      <c r="O1024">
        <v>50</v>
      </c>
      <c r="P1024">
        <v>0</v>
      </c>
      <c r="Q1024">
        <v>20</v>
      </c>
      <c r="R1024" t="s">
        <v>90</v>
      </c>
      <c r="T1024">
        <v>75</v>
      </c>
      <c r="U1024">
        <v>184</v>
      </c>
      <c r="V1024">
        <v>1000000</v>
      </c>
      <c r="W1024" t="s">
        <v>46</v>
      </c>
      <c r="Z1024">
        <v>100</v>
      </c>
      <c r="AA1024">
        <v>115</v>
      </c>
      <c r="AB1024">
        <v>65</v>
      </c>
      <c r="AC1024">
        <v>90</v>
      </c>
      <c r="AD1024">
        <v>90</v>
      </c>
      <c r="AE1024">
        <v>65</v>
      </c>
      <c r="AF1024">
        <v>525</v>
      </c>
      <c r="AG1024">
        <v>0</v>
      </c>
      <c r="AH1024">
        <v>2</v>
      </c>
      <c r="AI1024">
        <v>0</v>
      </c>
      <c r="AJ1024">
        <v>0</v>
      </c>
      <c r="AK1024">
        <v>0</v>
      </c>
      <c r="AL1024">
        <v>0</v>
      </c>
    </row>
    <row r="1025" spans="1:38" x14ac:dyDescent="0.25">
      <c r="A1025" t="s">
        <v>2406</v>
      </c>
      <c r="B1025" t="s">
        <v>2406</v>
      </c>
      <c r="C1025" s="1">
        <v>852</v>
      </c>
      <c r="D1025" s="1" t="s">
        <v>2405</v>
      </c>
      <c r="E1025">
        <v>8</v>
      </c>
      <c r="F1025">
        <v>0.6</v>
      </c>
      <c r="G1025">
        <v>4</v>
      </c>
      <c r="H1025" t="s">
        <v>279</v>
      </c>
      <c r="J1025" t="s">
        <v>267</v>
      </c>
      <c r="L1025" t="s">
        <v>258</v>
      </c>
      <c r="M1025" t="s">
        <v>103</v>
      </c>
      <c r="N1025">
        <v>50</v>
      </c>
      <c r="O1025">
        <v>50</v>
      </c>
      <c r="P1025">
        <v>0</v>
      </c>
      <c r="Q1025">
        <v>25</v>
      </c>
      <c r="R1025" t="s">
        <v>80</v>
      </c>
      <c r="S1025" t="s">
        <v>307</v>
      </c>
      <c r="T1025">
        <v>180</v>
      </c>
      <c r="U1025">
        <v>62</v>
      </c>
      <c r="V1025">
        <v>1059860</v>
      </c>
      <c r="W1025" t="s">
        <v>46</v>
      </c>
      <c r="Z1025">
        <v>50</v>
      </c>
      <c r="AA1025">
        <v>68</v>
      </c>
      <c r="AB1025">
        <v>60</v>
      </c>
      <c r="AC1025">
        <v>50</v>
      </c>
      <c r="AD1025">
        <v>50</v>
      </c>
      <c r="AE1025">
        <v>32</v>
      </c>
      <c r="AF1025">
        <v>310</v>
      </c>
      <c r="AG1025">
        <v>0</v>
      </c>
      <c r="AH1025">
        <v>1</v>
      </c>
      <c r="AI1025">
        <v>0</v>
      </c>
      <c r="AJ1025">
        <v>0</v>
      </c>
      <c r="AK1025">
        <v>0</v>
      </c>
      <c r="AL1025">
        <v>0</v>
      </c>
    </row>
    <row r="1026" spans="1:38" x14ac:dyDescent="0.25">
      <c r="A1026" t="s">
        <v>2408</v>
      </c>
      <c r="B1026" t="s">
        <v>2408</v>
      </c>
      <c r="C1026" s="1">
        <v>853</v>
      </c>
      <c r="D1026" s="1" t="s">
        <v>2407</v>
      </c>
      <c r="E1026">
        <v>8</v>
      </c>
      <c r="F1026">
        <v>1.6</v>
      </c>
      <c r="G1026">
        <v>39</v>
      </c>
      <c r="H1026" t="s">
        <v>279</v>
      </c>
      <c r="J1026" t="s">
        <v>267</v>
      </c>
      <c r="L1026" t="s">
        <v>258</v>
      </c>
      <c r="M1026" t="s">
        <v>79</v>
      </c>
      <c r="N1026">
        <v>50</v>
      </c>
      <c r="O1026">
        <v>50</v>
      </c>
      <c r="P1026">
        <v>0</v>
      </c>
      <c r="Q1026">
        <v>25</v>
      </c>
      <c r="R1026" t="s">
        <v>80</v>
      </c>
      <c r="S1026" t="s">
        <v>307</v>
      </c>
      <c r="T1026">
        <v>45</v>
      </c>
      <c r="U1026">
        <v>168</v>
      </c>
      <c r="V1026">
        <v>1059860</v>
      </c>
      <c r="W1026" t="s">
        <v>46</v>
      </c>
      <c r="Z1026">
        <v>80</v>
      </c>
      <c r="AA1026">
        <v>118</v>
      </c>
      <c r="AB1026">
        <v>90</v>
      </c>
      <c r="AC1026">
        <v>70</v>
      </c>
      <c r="AD1026">
        <v>80</v>
      </c>
      <c r="AE1026">
        <v>42</v>
      </c>
      <c r="AF1026">
        <v>480</v>
      </c>
      <c r="AG1026">
        <v>0</v>
      </c>
      <c r="AH1026">
        <v>2</v>
      </c>
      <c r="AI1026">
        <v>0</v>
      </c>
      <c r="AJ1026">
        <v>0</v>
      </c>
      <c r="AK1026">
        <v>0</v>
      </c>
      <c r="AL1026">
        <v>0</v>
      </c>
    </row>
    <row r="1027" spans="1:38" x14ac:dyDescent="0.25">
      <c r="A1027" t="s">
        <v>2410</v>
      </c>
      <c r="B1027" t="s">
        <v>2410</v>
      </c>
      <c r="C1027" s="1">
        <v>854</v>
      </c>
      <c r="D1027" s="1" t="s">
        <v>2409</v>
      </c>
      <c r="E1027">
        <v>8</v>
      </c>
      <c r="F1027">
        <v>0.1</v>
      </c>
      <c r="G1027">
        <v>0.2</v>
      </c>
      <c r="H1027" t="s">
        <v>419</v>
      </c>
      <c r="J1027" t="s">
        <v>431</v>
      </c>
      <c r="L1027" t="s">
        <v>425</v>
      </c>
      <c r="M1027" t="s">
        <v>131</v>
      </c>
      <c r="N1027">
        <v>0</v>
      </c>
      <c r="O1027">
        <v>0</v>
      </c>
      <c r="P1027">
        <v>100</v>
      </c>
      <c r="Q1027">
        <v>20</v>
      </c>
      <c r="R1027" t="s">
        <v>339</v>
      </c>
      <c r="S1027" t="s">
        <v>403</v>
      </c>
      <c r="T1027">
        <v>120</v>
      </c>
      <c r="U1027">
        <v>62</v>
      </c>
      <c r="V1027">
        <v>1000000</v>
      </c>
      <c r="W1027" t="s">
        <v>46</v>
      </c>
      <c r="Z1027">
        <v>40</v>
      </c>
      <c r="AA1027">
        <v>45</v>
      </c>
      <c r="AB1027">
        <v>45</v>
      </c>
      <c r="AC1027">
        <v>74</v>
      </c>
      <c r="AD1027">
        <v>54</v>
      </c>
      <c r="AE1027">
        <v>50</v>
      </c>
      <c r="AF1027">
        <v>308</v>
      </c>
      <c r="AG1027">
        <v>0</v>
      </c>
      <c r="AH1027">
        <v>0</v>
      </c>
      <c r="AI1027">
        <v>0</v>
      </c>
      <c r="AJ1027">
        <v>1</v>
      </c>
      <c r="AK1027">
        <v>0</v>
      </c>
      <c r="AL1027">
        <v>0</v>
      </c>
    </row>
    <row r="1028" spans="1:38" x14ac:dyDescent="0.25">
      <c r="A1028" t="s">
        <v>2412</v>
      </c>
      <c r="B1028" t="s">
        <v>2412</v>
      </c>
      <c r="C1028" s="1">
        <v>855</v>
      </c>
      <c r="D1028" s="1" t="s">
        <v>2411</v>
      </c>
      <c r="E1028">
        <v>8</v>
      </c>
      <c r="F1028">
        <v>0.2</v>
      </c>
      <c r="G1028">
        <v>0.4</v>
      </c>
      <c r="H1028" t="s">
        <v>419</v>
      </c>
      <c r="J1028" t="s">
        <v>431</v>
      </c>
      <c r="L1028" t="s">
        <v>425</v>
      </c>
      <c r="M1028" t="s">
        <v>131</v>
      </c>
      <c r="N1028">
        <v>0</v>
      </c>
      <c r="O1028">
        <v>0</v>
      </c>
      <c r="P1028">
        <v>100</v>
      </c>
      <c r="Q1028">
        <v>20</v>
      </c>
      <c r="R1028" t="s">
        <v>339</v>
      </c>
      <c r="S1028" t="s">
        <v>403</v>
      </c>
      <c r="T1028">
        <v>60</v>
      </c>
      <c r="U1028">
        <v>178</v>
      </c>
      <c r="V1028">
        <v>1000000</v>
      </c>
      <c r="W1028" t="s">
        <v>46</v>
      </c>
      <c r="Z1028">
        <v>60</v>
      </c>
      <c r="AA1028">
        <v>65</v>
      </c>
      <c r="AB1028">
        <v>65</v>
      </c>
      <c r="AC1028">
        <v>134</v>
      </c>
      <c r="AD1028">
        <v>114</v>
      </c>
      <c r="AE1028">
        <v>70</v>
      </c>
      <c r="AF1028">
        <v>508</v>
      </c>
      <c r="AG1028">
        <v>0</v>
      </c>
      <c r="AH1028">
        <v>0</v>
      </c>
      <c r="AI1028">
        <v>0</v>
      </c>
      <c r="AJ1028">
        <v>2</v>
      </c>
      <c r="AK1028">
        <v>0</v>
      </c>
      <c r="AL1028">
        <v>0</v>
      </c>
    </row>
    <row r="1029" spans="1:38" x14ac:dyDescent="0.25">
      <c r="A1029" t="s">
        <v>2414</v>
      </c>
      <c r="B1029" t="s">
        <v>2414</v>
      </c>
      <c r="C1029" s="1">
        <v>856</v>
      </c>
      <c r="D1029" s="1" t="s">
        <v>2413</v>
      </c>
      <c r="E1029">
        <v>8</v>
      </c>
      <c r="F1029">
        <v>0.4</v>
      </c>
      <c r="G1029">
        <v>3.4</v>
      </c>
      <c r="H1029" t="s">
        <v>162</v>
      </c>
      <c r="J1029" t="s">
        <v>492</v>
      </c>
      <c r="K1029" t="s">
        <v>358</v>
      </c>
      <c r="L1029" t="s">
        <v>674</v>
      </c>
      <c r="M1029" t="s">
        <v>199</v>
      </c>
      <c r="N1029">
        <v>0</v>
      </c>
      <c r="O1029">
        <v>100</v>
      </c>
      <c r="P1029">
        <v>0</v>
      </c>
      <c r="Q1029">
        <v>20</v>
      </c>
      <c r="R1029" t="s">
        <v>157</v>
      </c>
      <c r="T1029">
        <v>235</v>
      </c>
      <c r="U1029">
        <v>53</v>
      </c>
      <c r="V1029">
        <v>1250000</v>
      </c>
      <c r="W1029" t="s">
        <v>46</v>
      </c>
      <c r="Z1029">
        <v>42</v>
      </c>
      <c r="AA1029">
        <v>30</v>
      </c>
      <c r="AB1029">
        <v>45</v>
      </c>
      <c r="AC1029">
        <v>56</v>
      </c>
      <c r="AD1029">
        <v>53</v>
      </c>
      <c r="AE1029">
        <v>39</v>
      </c>
      <c r="AF1029">
        <v>265</v>
      </c>
      <c r="AG1029">
        <v>0</v>
      </c>
      <c r="AH1029">
        <v>0</v>
      </c>
      <c r="AI1029">
        <v>0</v>
      </c>
      <c r="AJ1029">
        <v>1</v>
      </c>
      <c r="AK1029">
        <v>0</v>
      </c>
      <c r="AL1029">
        <v>0</v>
      </c>
    </row>
    <row r="1030" spans="1:38" x14ac:dyDescent="0.25">
      <c r="A1030" t="s">
        <v>2416</v>
      </c>
      <c r="B1030" t="s">
        <v>2416</v>
      </c>
      <c r="C1030" s="1">
        <v>857</v>
      </c>
      <c r="D1030" s="1" t="s">
        <v>2415</v>
      </c>
      <c r="E1030">
        <v>8</v>
      </c>
      <c r="F1030">
        <v>0.6</v>
      </c>
      <c r="G1030">
        <v>4.8</v>
      </c>
      <c r="H1030" t="s">
        <v>162</v>
      </c>
      <c r="J1030" t="s">
        <v>492</v>
      </c>
      <c r="K1030" t="s">
        <v>358</v>
      </c>
      <c r="L1030" t="s">
        <v>674</v>
      </c>
      <c r="M1030" t="s">
        <v>199</v>
      </c>
      <c r="N1030">
        <v>0</v>
      </c>
      <c r="O1030">
        <v>100</v>
      </c>
      <c r="P1030">
        <v>0</v>
      </c>
      <c r="Q1030">
        <v>20</v>
      </c>
      <c r="R1030" t="s">
        <v>157</v>
      </c>
      <c r="T1030">
        <v>120</v>
      </c>
      <c r="U1030">
        <v>130</v>
      </c>
      <c r="V1030">
        <v>1250000</v>
      </c>
      <c r="W1030" t="s">
        <v>46</v>
      </c>
      <c r="Z1030">
        <v>57</v>
      </c>
      <c r="AA1030">
        <v>40</v>
      </c>
      <c r="AB1030">
        <v>65</v>
      </c>
      <c r="AC1030">
        <v>86</v>
      </c>
      <c r="AD1030">
        <v>73</v>
      </c>
      <c r="AE1030">
        <v>49</v>
      </c>
      <c r="AF1030">
        <v>370</v>
      </c>
      <c r="AG1030">
        <v>0</v>
      </c>
      <c r="AH1030">
        <v>0</v>
      </c>
      <c r="AI1030">
        <v>0</v>
      </c>
      <c r="AJ1030">
        <v>2</v>
      </c>
      <c r="AK1030">
        <v>0</v>
      </c>
      <c r="AL1030">
        <v>0</v>
      </c>
    </row>
    <row r="1031" spans="1:38" x14ac:dyDescent="0.25">
      <c r="A1031" t="s">
        <v>2418</v>
      </c>
      <c r="B1031" t="s">
        <v>2418</v>
      </c>
      <c r="C1031" s="1">
        <v>858</v>
      </c>
      <c r="D1031" s="1" t="s">
        <v>2417</v>
      </c>
      <c r="E1031">
        <v>8</v>
      </c>
      <c r="F1031">
        <v>2.1</v>
      </c>
      <c r="G1031">
        <v>5.0999999999999996</v>
      </c>
      <c r="H1031" t="s">
        <v>162</v>
      </c>
      <c r="I1031" t="s">
        <v>157</v>
      </c>
      <c r="J1031" t="s">
        <v>492</v>
      </c>
      <c r="K1031" t="s">
        <v>358</v>
      </c>
      <c r="L1031" t="s">
        <v>674</v>
      </c>
      <c r="M1031" t="s">
        <v>199</v>
      </c>
      <c r="N1031">
        <v>0</v>
      </c>
      <c r="O1031">
        <v>100</v>
      </c>
      <c r="P1031">
        <v>0</v>
      </c>
      <c r="Q1031">
        <v>20</v>
      </c>
      <c r="R1031" t="s">
        <v>157</v>
      </c>
      <c r="T1031">
        <v>45</v>
      </c>
      <c r="U1031">
        <v>255</v>
      </c>
      <c r="V1031">
        <v>1250000</v>
      </c>
      <c r="W1031" t="s">
        <v>46</v>
      </c>
      <c r="Z1031">
        <v>57</v>
      </c>
      <c r="AA1031">
        <v>90</v>
      </c>
      <c r="AB1031">
        <v>95</v>
      </c>
      <c r="AC1031">
        <v>136</v>
      </c>
      <c r="AD1031">
        <v>103</v>
      </c>
      <c r="AE1031">
        <v>29</v>
      </c>
      <c r="AF1031">
        <v>510</v>
      </c>
      <c r="AG1031">
        <v>0</v>
      </c>
      <c r="AH1031">
        <v>0</v>
      </c>
      <c r="AI1031">
        <v>0</v>
      </c>
      <c r="AJ1031">
        <v>3</v>
      </c>
      <c r="AK1031">
        <v>0</v>
      </c>
      <c r="AL1031">
        <v>0</v>
      </c>
    </row>
    <row r="1032" spans="1:38" x14ac:dyDescent="0.25">
      <c r="A1032" t="s">
        <v>2420</v>
      </c>
      <c r="B1032" t="s">
        <v>2420</v>
      </c>
      <c r="C1032" s="1">
        <v>859</v>
      </c>
      <c r="D1032" s="1" t="s">
        <v>2419</v>
      </c>
      <c r="E1032">
        <v>8</v>
      </c>
      <c r="F1032">
        <v>0.4</v>
      </c>
      <c r="G1032">
        <v>5.5</v>
      </c>
      <c r="H1032" t="s">
        <v>135</v>
      </c>
      <c r="I1032" t="s">
        <v>157</v>
      </c>
      <c r="J1032" t="s">
        <v>726</v>
      </c>
      <c r="K1032" t="s">
        <v>218</v>
      </c>
      <c r="L1032" t="s">
        <v>775</v>
      </c>
      <c r="M1032" t="s">
        <v>199</v>
      </c>
      <c r="N1032">
        <v>100</v>
      </c>
      <c r="O1032">
        <v>0</v>
      </c>
      <c r="P1032">
        <v>0</v>
      </c>
      <c r="Q1032">
        <v>20</v>
      </c>
      <c r="R1032" t="s">
        <v>157</v>
      </c>
      <c r="S1032" t="s">
        <v>307</v>
      </c>
      <c r="T1032">
        <v>255</v>
      </c>
      <c r="U1032">
        <v>53</v>
      </c>
      <c r="V1032">
        <v>1000000</v>
      </c>
      <c r="W1032" t="s">
        <v>46</v>
      </c>
      <c r="Z1032">
        <v>45</v>
      </c>
      <c r="AA1032">
        <v>45</v>
      </c>
      <c r="AB1032">
        <v>30</v>
      </c>
      <c r="AC1032">
        <v>55</v>
      </c>
      <c r="AD1032">
        <v>40</v>
      </c>
      <c r="AE1032">
        <v>50</v>
      </c>
      <c r="AF1032">
        <v>265</v>
      </c>
      <c r="AG1032">
        <v>0</v>
      </c>
      <c r="AH1032">
        <v>0</v>
      </c>
      <c r="AI1032">
        <v>0</v>
      </c>
      <c r="AJ1032">
        <v>1</v>
      </c>
      <c r="AK1032">
        <v>0</v>
      </c>
      <c r="AL1032">
        <v>0</v>
      </c>
    </row>
    <row r="1033" spans="1:38" x14ac:dyDescent="0.25">
      <c r="A1033" t="s">
        <v>2422</v>
      </c>
      <c r="B1033" t="s">
        <v>2422</v>
      </c>
      <c r="C1033" s="1">
        <v>860</v>
      </c>
      <c r="D1033" s="1" t="s">
        <v>2421</v>
      </c>
      <c r="E1033">
        <v>8</v>
      </c>
      <c r="F1033">
        <v>0.8</v>
      </c>
      <c r="G1033">
        <v>12.5</v>
      </c>
      <c r="H1033" t="s">
        <v>135</v>
      </c>
      <c r="I1033" t="s">
        <v>157</v>
      </c>
      <c r="J1033" t="s">
        <v>726</v>
      </c>
      <c r="K1033" t="s">
        <v>218</v>
      </c>
      <c r="L1033" t="s">
        <v>775</v>
      </c>
      <c r="M1033" t="s">
        <v>199</v>
      </c>
      <c r="N1033">
        <v>100</v>
      </c>
      <c r="O1033">
        <v>0</v>
      </c>
      <c r="P1033">
        <v>0</v>
      </c>
      <c r="Q1033">
        <v>20</v>
      </c>
      <c r="R1033" t="s">
        <v>157</v>
      </c>
      <c r="S1033" t="s">
        <v>307</v>
      </c>
      <c r="T1033">
        <v>120</v>
      </c>
      <c r="U1033">
        <v>130</v>
      </c>
      <c r="V1033">
        <v>1000000</v>
      </c>
      <c r="W1033" t="s">
        <v>46</v>
      </c>
      <c r="Z1033">
        <v>65</v>
      </c>
      <c r="AA1033">
        <v>60</v>
      </c>
      <c r="AB1033">
        <v>45</v>
      </c>
      <c r="AC1033">
        <v>75</v>
      </c>
      <c r="AD1033">
        <v>55</v>
      </c>
      <c r="AE1033">
        <v>70</v>
      </c>
      <c r="AF1033">
        <v>370</v>
      </c>
      <c r="AG1033">
        <v>0</v>
      </c>
      <c r="AH1033">
        <v>0</v>
      </c>
      <c r="AI1033">
        <v>0</v>
      </c>
      <c r="AJ1033">
        <v>2</v>
      </c>
      <c r="AK1033">
        <v>0</v>
      </c>
      <c r="AL1033">
        <v>0</v>
      </c>
    </row>
    <row r="1034" spans="1:38" x14ac:dyDescent="0.25">
      <c r="A1034" t="s">
        <v>2424</v>
      </c>
      <c r="B1034" t="s">
        <v>2424</v>
      </c>
      <c r="C1034" s="1">
        <v>861</v>
      </c>
      <c r="D1034" s="1" t="s">
        <v>2423</v>
      </c>
      <c r="E1034">
        <v>8</v>
      </c>
      <c r="F1034">
        <v>1.5</v>
      </c>
      <c r="G1034">
        <v>61</v>
      </c>
      <c r="H1034" t="s">
        <v>135</v>
      </c>
      <c r="I1034" t="s">
        <v>157</v>
      </c>
      <c r="J1034" t="s">
        <v>726</v>
      </c>
      <c r="K1034" t="s">
        <v>218</v>
      </c>
      <c r="L1034" t="s">
        <v>775</v>
      </c>
      <c r="M1034" t="s">
        <v>131</v>
      </c>
      <c r="N1034">
        <v>100</v>
      </c>
      <c r="O1034">
        <v>0</v>
      </c>
      <c r="P1034">
        <v>0</v>
      </c>
      <c r="Q1034">
        <v>20</v>
      </c>
      <c r="R1034" t="s">
        <v>157</v>
      </c>
      <c r="S1034" t="s">
        <v>307</v>
      </c>
      <c r="T1034">
        <v>45</v>
      </c>
      <c r="U1034">
        <v>255</v>
      </c>
      <c r="V1034">
        <v>1000000</v>
      </c>
      <c r="W1034" t="s">
        <v>46</v>
      </c>
      <c r="Z1034">
        <v>95</v>
      </c>
      <c r="AA1034">
        <v>120</v>
      </c>
      <c r="AB1034">
        <v>65</v>
      </c>
      <c r="AC1034">
        <v>95</v>
      </c>
      <c r="AD1034">
        <v>75</v>
      </c>
      <c r="AE1034">
        <v>60</v>
      </c>
      <c r="AF1034">
        <v>510</v>
      </c>
      <c r="AG1034">
        <v>0</v>
      </c>
      <c r="AH1034">
        <v>3</v>
      </c>
      <c r="AI1034">
        <v>0</v>
      </c>
      <c r="AJ1034">
        <v>0</v>
      </c>
      <c r="AK1034">
        <v>0</v>
      </c>
      <c r="AL1034">
        <v>0</v>
      </c>
    </row>
    <row r="1035" spans="1:38" x14ac:dyDescent="0.25">
      <c r="A1035" t="s">
        <v>2426</v>
      </c>
      <c r="B1035" t="s">
        <v>2426</v>
      </c>
      <c r="C1035" s="1">
        <v>862</v>
      </c>
      <c r="D1035" s="1" t="s">
        <v>2425</v>
      </c>
      <c r="E1035">
        <v>8</v>
      </c>
      <c r="F1035">
        <v>1.6</v>
      </c>
      <c r="G1035">
        <v>46</v>
      </c>
      <c r="H1035" t="s">
        <v>135</v>
      </c>
      <c r="I1035" t="s">
        <v>116</v>
      </c>
      <c r="J1035" t="s">
        <v>469</v>
      </c>
      <c r="K1035" t="s">
        <v>129</v>
      </c>
      <c r="L1035" t="s">
        <v>282</v>
      </c>
      <c r="M1035" t="s">
        <v>318</v>
      </c>
      <c r="N1035">
        <v>50</v>
      </c>
      <c r="O1035">
        <v>50</v>
      </c>
      <c r="P1035">
        <v>0</v>
      </c>
      <c r="Q1035">
        <v>15</v>
      </c>
      <c r="R1035" t="s">
        <v>132</v>
      </c>
      <c r="T1035">
        <v>45</v>
      </c>
      <c r="U1035">
        <v>260</v>
      </c>
      <c r="V1035">
        <v>1000000</v>
      </c>
      <c r="W1035" t="s">
        <v>46</v>
      </c>
      <c r="Z1035">
        <v>93</v>
      </c>
      <c r="AA1035">
        <v>90</v>
      </c>
      <c r="AB1035">
        <v>101</v>
      </c>
      <c r="AC1035">
        <v>60</v>
      </c>
      <c r="AD1035">
        <v>81</v>
      </c>
      <c r="AE1035">
        <v>95</v>
      </c>
      <c r="AF1035">
        <v>520</v>
      </c>
      <c r="AG1035">
        <v>0</v>
      </c>
      <c r="AH1035">
        <v>0</v>
      </c>
      <c r="AI1035">
        <v>3</v>
      </c>
      <c r="AJ1035">
        <v>0</v>
      </c>
      <c r="AK1035">
        <v>0</v>
      </c>
      <c r="AL1035">
        <v>0</v>
      </c>
    </row>
    <row r="1036" spans="1:38" x14ac:dyDescent="0.25">
      <c r="A1036" t="s">
        <v>2428</v>
      </c>
      <c r="B1036" t="s">
        <v>2428</v>
      </c>
      <c r="C1036" s="1">
        <v>863</v>
      </c>
      <c r="D1036" s="1" t="s">
        <v>2427</v>
      </c>
      <c r="E1036">
        <v>8</v>
      </c>
      <c r="F1036">
        <v>0.8</v>
      </c>
      <c r="G1036">
        <v>28</v>
      </c>
      <c r="H1036" t="s">
        <v>171</v>
      </c>
      <c r="J1036" t="s">
        <v>462</v>
      </c>
      <c r="K1036" t="s">
        <v>69</v>
      </c>
      <c r="L1036" t="s">
        <v>2429</v>
      </c>
      <c r="M1036" t="s">
        <v>103</v>
      </c>
      <c r="N1036">
        <v>50</v>
      </c>
      <c r="O1036">
        <v>50</v>
      </c>
      <c r="P1036">
        <v>0</v>
      </c>
      <c r="Q1036">
        <v>20</v>
      </c>
      <c r="R1036" t="s">
        <v>132</v>
      </c>
      <c r="T1036">
        <v>90</v>
      </c>
      <c r="U1036">
        <v>154</v>
      </c>
      <c r="V1036">
        <v>1000000</v>
      </c>
      <c r="W1036" t="s">
        <v>46</v>
      </c>
      <c r="Z1036">
        <v>70</v>
      </c>
      <c r="AA1036">
        <v>110</v>
      </c>
      <c r="AB1036">
        <v>100</v>
      </c>
      <c r="AC1036">
        <v>50</v>
      </c>
      <c r="AD1036">
        <v>60</v>
      </c>
      <c r="AE1036">
        <v>50</v>
      </c>
      <c r="AF1036">
        <v>440</v>
      </c>
      <c r="AG1036">
        <v>0</v>
      </c>
      <c r="AH1036">
        <v>2</v>
      </c>
      <c r="AI1036">
        <v>0</v>
      </c>
      <c r="AJ1036">
        <v>0</v>
      </c>
      <c r="AK1036">
        <v>0</v>
      </c>
      <c r="AL1036">
        <v>0</v>
      </c>
    </row>
    <row r="1037" spans="1:38" x14ac:dyDescent="0.25">
      <c r="A1037" t="s">
        <v>2431</v>
      </c>
      <c r="B1037" t="s">
        <v>2431</v>
      </c>
      <c r="C1037" s="1">
        <v>864</v>
      </c>
      <c r="D1037" s="1" t="s">
        <v>2430</v>
      </c>
      <c r="E1037">
        <v>8</v>
      </c>
      <c r="F1037">
        <v>1</v>
      </c>
      <c r="G1037">
        <v>0.4</v>
      </c>
      <c r="H1037" t="s">
        <v>419</v>
      </c>
      <c r="J1037" t="s">
        <v>431</v>
      </c>
      <c r="L1037" t="s">
        <v>2432</v>
      </c>
      <c r="M1037" t="s">
        <v>100</v>
      </c>
      <c r="N1037">
        <v>25</v>
      </c>
      <c r="O1037">
        <v>75</v>
      </c>
      <c r="P1037">
        <v>0</v>
      </c>
      <c r="Q1037">
        <v>20</v>
      </c>
      <c r="R1037" t="s">
        <v>80</v>
      </c>
      <c r="S1037" t="s">
        <v>333</v>
      </c>
      <c r="T1037">
        <v>30</v>
      </c>
      <c r="U1037">
        <v>179</v>
      </c>
      <c r="V1037">
        <v>800000</v>
      </c>
      <c r="W1037" t="s">
        <v>46</v>
      </c>
      <c r="Z1037">
        <v>60</v>
      </c>
      <c r="AA1037">
        <v>95</v>
      </c>
      <c r="AB1037">
        <v>50</v>
      </c>
      <c r="AC1037">
        <v>145</v>
      </c>
      <c r="AD1037">
        <v>130</v>
      </c>
      <c r="AE1037">
        <v>30</v>
      </c>
      <c r="AF1037">
        <v>510</v>
      </c>
      <c r="AG1037">
        <v>0</v>
      </c>
      <c r="AH1037">
        <v>0</v>
      </c>
      <c r="AI1037">
        <v>0</v>
      </c>
      <c r="AJ1037">
        <v>2</v>
      </c>
      <c r="AK1037">
        <v>0</v>
      </c>
      <c r="AL1037">
        <v>0</v>
      </c>
    </row>
    <row r="1038" spans="1:38" x14ac:dyDescent="0.25">
      <c r="A1038" t="s">
        <v>2434</v>
      </c>
      <c r="B1038" t="s">
        <v>2434</v>
      </c>
      <c r="C1038" s="1">
        <v>865</v>
      </c>
      <c r="D1038" s="1" t="s">
        <v>2433</v>
      </c>
      <c r="E1038">
        <v>8</v>
      </c>
      <c r="F1038">
        <v>0.8</v>
      </c>
      <c r="G1038">
        <v>117</v>
      </c>
      <c r="H1038" t="s">
        <v>279</v>
      </c>
      <c r="J1038" t="s">
        <v>317</v>
      </c>
      <c r="L1038" t="s">
        <v>387</v>
      </c>
      <c r="M1038" t="s">
        <v>100</v>
      </c>
      <c r="N1038">
        <v>50</v>
      </c>
      <c r="O1038">
        <v>50</v>
      </c>
      <c r="P1038">
        <v>0</v>
      </c>
      <c r="Q1038">
        <v>20</v>
      </c>
      <c r="R1038" t="s">
        <v>66</v>
      </c>
      <c r="S1038" t="s">
        <v>132</v>
      </c>
      <c r="T1038">
        <v>45</v>
      </c>
      <c r="U1038">
        <v>177</v>
      </c>
      <c r="V1038">
        <v>1000000</v>
      </c>
      <c r="W1038" t="s">
        <v>46</v>
      </c>
      <c r="Z1038">
        <v>62</v>
      </c>
      <c r="AA1038">
        <v>135</v>
      </c>
      <c r="AB1038">
        <v>95</v>
      </c>
      <c r="AC1038">
        <v>68</v>
      </c>
      <c r="AD1038">
        <v>82</v>
      </c>
      <c r="AE1038">
        <v>65</v>
      </c>
      <c r="AF1038">
        <v>507</v>
      </c>
      <c r="AG1038">
        <v>0</v>
      </c>
      <c r="AH1038">
        <v>2</v>
      </c>
      <c r="AI1038">
        <v>0</v>
      </c>
      <c r="AJ1038">
        <v>0</v>
      </c>
      <c r="AK1038">
        <v>0</v>
      </c>
      <c r="AL1038">
        <v>0</v>
      </c>
    </row>
    <row r="1039" spans="1:38" x14ac:dyDescent="0.25">
      <c r="A1039" t="s">
        <v>2436</v>
      </c>
      <c r="B1039" t="s">
        <v>2436</v>
      </c>
      <c r="C1039" s="1">
        <v>866</v>
      </c>
      <c r="D1039" s="1" t="s">
        <v>2435</v>
      </c>
      <c r="E1039">
        <v>8</v>
      </c>
      <c r="F1039">
        <v>1.5</v>
      </c>
      <c r="G1039">
        <v>58.2</v>
      </c>
      <c r="H1039" t="s">
        <v>170</v>
      </c>
      <c r="I1039" t="s">
        <v>162</v>
      </c>
      <c r="J1039" t="s">
        <v>118</v>
      </c>
      <c r="K1039" t="s">
        <v>521</v>
      </c>
      <c r="L1039" t="s">
        <v>396</v>
      </c>
      <c r="M1039" t="s">
        <v>131</v>
      </c>
      <c r="N1039">
        <v>50</v>
      </c>
      <c r="O1039">
        <v>50</v>
      </c>
      <c r="P1039">
        <v>0</v>
      </c>
      <c r="Q1039">
        <v>25</v>
      </c>
      <c r="R1039" t="s">
        <v>307</v>
      </c>
      <c r="T1039">
        <v>45</v>
      </c>
      <c r="U1039">
        <v>182</v>
      </c>
      <c r="V1039">
        <v>1000000</v>
      </c>
      <c r="W1039" t="s">
        <v>46</v>
      </c>
      <c r="Z1039">
        <v>80</v>
      </c>
      <c r="AA1039">
        <v>85</v>
      </c>
      <c r="AB1039">
        <v>75</v>
      </c>
      <c r="AC1039">
        <v>110</v>
      </c>
      <c r="AD1039">
        <v>100</v>
      </c>
      <c r="AE1039">
        <v>70</v>
      </c>
      <c r="AF1039">
        <v>520</v>
      </c>
      <c r="AG1039">
        <v>0</v>
      </c>
      <c r="AH1039">
        <v>0</v>
      </c>
      <c r="AI1039">
        <v>0</v>
      </c>
      <c r="AJ1039">
        <v>3</v>
      </c>
      <c r="AK1039">
        <v>0</v>
      </c>
      <c r="AL1039">
        <v>0</v>
      </c>
    </row>
    <row r="1040" spans="1:38" x14ac:dyDescent="0.25">
      <c r="A1040" t="s">
        <v>2438</v>
      </c>
      <c r="B1040" t="s">
        <v>2438</v>
      </c>
      <c r="C1040" s="1">
        <v>867</v>
      </c>
      <c r="D1040" s="1" t="s">
        <v>2437</v>
      </c>
      <c r="E1040">
        <v>8</v>
      </c>
      <c r="F1040">
        <v>1.6</v>
      </c>
      <c r="G1040">
        <v>66.599999999999994</v>
      </c>
      <c r="H1040" t="s">
        <v>132</v>
      </c>
      <c r="I1040" t="s">
        <v>419</v>
      </c>
      <c r="J1040" t="s">
        <v>1648</v>
      </c>
      <c r="M1040" t="s">
        <v>318</v>
      </c>
      <c r="N1040">
        <v>50</v>
      </c>
      <c r="O1040">
        <v>50</v>
      </c>
      <c r="P1040">
        <v>0</v>
      </c>
      <c r="Q1040">
        <v>25</v>
      </c>
      <c r="R1040" t="s">
        <v>339</v>
      </c>
      <c r="S1040" t="s">
        <v>403</v>
      </c>
      <c r="T1040">
        <v>90</v>
      </c>
      <c r="U1040">
        <v>169</v>
      </c>
      <c r="V1040">
        <v>1000000</v>
      </c>
      <c r="W1040" t="s">
        <v>46</v>
      </c>
      <c r="Z1040">
        <v>58</v>
      </c>
      <c r="AA1040">
        <v>95</v>
      </c>
      <c r="AB1040">
        <v>145</v>
      </c>
      <c r="AC1040">
        <v>50</v>
      </c>
      <c r="AD1040">
        <v>105</v>
      </c>
      <c r="AE1040">
        <v>30</v>
      </c>
      <c r="AF1040">
        <v>483</v>
      </c>
      <c r="AG1040">
        <v>0</v>
      </c>
      <c r="AH1040">
        <v>0</v>
      </c>
      <c r="AI1040">
        <v>2</v>
      </c>
      <c r="AJ1040">
        <v>0</v>
      </c>
      <c r="AK1040">
        <v>0</v>
      </c>
      <c r="AL1040">
        <v>0</v>
      </c>
    </row>
    <row r="1041" spans="1:38" x14ac:dyDescent="0.25">
      <c r="A1041" t="s">
        <v>2440</v>
      </c>
      <c r="B1041" t="s">
        <v>2440</v>
      </c>
      <c r="C1041" s="1">
        <v>868</v>
      </c>
      <c r="D1041" s="1" t="s">
        <v>2439</v>
      </c>
      <c r="E1041">
        <v>8</v>
      </c>
      <c r="F1041">
        <v>0.2</v>
      </c>
      <c r="G1041">
        <v>0.3</v>
      </c>
      <c r="H1041" t="s">
        <v>157</v>
      </c>
      <c r="J1041" t="s">
        <v>1951</v>
      </c>
      <c r="L1041" t="s">
        <v>1946</v>
      </c>
      <c r="M1041" t="s">
        <v>100</v>
      </c>
      <c r="N1041">
        <v>0</v>
      </c>
      <c r="O1041">
        <v>100</v>
      </c>
      <c r="P1041">
        <v>0</v>
      </c>
      <c r="Q1041">
        <v>20</v>
      </c>
      <c r="R1041" t="s">
        <v>157</v>
      </c>
      <c r="S1041" t="s">
        <v>403</v>
      </c>
      <c r="T1041">
        <v>200</v>
      </c>
      <c r="U1041">
        <v>54</v>
      </c>
      <c r="V1041">
        <v>1000000</v>
      </c>
      <c r="W1041" t="s">
        <v>46</v>
      </c>
      <c r="Z1041">
        <v>45</v>
      </c>
      <c r="AA1041">
        <v>40</v>
      </c>
      <c r="AB1041">
        <v>40</v>
      </c>
      <c r="AC1041">
        <v>50</v>
      </c>
      <c r="AD1041">
        <v>61</v>
      </c>
      <c r="AE1041">
        <v>34</v>
      </c>
      <c r="AF1041">
        <v>270</v>
      </c>
      <c r="AG1041">
        <v>0</v>
      </c>
      <c r="AH1041">
        <v>0</v>
      </c>
      <c r="AI1041">
        <v>0</v>
      </c>
      <c r="AJ1041">
        <v>0</v>
      </c>
      <c r="AK1041">
        <v>1</v>
      </c>
      <c r="AL1041">
        <v>0</v>
      </c>
    </row>
    <row r="1042" spans="1:38" x14ac:dyDescent="0.25">
      <c r="A1042" t="s">
        <v>2442</v>
      </c>
      <c r="B1042" t="s">
        <v>2442</v>
      </c>
      <c r="C1042" s="1">
        <v>869</v>
      </c>
      <c r="D1042" s="1" t="s">
        <v>2441</v>
      </c>
      <c r="E1042">
        <v>8</v>
      </c>
      <c r="F1042">
        <v>0.3</v>
      </c>
      <c r="G1042">
        <v>0.5</v>
      </c>
      <c r="H1042" t="s">
        <v>157</v>
      </c>
      <c r="J1042" t="s">
        <v>1951</v>
      </c>
      <c r="L1042" t="s">
        <v>1946</v>
      </c>
      <c r="M1042" t="s">
        <v>100</v>
      </c>
      <c r="N1042">
        <v>0</v>
      </c>
      <c r="O1042">
        <v>100</v>
      </c>
      <c r="P1042">
        <v>0</v>
      </c>
      <c r="Q1042">
        <v>20</v>
      </c>
      <c r="R1042" t="s">
        <v>157</v>
      </c>
      <c r="S1042" t="s">
        <v>403</v>
      </c>
      <c r="T1042">
        <v>100</v>
      </c>
      <c r="U1042">
        <v>173</v>
      </c>
      <c r="V1042">
        <v>1000000</v>
      </c>
      <c r="W1042" t="s">
        <v>46</v>
      </c>
      <c r="Z1042">
        <v>65</v>
      </c>
      <c r="AA1042">
        <v>60</v>
      </c>
      <c r="AB1042">
        <v>75</v>
      </c>
      <c r="AC1042">
        <v>110</v>
      </c>
      <c r="AD1042">
        <v>121</v>
      </c>
      <c r="AE1042">
        <v>64</v>
      </c>
      <c r="AF1042">
        <v>495</v>
      </c>
      <c r="AG1042">
        <v>0</v>
      </c>
      <c r="AH1042">
        <v>0</v>
      </c>
      <c r="AI1042">
        <v>0</v>
      </c>
      <c r="AJ1042">
        <v>0</v>
      </c>
      <c r="AK1042">
        <v>2</v>
      </c>
      <c r="AL1042">
        <v>0</v>
      </c>
    </row>
    <row r="1043" spans="1:38" x14ac:dyDescent="0.25">
      <c r="A1043" t="s">
        <v>2444</v>
      </c>
      <c r="B1043" t="s">
        <v>2444</v>
      </c>
      <c r="C1043" s="1">
        <v>870</v>
      </c>
      <c r="D1043" s="1" t="s">
        <v>2443</v>
      </c>
      <c r="E1043">
        <v>8</v>
      </c>
      <c r="F1043">
        <v>3</v>
      </c>
      <c r="G1043">
        <v>62</v>
      </c>
      <c r="H1043" t="s">
        <v>279</v>
      </c>
      <c r="J1043" t="s">
        <v>462</v>
      </c>
      <c r="L1043" t="s">
        <v>282</v>
      </c>
      <c r="M1043" t="s">
        <v>106</v>
      </c>
      <c r="N1043">
        <v>0</v>
      </c>
      <c r="O1043">
        <v>0</v>
      </c>
      <c r="P1043">
        <v>100</v>
      </c>
      <c r="Q1043">
        <v>25</v>
      </c>
      <c r="R1043" t="s">
        <v>157</v>
      </c>
      <c r="S1043" t="s">
        <v>339</v>
      </c>
      <c r="T1043">
        <v>45</v>
      </c>
      <c r="U1043">
        <v>165</v>
      </c>
      <c r="V1043">
        <v>1000000</v>
      </c>
      <c r="W1043" t="s">
        <v>46</v>
      </c>
      <c r="Z1043">
        <v>65</v>
      </c>
      <c r="AA1043">
        <v>100</v>
      </c>
      <c r="AB1043">
        <v>100</v>
      </c>
      <c r="AC1043">
        <v>70</v>
      </c>
      <c r="AD1043">
        <v>60</v>
      </c>
      <c r="AE1043">
        <v>75</v>
      </c>
      <c r="AF1043">
        <v>470</v>
      </c>
      <c r="AG1043">
        <v>0</v>
      </c>
      <c r="AH1043">
        <v>2</v>
      </c>
      <c r="AI1043">
        <v>0</v>
      </c>
      <c r="AJ1043">
        <v>0</v>
      </c>
      <c r="AK1043">
        <v>1</v>
      </c>
      <c r="AL1043">
        <v>0</v>
      </c>
    </row>
    <row r="1044" spans="1:38" x14ac:dyDescent="0.25">
      <c r="A1044" t="s">
        <v>2446</v>
      </c>
      <c r="B1044" t="s">
        <v>2446</v>
      </c>
      <c r="C1044" s="1">
        <v>871</v>
      </c>
      <c r="D1044" s="1" t="s">
        <v>2445</v>
      </c>
      <c r="E1044">
        <v>8</v>
      </c>
      <c r="F1044">
        <v>0.3</v>
      </c>
      <c r="G1044">
        <v>1</v>
      </c>
      <c r="H1044" t="s">
        <v>154</v>
      </c>
      <c r="J1044" t="s">
        <v>156</v>
      </c>
      <c r="L1044" t="s">
        <v>2245</v>
      </c>
      <c r="M1044" t="s">
        <v>131</v>
      </c>
      <c r="N1044">
        <v>50</v>
      </c>
      <c r="O1044">
        <v>50</v>
      </c>
      <c r="P1044">
        <v>0</v>
      </c>
      <c r="Q1044">
        <v>20</v>
      </c>
      <c r="R1044" t="s">
        <v>80</v>
      </c>
      <c r="S1044" t="s">
        <v>403</v>
      </c>
      <c r="T1044">
        <v>75</v>
      </c>
      <c r="U1044">
        <v>152</v>
      </c>
      <c r="V1044">
        <v>1000000</v>
      </c>
      <c r="W1044" t="s">
        <v>46</v>
      </c>
      <c r="Z1044">
        <v>48</v>
      </c>
      <c r="AA1044">
        <v>101</v>
      </c>
      <c r="AB1044">
        <v>95</v>
      </c>
      <c r="AC1044">
        <v>91</v>
      </c>
      <c r="AD1044">
        <v>85</v>
      </c>
      <c r="AE1044">
        <v>15</v>
      </c>
      <c r="AF1044">
        <v>435</v>
      </c>
      <c r="AG1044">
        <v>0</v>
      </c>
      <c r="AH1044">
        <v>2</v>
      </c>
      <c r="AI1044">
        <v>0</v>
      </c>
      <c r="AJ1044">
        <v>0</v>
      </c>
      <c r="AK1044">
        <v>0</v>
      </c>
      <c r="AL1044">
        <v>0</v>
      </c>
    </row>
    <row r="1045" spans="1:38" x14ac:dyDescent="0.25">
      <c r="A1045" t="s">
        <v>2448</v>
      </c>
      <c r="B1045" t="s">
        <v>2448</v>
      </c>
      <c r="C1045" s="1">
        <v>872</v>
      </c>
      <c r="D1045" s="1" t="s">
        <v>2447</v>
      </c>
      <c r="E1045">
        <v>8</v>
      </c>
      <c r="F1045">
        <v>0.3</v>
      </c>
      <c r="G1045">
        <v>3.8</v>
      </c>
      <c r="H1045" t="s">
        <v>170</v>
      </c>
      <c r="I1045" t="s">
        <v>90</v>
      </c>
      <c r="J1045" t="s">
        <v>91</v>
      </c>
      <c r="L1045" t="s">
        <v>2449</v>
      </c>
      <c r="M1045" t="s">
        <v>100</v>
      </c>
      <c r="N1045">
        <v>50</v>
      </c>
      <c r="O1045">
        <v>50</v>
      </c>
      <c r="P1045">
        <v>0</v>
      </c>
      <c r="Q1045">
        <v>20</v>
      </c>
      <c r="R1045" t="s">
        <v>90</v>
      </c>
      <c r="T1045">
        <v>190</v>
      </c>
      <c r="U1045">
        <v>37</v>
      </c>
      <c r="V1045">
        <v>1000000</v>
      </c>
      <c r="W1045" t="s">
        <v>46</v>
      </c>
      <c r="Z1045">
        <v>30</v>
      </c>
      <c r="AA1045">
        <v>25</v>
      </c>
      <c r="AB1045">
        <v>35</v>
      </c>
      <c r="AC1045">
        <v>45</v>
      </c>
      <c r="AD1045">
        <v>30</v>
      </c>
      <c r="AE1045">
        <v>20</v>
      </c>
      <c r="AF1045">
        <v>185</v>
      </c>
      <c r="AG1045">
        <v>0</v>
      </c>
      <c r="AH1045">
        <v>0</v>
      </c>
      <c r="AI1045">
        <v>0</v>
      </c>
      <c r="AJ1045">
        <v>1</v>
      </c>
      <c r="AK1045">
        <v>0</v>
      </c>
      <c r="AL1045">
        <v>0</v>
      </c>
    </row>
    <row r="1046" spans="1:38" x14ac:dyDescent="0.25">
      <c r="A1046" t="s">
        <v>2451</v>
      </c>
      <c r="B1046" t="s">
        <v>2451</v>
      </c>
      <c r="C1046" s="1">
        <v>873</v>
      </c>
      <c r="D1046" s="1" t="s">
        <v>2450</v>
      </c>
      <c r="E1046">
        <v>8</v>
      </c>
      <c r="F1046">
        <v>1.3</v>
      </c>
      <c r="G1046">
        <v>42</v>
      </c>
      <c r="H1046" t="s">
        <v>170</v>
      </c>
      <c r="I1046" t="s">
        <v>90</v>
      </c>
      <c r="J1046" t="s">
        <v>91</v>
      </c>
      <c r="L1046" t="s">
        <v>2449</v>
      </c>
      <c r="M1046" t="s">
        <v>100</v>
      </c>
      <c r="N1046">
        <v>50</v>
      </c>
      <c r="O1046">
        <v>50</v>
      </c>
      <c r="P1046">
        <v>0</v>
      </c>
      <c r="Q1046">
        <v>20</v>
      </c>
      <c r="R1046" t="s">
        <v>90</v>
      </c>
      <c r="T1046">
        <v>75</v>
      </c>
      <c r="U1046">
        <v>166</v>
      </c>
      <c r="V1046">
        <v>1000000</v>
      </c>
      <c r="W1046" t="s">
        <v>46</v>
      </c>
      <c r="Z1046">
        <v>70</v>
      </c>
      <c r="AA1046">
        <v>65</v>
      </c>
      <c r="AB1046">
        <v>60</v>
      </c>
      <c r="AC1046">
        <v>125</v>
      </c>
      <c r="AD1046">
        <v>90</v>
      </c>
      <c r="AE1046">
        <v>65</v>
      </c>
      <c r="AF1046">
        <v>475</v>
      </c>
      <c r="AG1046">
        <v>0</v>
      </c>
      <c r="AH1046">
        <v>0</v>
      </c>
      <c r="AI1046">
        <v>0</v>
      </c>
      <c r="AJ1046">
        <v>2</v>
      </c>
      <c r="AK1046">
        <v>0</v>
      </c>
      <c r="AL1046">
        <v>0</v>
      </c>
    </row>
    <row r="1047" spans="1:38" x14ac:dyDescent="0.25">
      <c r="A1047" t="s">
        <v>2453</v>
      </c>
      <c r="B1047" t="s">
        <v>2453</v>
      </c>
      <c r="C1047" s="1">
        <v>874</v>
      </c>
      <c r="D1047" s="1" t="s">
        <v>2452</v>
      </c>
      <c r="E1047">
        <v>8</v>
      </c>
      <c r="F1047">
        <v>2.5</v>
      </c>
      <c r="G1047">
        <v>520</v>
      </c>
      <c r="H1047" t="s">
        <v>290</v>
      </c>
      <c r="J1047" t="s">
        <v>2454</v>
      </c>
      <c r="M1047" t="s">
        <v>318</v>
      </c>
      <c r="N1047">
        <v>50</v>
      </c>
      <c r="O1047">
        <v>50</v>
      </c>
      <c r="P1047">
        <v>0</v>
      </c>
      <c r="Q1047">
        <v>25</v>
      </c>
      <c r="R1047" t="s">
        <v>339</v>
      </c>
      <c r="T1047">
        <v>60</v>
      </c>
      <c r="U1047">
        <v>165</v>
      </c>
      <c r="V1047">
        <v>1250000</v>
      </c>
      <c r="W1047" t="s">
        <v>46</v>
      </c>
      <c r="Z1047">
        <v>100</v>
      </c>
      <c r="AA1047">
        <v>125</v>
      </c>
      <c r="AB1047">
        <v>135</v>
      </c>
      <c r="AC1047">
        <v>20</v>
      </c>
      <c r="AD1047">
        <v>20</v>
      </c>
      <c r="AE1047">
        <v>70</v>
      </c>
      <c r="AF1047">
        <v>470</v>
      </c>
      <c r="AG1047">
        <v>0</v>
      </c>
      <c r="AH1047">
        <v>0</v>
      </c>
      <c r="AI1047">
        <v>2</v>
      </c>
      <c r="AJ1047">
        <v>0</v>
      </c>
      <c r="AK1047">
        <v>0</v>
      </c>
      <c r="AL1047">
        <v>0</v>
      </c>
    </row>
    <row r="1048" spans="1:38" x14ac:dyDescent="0.25">
      <c r="A1048" t="s">
        <v>2456</v>
      </c>
      <c r="B1048" t="s">
        <v>2457</v>
      </c>
      <c r="C1048" s="1">
        <v>875</v>
      </c>
      <c r="D1048" s="1" t="s">
        <v>2455</v>
      </c>
      <c r="E1048">
        <v>8</v>
      </c>
      <c r="F1048">
        <v>1.4</v>
      </c>
      <c r="G1048">
        <v>89</v>
      </c>
      <c r="H1048" t="s">
        <v>170</v>
      </c>
      <c r="J1048" t="s">
        <v>2458</v>
      </c>
      <c r="M1048" t="s">
        <v>79</v>
      </c>
      <c r="N1048">
        <v>50</v>
      </c>
      <c r="O1048">
        <v>50</v>
      </c>
      <c r="P1048">
        <v>0</v>
      </c>
      <c r="Q1048">
        <v>25</v>
      </c>
      <c r="R1048" t="s">
        <v>80</v>
      </c>
      <c r="S1048" t="s">
        <v>132</v>
      </c>
      <c r="T1048">
        <v>60</v>
      </c>
      <c r="U1048">
        <v>165</v>
      </c>
      <c r="V1048">
        <v>1250000</v>
      </c>
      <c r="W1048" t="s">
        <v>46</v>
      </c>
      <c r="Z1048">
        <v>75</v>
      </c>
      <c r="AA1048">
        <v>80</v>
      </c>
      <c r="AB1048">
        <v>110</v>
      </c>
      <c r="AC1048">
        <v>65</v>
      </c>
      <c r="AD1048">
        <v>90</v>
      </c>
      <c r="AE1048">
        <v>50</v>
      </c>
      <c r="AF1048">
        <v>470</v>
      </c>
      <c r="AG1048">
        <v>0</v>
      </c>
      <c r="AH1048">
        <v>0</v>
      </c>
      <c r="AI1048">
        <v>2</v>
      </c>
      <c r="AJ1048">
        <v>0</v>
      </c>
      <c r="AK1048">
        <v>0</v>
      </c>
      <c r="AL1048">
        <v>0</v>
      </c>
    </row>
    <row r="1049" spans="1:38" x14ac:dyDescent="0.25">
      <c r="A1049" t="s">
        <v>2456</v>
      </c>
      <c r="B1049" t="s">
        <v>2460</v>
      </c>
      <c r="C1049" s="1">
        <v>875</v>
      </c>
      <c r="D1049" s="1" t="s">
        <v>2459</v>
      </c>
      <c r="E1049">
        <v>8</v>
      </c>
      <c r="F1049">
        <v>1.4</v>
      </c>
      <c r="G1049">
        <v>89</v>
      </c>
      <c r="H1049" t="s">
        <v>170</v>
      </c>
      <c r="J1049" t="s">
        <v>2458</v>
      </c>
      <c r="M1049" t="s">
        <v>79</v>
      </c>
      <c r="N1049">
        <v>50</v>
      </c>
      <c r="O1049">
        <v>50</v>
      </c>
      <c r="P1049">
        <v>0</v>
      </c>
      <c r="Q1049">
        <v>25</v>
      </c>
      <c r="R1049" t="s">
        <v>80</v>
      </c>
      <c r="S1049" t="s">
        <v>132</v>
      </c>
      <c r="T1049">
        <v>60</v>
      </c>
      <c r="U1049">
        <v>165</v>
      </c>
      <c r="V1049">
        <v>1250000</v>
      </c>
      <c r="W1049" t="s">
        <v>46</v>
      </c>
      <c r="Z1049">
        <v>75</v>
      </c>
      <c r="AA1049">
        <v>80</v>
      </c>
      <c r="AB1049">
        <v>70</v>
      </c>
      <c r="AC1049">
        <v>65</v>
      </c>
      <c r="AD1049">
        <v>50</v>
      </c>
      <c r="AE1049">
        <v>130</v>
      </c>
      <c r="AF1049">
        <v>470</v>
      </c>
      <c r="AG1049">
        <v>0</v>
      </c>
      <c r="AH1049">
        <v>0</v>
      </c>
      <c r="AI1049">
        <v>2</v>
      </c>
      <c r="AJ1049">
        <v>0</v>
      </c>
      <c r="AK1049">
        <v>0</v>
      </c>
      <c r="AL1049">
        <v>0</v>
      </c>
    </row>
    <row r="1050" spans="1:38" x14ac:dyDescent="0.25">
      <c r="A1050" t="s">
        <v>2462</v>
      </c>
      <c r="B1050" t="s">
        <v>2463</v>
      </c>
      <c r="C1050" s="1">
        <v>876</v>
      </c>
      <c r="D1050" s="1" t="s">
        <v>2461</v>
      </c>
      <c r="E1050">
        <v>8</v>
      </c>
      <c r="F1050">
        <v>0.9</v>
      </c>
      <c r="G1050">
        <v>28</v>
      </c>
      <c r="H1050" t="s">
        <v>162</v>
      </c>
      <c r="I1050" t="s">
        <v>116</v>
      </c>
      <c r="J1050" t="s">
        <v>221</v>
      </c>
      <c r="K1050" t="s">
        <v>306</v>
      </c>
      <c r="L1050" t="s">
        <v>2248</v>
      </c>
      <c r="M1050" t="s">
        <v>131</v>
      </c>
      <c r="N1050">
        <v>100</v>
      </c>
      <c r="O1050">
        <v>0</v>
      </c>
      <c r="P1050">
        <v>0</v>
      </c>
      <c r="Q1050">
        <v>40</v>
      </c>
      <c r="R1050" t="s">
        <v>157</v>
      </c>
      <c r="T1050">
        <v>30</v>
      </c>
      <c r="U1050">
        <v>166</v>
      </c>
      <c r="V1050">
        <v>800000</v>
      </c>
      <c r="W1050" t="s">
        <v>46</v>
      </c>
      <c r="Z1050">
        <v>60</v>
      </c>
      <c r="AA1050">
        <v>65</v>
      </c>
      <c r="AB1050">
        <v>55</v>
      </c>
      <c r="AC1050">
        <v>105</v>
      </c>
      <c r="AD1050">
        <v>95</v>
      </c>
      <c r="AE1050">
        <v>95</v>
      </c>
      <c r="AF1050">
        <v>475</v>
      </c>
      <c r="AG1050">
        <v>0</v>
      </c>
      <c r="AH1050">
        <v>0</v>
      </c>
      <c r="AI1050">
        <v>0</v>
      </c>
      <c r="AJ1050">
        <v>2</v>
      </c>
      <c r="AK1050">
        <v>0</v>
      </c>
      <c r="AL1050">
        <v>0</v>
      </c>
    </row>
    <row r="1051" spans="1:38" x14ac:dyDescent="0.25">
      <c r="A1051" t="s">
        <v>2462</v>
      </c>
      <c r="B1051" t="s">
        <v>2465</v>
      </c>
      <c r="C1051" s="1">
        <v>876</v>
      </c>
      <c r="D1051" s="1" t="s">
        <v>2464</v>
      </c>
      <c r="E1051">
        <v>8</v>
      </c>
      <c r="F1051">
        <v>0.9</v>
      </c>
      <c r="G1051">
        <v>28</v>
      </c>
      <c r="H1051" t="s">
        <v>162</v>
      </c>
      <c r="I1051" t="s">
        <v>116</v>
      </c>
      <c r="J1051" t="s">
        <v>366</v>
      </c>
      <c r="K1051" t="s">
        <v>306</v>
      </c>
      <c r="L1051" t="s">
        <v>2248</v>
      </c>
      <c r="M1051" t="s">
        <v>131</v>
      </c>
      <c r="N1051">
        <v>0</v>
      </c>
      <c r="O1051">
        <v>100</v>
      </c>
      <c r="P1051">
        <v>0</v>
      </c>
      <c r="Q1051">
        <v>40</v>
      </c>
      <c r="R1051" t="s">
        <v>157</v>
      </c>
      <c r="T1051">
        <v>30</v>
      </c>
      <c r="U1051">
        <v>166</v>
      </c>
      <c r="V1051">
        <v>800000</v>
      </c>
      <c r="W1051" t="s">
        <v>46</v>
      </c>
      <c r="Z1051">
        <v>70</v>
      </c>
      <c r="AA1051">
        <v>55</v>
      </c>
      <c r="AB1051">
        <v>65</v>
      </c>
      <c r="AC1051">
        <v>95</v>
      </c>
      <c r="AD1051">
        <v>105</v>
      </c>
      <c r="AE1051">
        <v>85</v>
      </c>
      <c r="AF1051">
        <v>475</v>
      </c>
      <c r="AG1051">
        <v>0</v>
      </c>
      <c r="AH1051">
        <v>0</v>
      </c>
      <c r="AI1051">
        <v>0</v>
      </c>
      <c r="AJ1051">
        <v>0</v>
      </c>
      <c r="AK1051">
        <v>2</v>
      </c>
      <c r="AL1051">
        <v>0</v>
      </c>
    </row>
    <row r="1052" spans="1:38" x14ac:dyDescent="0.25">
      <c r="A1052" t="s">
        <v>2467</v>
      </c>
      <c r="B1052" t="s">
        <v>2468</v>
      </c>
      <c r="C1052" s="1">
        <v>877</v>
      </c>
      <c r="D1052" s="1" t="s">
        <v>2466</v>
      </c>
      <c r="E1052">
        <v>8</v>
      </c>
      <c r="F1052">
        <v>0.3</v>
      </c>
      <c r="G1052">
        <v>3</v>
      </c>
      <c r="H1052" t="s">
        <v>154</v>
      </c>
      <c r="I1052" t="s">
        <v>135</v>
      </c>
      <c r="J1052" t="s">
        <v>2469</v>
      </c>
      <c r="M1052" t="s">
        <v>106</v>
      </c>
      <c r="N1052">
        <v>50</v>
      </c>
      <c r="O1052">
        <v>50</v>
      </c>
      <c r="P1052">
        <v>0</v>
      </c>
      <c r="Q1052">
        <v>10</v>
      </c>
      <c r="R1052" t="s">
        <v>132</v>
      </c>
      <c r="S1052" t="s">
        <v>157</v>
      </c>
      <c r="T1052">
        <v>180</v>
      </c>
      <c r="U1052">
        <v>153</v>
      </c>
      <c r="V1052">
        <v>1000000</v>
      </c>
      <c r="W1052" t="s">
        <v>46</v>
      </c>
      <c r="Z1052">
        <v>58</v>
      </c>
      <c r="AA1052">
        <v>95</v>
      </c>
      <c r="AB1052">
        <v>58</v>
      </c>
      <c r="AC1052">
        <v>70</v>
      </c>
      <c r="AD1052">
        <v>58</v>
      </c>
      <c r="AE1052">
        <v>97</v>
      </c>
      <c r="AF1052">
        <v>436</v>
      </c>
      <c r="AG1052">
        <v>0</v>
      </c>
      <c r="AH1052">
        <v>0</v>
      </c>
      <c r="AI1052">
        <v>0</v>
      </c>
      <c r="AJ1052">
        <v>0</v>
      </c>
      <c r="AK1052">
        <v>0</v>
      </c>
      <c r="AL1052">
        <v>2</v>
      </c>
    </row>
    <row r="1053" spans="1:38" x14ac:dyDescent="0.25">
      <c r="A1053" t="s">
        <v>2467</v>
      </c>
      <c r="B1053" t="s">
        <v>2471</v>
      </c>
      <c r="C1053" s="1">
        <v>877</v>
      </c>
      <c r="D1053" s="1" t="s">
        <v>2470</v>
      </c>
      <c r="E1053">
        <v>8</v>
      </c>
      <c r="F1053">
        <v>0.3</v>
      </c>
      <c r="G1053">
        <v>3</v>
      </c>
      <c r="H1053" t="s">
        <v>154</v>
      </c>
      <c r="I1053" t="s">
        <v>135</v>
      </c>
      <c r="J1053" t="s">
        <v>2469</v>
      </c>
      <c r="M1053" t="s">
        <v>131</v>
      </c>
      <c r="N1053">
        <v>50</v>
      </c>
      <c r="O1053">
        <v>50</v>
      </c>
      <c r="P1053">
        <v>0</v>
      </c>
      <c r="Q1053">
        <v>10</v>
      </c>
      <c r="R1053" t="s">
        <v>132</v>
      </c>
      <c r="S1053" t="s">
        <v>157</v>
      </c>
      <c r="T1053">
        <v>180</v>
      </c>
      <c r="U1053">
        <v>153</v>
      </c>
      <c r="V1053">
        <v>1000000</v>
      </c>
      <c r="W1053" t="s">
        <v>46</v>
      </c>
      <c r="Z1053">
        <v>58</v>
      </c>
      <c r="AA1053">
        <v>95</v>
      </c>
      <c r="AB1053">
        <v>58</v>
      </c>
      <c r="AC1053">
        <v>70</v>
      </c>
      <c r="AD1053">
        <v>58</v>
      </c>
      <c r="AE1053">
        <v>97</v>
      </c>
      <c r="AF1053">
        <v>436</v>
      </c>
      <c r="AG1053">
        <v>0</v>
      </c>
      <c r="AH1053">
        <v>0</v>
      </c>
      <c r="AI1053">
        <v>0</v>
      </c>
      <c r="AJ1053">
        <v>0</v>
      </c>
      <c r="AK1053">
        <v>0</v>
      </c>
      <c r="AL1053">
        <v>2</v>
      </c>
    </row>
    <row r="1054" spans="1:38" x14ac:dyDescent="0.25">
      <c r="A1054" t="s">
        <v>2473</v>
      </c>
      <c r="B1054" t="s">
        <v>2473</v>
      </c>
      <c r="C1054" s="1">
        <v>878</v>
      </c>
      <c r="D1054" s="1" t="s">
        <v>2472</v>
      </c>
      <c r="E1054">
        <v>8</v>
      </c>
      <c r="F1054">
        <v>1.2</v>
      </c>
      <c r="G1054">
        <v>100</v>
      </c>
      <c r="H1054" t="s">
        <v>171</v>
      </c>
      <c r="J1054" t="s">
        <v>187</v>
      </c>
      <c r="L1054" t="s">
        <v>989</v>
      </c>
      <c r="M1054" t="s">
        <v>106</v>
      </c>
      <c r="N1054">
        <v>50</v>
      </c>
      <c r="O1054">
        <v>50</v>
      </c>
      <c r="P1054">
        <v>0</v>
      </c>
      <c r="Q1054">
        <v>25</v>
      </c>
      <c r="R1054" t="s">
        <v>132</v>
      </c>
      <c r="S1054" t="s">
        <v>339</v>
      </c>
      <c r="T1054">
        <v>190</v>
      </c>
      <c r="U1054">
        <v>66</v>
      </c>
      <c r="V1054">
        <v>1000000</v>
      </c>
      <c r="W1054" t="s">
        <v>46</v>
      </c>
      <c r="Z1054">
        <v>72</v>
      </c>
      <c r="AA1054">
        <v>80</v>
      </c>
      <c r="AB1054">
        <v>49</v>
      </c>
      <c r="AC1054">
        <v>40</v>
      </c>
      <c r="AD1054">
        <v>49</v>
      </c>
      <c r="AE1054">
        <v>40</v>
      </c>
      <c r="AF1054">
        <v>330</v>
      </c>
      <c r="AG1054">
        <v>0</v>
      </c>
      <c r="AH1054">
        <v>1</v>
      </c>
      <c r="AI1054">
        <v>0</v>
      </c>
      <c r="AJ1054">
        <v>0</v>
      </c>
      <c r="AK1054">
        <v>0</v>
      </c>
      <c r="AL1054">
        <v>0</v>
      </c>
    </row>
    <row r="1055" spans="1:38" x14ac:dyDescent="0.25">
      <c r="A1055" t="s">
        <v>2475</v>
      </c>
      <c r="B1055" t="s">
        <v>2475</v>
      </c>
      <c r="C1055" s="1">
        <v>879</v>
      </c>
      <c r="D1055" s="1" t="s">
        <v>2474</v>
      </c>
      <c r="E1055">
        <v>8</v>
      </c>
      <c r="F1055">
        <v>3</v>
      </c>
      <c r="G1055">
        <v>650</v>
      </c>
      <c r="H1055" t="s">
        <v>171</v>
      </c>
      <c r="J1055" t="s">
        <v>187</v>
      </c>
      <c r="L1055" t="s">
        <v>989</v>
      </c>
      <c r="M1055" t="s">
        <v>44</v>
      </c>
      <c r="N1055">
        <v>50</v>
      </c>
      <c r="O1055">
        <v>50</v>
      </c>
      <c r="P1055">
        <v>0</v>
      </c>
      <c r="Q1055">
        <v>25</v>
      </c>
      <c r="R1055" t="s">
        <v>132</v>
      </c>
      <c r="S1055" t="s">
        <v>339</v>
      </c>
      <c r="T1055">
        <v>90</v>
      </c>
      <c r="U1055">
        <v>175</v>
      </c>
      <c r="V1055">
        <v>1000000</v>
      </c>
      <c r="W1055" t="s">
        <v>46</v>
      </c>
      <c r="Z1055">
        <v>122</v>
      </c>
      <c r="AA1055">
        <v>130</v>
      </c>
      <c r="AB1055">
        <v>69</v>
      </c>
      <c r="AC1055">
        <v>80</v>
      </c>
      <c r="AD1055">
        <v>69</v>
      </c>
      <c r="AE1055">
        <v>30</v>
      </c>
      <c r="AF1055">
        <v>500</v>
      </c>
      <c r="AG1055">
        <v>0</v>
      </c>
      <c r="AH1055">
        <v>2</v>
      </c>
      <c r="AI1055">
        <v>0</v>
      </c>
      <c r="AJ1055">
        <v>0</v>
      </c>
      <c r="AK1055">
        <v>0</v>
      </c>
      <c r="AL1055">
        <v>0</v>
      </c>
    </row>
    <row r="1056" spans="1:38" x14ac:dyDescent="0.25">
      <c r="A1056" t="s">
        <v>2477</v>
      </c>
      <c r="B1056" t="s">
        <v>2477</v>
      </c>
      <c r="C1056" s="1">
        <v>880</v>
      </c>
      <c r="D1056" s="1" t="s">
        <v>2476</v>
      </c>
      <c r="E1056">
        <v>8</v>
      </c>
      <c r="F1056">
        <v>1.8</v>
      </c>
      <c r="G1056">
        <v>190</v>
      </c>
      <c r="H1056" t="s">
        <v>154</v>
      </c>
      <c r="I1056" t="s">
        <v>61</v>
      </c>
      <c r="J1056" t="s">
        <v>564</v>
      </c>
      <c r="K1056" t="s">
        <v>130</v>
      </c>
      <c r="L1056" t="s">
        <v>167</v>
      </c>
      <c r="M1056" t="s">
        <v>44</v>
      </c>
      <c r="N1056">
        <v>0</v>
      </c>
      <c r="O1056">
        <v>0</v>
      </c>
      <c r="P1056">
        <v>100</v>
      </c>
      <c r="Q1056">
        <v>35</v>
      </c>
      <c r="R1056" t="s">
        <v>184</v>
      </c>
      <c r="T1056">
        <v>45</v>
      </c>
      <c r="U1056">
        <v>177</v>
      </c>
      <c r="V1056">
        <v>1250000</v>
      </c>
      <c r="W1056" t="s">
        <v>46</v>
      </c>
      <c r="Z1056">
        <v>90</v>
      </c>
      <c r="AA1056">
        <v>100</v>
      </c>
      <c r="AB1056">
        <v>90</v>
      </c>
      <c r="AC1056">
        <v>80</v>
      </c>
      <c r="AD1056">
        <v>70</v>
      </c>
      <c r="AE1056">
        <v>75</v>
      </c>
      <c r="AF1056">
        <v>505</v>
      </c>
      <c r="AG1056">
        <v>0</v>
      </c>
      <c r="AH1056">
        <v>2</v>
      </c>
      <c r="AI1056">
        <v>0</v>
      </c>
      <c r="AJ1056">
        <v>0</v>
      </c>
      <c r="AK1056">
        <v>0</v>
      </c>
      <c r="AL1056">
        <v>0</v>
      </c>
    </row>
    <row r="1057" spans="1:38" x14ac:dyDescent="0.25">
      <c r="A1057" t="s">
        <v>2479</v>
      </c>
      <c r="B1057" t="s">
        <v>2479</v>
      </c>
      <c r="C1057" s="1">
        <v>881</v>
      </c>
      <c r="D1057" s="1" t="s">
        <v>2478</v>
      </c>
      <c r="E1057">
        <v>8</v>
      </c>
      <c r="F1057">
        <v>2.2999999999999998</v>
      </c>
      <c r="G1057">
        <v>150</v>
      </c>
      <c r="H1057" t="s">
        <v>154</v>
      </c>
      <c r="I1057" t="s">
        <v>170</v>
      </c>
      <c r="J1057" t="s">
        <v>564</v>
      </c>
      <c r="K1057" t="s">
        <v>155</v>
      </c>
      <c r="L1057" t="s">
        <v>173</v>
      </c>
      <c r="M1057" t="s">
        <v>79</v>
      </c>
      <c r="N1057">
        <v>0</v>
      </c>
      <c r="O1057">
        <v>0</v>
      </c>
      <c r="P1057">
        <v>100</v>
      </c>
      <c r="Q1057">
        <v>35</v>
      </c>
      <c r="R1057" t="s">
        <v>184</v>
      </c>
      <c r="T1057">
        <v>45</v>
      </c>
      <c r="U1057">
        <v>177</v>
      </c>
      <c r="V1057">
        <v>1250000</v>
      </c>
      <c r="W1057" t="s">
        <v>46</v>
      </c>
      <c r="Z1057">
        <v>90</v>
      </c>
      <c r="AA1057">
        <v>100</v>
      </c>
      <c r="AB1057">
        <v>90</v>
      </c>
      <c r="AC1057">
        <v>90</v>
      </c>
      <c r="AD1057">
        <v>80</v>
      </c>
      <c r="AE1057">
        <v>55</v>
      </c>
      <c r="AF1057">
        <v>505</v>
      </c>
      <c r="AG1057">
        <v>0</v>
      </c>
      <c r="AH1057">
        <v>2</v>
      </c>
      <c r="AI1057">
        <v>0</v>
      </c>
      <c r="AJ1057">
        <v>0</v>
      </c>
      <c r="AK1057">
        <v>0</v>
      </c>
      <c r="AL1057">
        <v>0</v>
      </c>
    </row>
    <row r="1058" spans="1:38" x14ac:dyDescent="0.25">
      <c r="A1058" t="s">
        <v>2481</v>
      </c>
      <c r="B1058" t="s">
        <v>2481</v>
      </c>
      <c r="C1058" s="1">
        <v>882</v>
      </c>
      <c r="D1058" s="1" t="s">
        <v>2480</v>
      </c>
      <c r="E1058">
        <v>8</v>
      </c>
      <c r="F1058">
        <v>2.2999999999999998</v>
      </c>
      <c r="G1058">
        <v>215</v>
      </c>
      <c r="H1058" t="s">
        <v>76</v>
      </c>
      <c r="I1058" t="s">
        <v>61</v>
      </c>
      <c r="J1058" t="s">
        <v>299</v>
      </c>
      <c r="K1058" t="s">
        <v>1031</v>
      </c>
      <c r="L1058" t="s">
        <v>167</v>
      </c>
      <c r="M1058" t="s">
        <v>44</v>
      </c>
      <c r="N1058">
        <v>0</v>
      </c>
      <c r="O1058">
        <v>0</v>
      </c>
      <c r="P1058">
        <v>100</v>
      </c>
      <c r="Q1058">
        <v>35</v>
      </c>
      <c r="R1058" t="s">
        <v>184</v>
      </c>
      <c r="T1058">
        <v>45</v>
      </c>
      <c r="U1058">
        <v>177</v>
      </c>
      <c r="V1058">
        <v>1250000</v>
      </c>
      <c r="W1058" t="s">
        <v>46</v>
      </c>
      <c r="Z1058">
        <v>90</v>
      </c>
      <c r="AA1058">
        <v>90</v>
      </c>
      <c r="AB1058">
        <v>100</v>
      </c>
      <c r="AC1058">
        <v>70</v>
      </c>
      <c r="AD1058">
        <v>80</v>
      </c>
      <c r="AE1058">
        <v>75</v>
      </c>
      <c r="AF1058">
        <v>505</v>
      </c>
      <c r="AG1058">
        <v>0</v>
      </c>
      <c r="AH1058">
        <v>0</v>
      </c>
      <c r="AI1058">
        <v>2</v>
      </c>
      <c r="AJ1058">
        <v>0</v>
      </c>
      <c r="AK1058">
        <v>0</v>
      </c>
      <c r="AL1058">
        <v>0</v>
      </c>
    </row>
    <row r="1059" spans="1:38" x14ac:dyDescent="0.25">
      <c r="A1059" t="s">
        <v>2483</v>
      </c>
      <c r="B1059" t="s">
        <v>2483</v>
      </c>
      <c r="C1059" s="1">
        <v>883</v>
      </c>
      <c r="D1059" s="1" t="s">
        <v>2482</v>
      </c>
      <c r="E1059">
        <v>8</v>
      </c>
      <c r="F1059">
        <v>2</v>
      </c>
      <c r="G1059">
        <v>175</v>
      </c>
      <c r="H1059" t="s">
        <v>76</v>
      </c>
      <c r="I1059" t="s">
        <v>170</v>
      </c>
      <c r="J1059" t="s">
        <v>299</v>
      </c>
      <c r="K1059" t="s">
        <v>396</v>
      </c>
      <c r="L1059" t="s">
        <v>173</v>
      </c>
      <c r="M1059" t="s">
        <v>79</v>
      </c>
      <c r="N1059">
        <v>0</v>
      </c>
      <c r="O1059">
        <v>0</v>
      </c>
      <c r="P1059">
        <v>100</v>
      </c>
      <c r="Q1059">
        <v>35</v>
      </c>
      <c r="R1059" t="s">
        <v>184</v>
      </c>
      <c r="T1059">
        <v>45</v>
      </c>
      <c r="U1059">
        <v>177</v>
      </c>
      <c r="V1059">
        <v>1250000</v>
      </c>
      <c r="W1059" t="s">
        <v>46</v>
      </c>
      <c r="Z1059">
        <v>90</v>
      </c>
      <c r="AA1059">
        <v>90</v>
      </c>
      <c r="AB1059">
        <v>100</v>
      </c>
      <c r="AC1059">
        <v>80</v>
      </c>
      <c r="AD1059">
        <v>90</v>
      </c>
      <c r="AE1059">
        <v>55</v>
      </c>
      <c r="AF1059">
        <v>505</v>
      </c>
      <c r="AG1059">
        <v>0</v>
      </c>
      <c r="AH1059">
        <v>0</v>
      </c>
      <c r="AI1059">
        <v>2</v>
      </c>
      <c r="AJ1059">
        <v>0</v>
      </c>
      <c r="AK1059">
        <v>0</v>
      </c>
      <c r="AL1059">
        <v>0</v>
      </c>
    </row>
    <row r="1060" spans="1:38" x14ac:dyDescent="0.25">
      <c r="A1060" t="s">
        <v>2485</v>
      </c>
      <c r="B1060" t="s">
        <v>2485</v>
      </c>
      <c r="C1060" s="1">
        <v>884</v>
      </c>
      <c r="D1060" s="1" t="s">
        <v>2484</v>
      </c>
      <c r="E1060">
        <v>8</v>
      </c>
      <c r="F1060">
        <v>1.8</v>
      </c>
      <c r="G1060">
        <v>40</v>
      </c>
      <c r="H1060" t="s">
        <v>171</v>
      </c>
      <c r="I1060" t="s">
        <v>61</v>
      </c>
      <c r="J1060" t="s">
        <v>763</v>
      </c>
      <c r="K1060" t="s">
        <v>989</v>
      </c>
      <c r="L1060" t="s">
        <v>2486</v>
      </c>
      <c r="M1060" t="s">
        <v>100</v>
      </c>
      <c r="N1060">
        <v>50</v>
      </c>
      <c r="O1060">
        <v>50</v>
      </c>
      <c r="P1060">
        <v>0</v>
      </c>
      <c r="Q1060">
        <v>30</v>
      </c>
      <c r="R1060" t="s">
        <v>339</v>
      </c>
      <c r="S1060" t="s">
        <v>61</v>
      </c>
      <c r="T1060">
        <v>45</v>
      </c>
      <c r="U1060">
        <v>187</v>
      </c>
      <c r="V1060">
        <v>1000000</v>
      </c>
      <c r="W1060" t="s">
        <v>46</v>
      </c>
      <c r="Z1060">
        <v>70</v>
      </c>
      <c r="AA1060">
        <v>95</v>
      </c>
      <c r="AB1060">
        <v>115</v>
      </c>
      <c r="AC1060">
        <v>120</v>
      </c>
      <c r="AD1060">
        <v>50</v>
      </c>
      <c r="AE1060">
        <v>85</v>
      </c>
      <c r="AF1060">
        <v>535</v>
      </c>
      <c r="AG1060">
        <v>0</v>
      </c>
      <c r="AH1060">
        <v>0</v>
      </c>
      <c r="AI1060">
        <v>0</v>
      </c>
      <c r="AJ1060">
        <v>2</v>
      </c>
      <c r="AK1060">
        <v>0</v>
      </c>
      <c r="AL1060">
        <v>0</v>
      </c>
    </row>
    <row r="1061" spans="1:38" x14ac:dyDescent="0.25">
      <c r="A1061" t="s">
        <v>2488</v>
      </c>
      <c r="B1061" t="s">
        <v>2488</v>
      </c>
      <c r="C1061" s="1">
        <v>885</v>
      </c>
      <c r="D1061" s="1" t="s">
        <v>2487</v>
      </c>
      <c r="E1061">
        <v>8</v>
      </c>
      <c r="F1061">
        <v>0.5</v>
      </c>
      <c r="G1061">
        <v>2</v>
      </c>
      <c r="H1061" t="s">
        <v>61</v>
      </c>
      <c r="I1061" t="s">
        <v>419</v>
      </c>
      <c r="J1061" t="s">
        <v>331</v>
      </c>
      <c r="K1061" t="s">
        <v>222</v>
      </c>
      <c r="L1061" t="s">
        <v>425</v>
      </c>
      <c r="M1061" t="s">
        <v>44</v>
      </c>
      <c r="N1061">
        <v>50</v>
      </c>
      <c r="O1061">
        <v>50</v>
      </c>
      <c r="P1061">
        <v>0</v>
      </c>
      <c r="Q1061">
        <v>40</v>
      </c>
      <c r="R1061" t="s">
        <v>403</v>
      </c>
      <c r="S1061" t="s">
        <v>61</v>
      </c>
      <c r="T1061">
        <v>45</v>
      </c>
      <c r="U1061">
        <v>54</v>
      </c>
      <c r="V1061">
        <v>1250000</v>
      </c>
      <c r="W1061" t="s">
        <v>46</v>
      </c>
      <c r="Z1061">
        <v>28</v>
      </c>
      <c r="AA1061">
        <v>60</v>
      </c>
      <c r="AB1061">
        <v>30</v>
      </c>
      <c r="AC1061">
        <v>40</v>
      </c>
      <c r="AD1061">
        <v>30</v>
      </c>
      <c r="AE1061">
        <v>82</v>
      </c>
      <c r="AF1061">
        <v>270</v>
      </c>
      <c r="AG1061">
        <v>0</v>
      </c>
      <c r="AH1061">
        <v>0</v>
      </c>
      <c r="AI1061">
        <v>0</v>
      </c>
      <c r="AJ1061">
        <v>0</v>
      </c>
      <c r="AK1061">
        <v>0</v>
      </c>
      <c r="AL1061">
        <v>1</v>
      </c>
    </row>
    <row r="1062" spans="1:38" x14ac:dyDescent="0.25">
      <c r="A1062" t="s">
        <v>2490</v>
      </c>
      <c r="B1062" t="s">
        <v>2490</v>
      </c>
      <c r="C1062" s="1">
        <v>886</v>
      </c>
      <c r="D1062" s="1" t="s">
        <v>2489</v>
      </c>
      <c r="E1062">
        <v>8</v>
      </c>
      <c r="F1062">
        <v>1.4</v>
      </c>
      <c r="G1062">
        <v>11</v>
      </c>
      <c r="H1062" t="s">
        <v>61</v>
      </c>
      <c r="I1062" t="s">
        <v>419</v>
      </c>
      <c r="J1062" t="s">
        <v>331</v>
      </c>
      <c r="K1062" t="s">
        <v>222</v>
      </c>
      <c r="L1062" t="s">
        <v>425</v>
      </c>
      <c r="M1062" t="s">
        <v>44</v>
      </c>
      <c r="N1062">
        <v>50</v>
      </c>
      <c r="O1062">
        <v>50</v>
      </c>
      <c r="P1062">
        <v>0</v>
      </c>
      <c r="Q1062">
        <v>40</v>
      </c>
      <c r="R1062" t="s">
        <v>403</v>
      </c>
      <c r="S1062" t="s">
        <v>61</v>
      </c>
      <c r="T1062">
        <v>45</v>
      </c>
      <c r="U1062">
        <v>144</v>
      </c>
      <c r="V1062">
        <v>1250000</v>
      </c>
      <c r="W1062" t="s">
        <v>46</v>
      </c>
      <c r="Z1062">
        <v>68</v>
      </c>
      <c r="AA1062">
        <v>80</v>
      </c>
      <c r="AB1062">
        <v>50</v>
      </c>
      <c r="AC1062">
        <v>60</v>
      </c>
      <c r="AD1062">
        <v>50</v>
      </c>
      <c r="AE1062">
        <v>102</v>
      </c>
      <c r="AF1062">
        <v>410</v>
      </c>
      <c r="AG1062">
        <v>0</v>
      </c>
      <c r="AH1062">
        <v>0</v>
      </c>
      <c r="AI1062">
        <v>0</v>
      </c>
      <c r="AJ1062">
        <v>0</v>
      </c>
      <c r="AK1062">
        <v>0</v>
      </c>
      <c r="AL1062">
        <v>2</v>
      </c>
    </row>
    <row r="1063" spans="1:38" x14ac:dyDescent="0.25">
      <c r="A1063" t="s">
        <v>2492</v>
      </c>
      <c r="B1063" t="s">
        <v>2492</v>
      </c>
      <c r="C1063" s="1">
        <v>887</v>
      </c>
      <c r="D1063" s="1" t="s">
        <v>2491</v>
      </c>
      <c r="E1063">
        <v>8</v>
      </c>
      <c r="F1063">
        <v>3</v>
      </c>
      <c r="G1063">
        <v>50</v>
      </c>
      <c r="H1063" t="s">
        <v>61</v>
      </c>
      <c r="I1063" t="s">
        <v>419</v>
      </c>
      <c r="J1063" t="s">
        <v>331</v>
      </c>
      <c r="K1063" t="s">
        <v>222</v>
      </c>
      <c r="L1063" t="s">
        <v>425</v>
      </c>
      <c r="M1063" t="s">
        <v>44</v>
      </c>
      <c r="N1063">
        <v>50</v>
      </c>
      <c r="O1063">
        <v>50</v>
      </c>
      <c r="P1063">
        <v>0</v>
      </c>
      <c r="Q1063">
        <v>40</v>
      </c>
      <c r="R1063" t="s">
        <v>403</v>
      </c>
      <c r="S1063" t="s">
        <v>61</v>
      </c>
      <c r="T1063">
        <v>45</v>
      </c>
      <c r="U1063">
        <v>300</v>
      </c>
      <c r="V1063">
        <v>1250000</v>
      </c>
      <c r="W1063" t="s">
        <v>46</v>
      </c>
      <c r="Z1063">
        <v>88</v>
      </c>
      <c r="AA1063">
        <v>120</v>
      </c>
      <c r="AB1063">
        <v>75</v>
      </c>
      <c r="AC1063">
        <v>100</v>
      </c>
      <c r="AD1063">
        <v>75</v>
      </c>
      <c r="AE1063">
        <v>142</v>
      </c>
      <c r="AF1063">
        <v>600</v>
      </c>
      <c r="AG1063">
        <v>0</v>
      </c>
      <c r="AH1063">
        <v>0</v>
      </c>
      <c r="AI1063">
        <v>0</v>
      </c>
      <c r="AJ1063">
        <v>0</v>
      </c>
      <c r="AK1063">
        <v>0</v>
      </c>
      <c r="AL1063">
        <v>3</v>
      </c>
    </row>
    <row r="1064" spans="1:38" x14ac:dyDescent="0.25">
      <c r="A1064" t="s">
        <v>2494</v>
      </c>
      <c r="B1064" t="s">
        <v>2495</v>
      </c>
      <c r="C1064" s="1">
        <v>888</v>
      </c>
      <c r="D1064" s="1" t="s">
        <v>2493</v>
      </c>
      <c r="E1064">
        <v>8</v>
      </c>
      <c r="F1064">
        <v>2.8</v>
      </c>
      <c r="G1064">
        <v>110</v>
      </c>
      <c r="H1064" t="s">
        <v>157</v>
      </c>
      <c r="J1064" t="s">
        <v>2496</v>
      </c>
      <c r="M1064" t="s">
        <v>79</v>
      </c>
      <c r="N1064">
        <v>0</v>
      </c>
      <c r="O1064">
        <v>0</v>
      </c>
      <c r="P1064">
        <v>100</v>
      </c>
      <c r="Q1064">
        <v>120</v>
      </c>
      <c r="R1064" t="s">
        <v>184</v>
      </c>
      <c r="T1064">
        <v>10</v>
      </c>
      <c r="U1064">
        <v>330</v>
      </c>
      <c r="V1064">
        <v>1250000</v>
      </c>
      <c r="W1064" t="s">
        <v>611</v>
      </c>
      <c r="Z1064">
        <v>92</v>
      </c>
      <c r="AA1064">
        <v>120</v>
      </c>
      <c r="AB1064">
        <v>115</v>
      </c>
      <c r="AC1064">
        <v>80</v>
      </c>
      <c r="AD1064">
        <v>115</v>
      </c>
      <c r="AE1064">
        <v>138</v>
      </c>
      <c r="AF1064">
        <v>660</v>
      </c>
      <c r="AG1064">
        <v>0</v>
      </c>
      <c r="AH1064">
        <v>0</v>
      </c>
      <c r="AI1064">
        <v>0</v>
      </c>
      <c r="AJ1064">
        <v>0</v>
      </c>
      <c r="AK1064">
        <v>0</v>
      </c>
      <c r="AL1064">
        <v>3</v>
      </c>
    </row>
    <row r="1065" spans="1:38" x14ac:dyDescent="0.25">
      <c r="A1065" t="s">
        <v>2494</v>
      </c>
      <c r="B1065" t="s">
        <v>2498</v>
      </c>
      <c r="C1065" s="1">
        <v>888</v>
      </c>
      <c r="D1065" s="1" t="s">
        <v>2497</v>
      </c>
      <c r="E1065">
        <v>8</v>
      </c>
      <c r="F1065">
        <v>2.8</v>
      </c>
      <c r="G1065">
        <v>355</v>
      </c>
      <c r="H1065" t="s">
        <v>157</v>
      </c>
      <c r="I1065" t="s">
        <v>171</v>
      </c>
      <c r="J1065" t="s">
        <v>2496</v>
      </c>
      <c r="M1065" t="s">
        <v>79</v>
      </c>
      <c r="N1065">
        <v>0</v>
      </c>
      <c r="O1065">
        <v>0</v>
      </c>
      <c r="P1065">
        <v>100</v>
      </c>
      <c r="Q1065">
        <v>120</v>
      </c>
      <c r="R1065" t="s">
        <v>184</v>
      </c>
      <c r="T1065">
        <v>10</v>
      </c>
      <c r="U1065">
        <v>350</v>
      </c>
      <c r="V1065">
        <v>1250000</v>
      </c>
      <c r="W1065" t="s">
        <v>611</v>
      </c>
      <c r="Z1065">
        <v>92</v>
      </c>
      <c r="AA1065">
        <v>150</v>
      </c>
      <c r="AB1065">
        <v>115</v>
      </c>
      <c r="AC1065">
        <v>80</v>
      </c>
      <c r="AD1065">
        <v>115</v>
      </c>
      <c r="AE1065">
        <v>148</v>
      </c>
      <c r="AF1065">
        <v>700</v>
      </c>
      <c r="AG1065">
        <v>0</v>
      </c>
      <c r="AH1065">
        <v>0</v>
      </c>
      <c r="AI1065">
        <v>0</v>
      </c>
      <c r="AJ1065">
        <v>0</v>
      </c>
      <c r="AK1065">
        <v>0</v>
      </c>
      <c r="AL1065">
        <v>3</v>
      </c>
    </row>
    <row r="1066" spans="1:38" x14ac:dyDescent="0.25">
      <c r="A1066" t="s">
        <v>2500</v>
      </c>
      <c r="B1066" t="s">
        <v>2501</v>
      </c>
      <c r="C1066" s="1">
        <v>889</v>
      </c>
      <c r="D1066" s="1" t="s">
        <v>2499</v>
      </c>
      <c r="E1066">
        <v>8</v>
      </c>
      <c r="F1066">
        <v>2.9</v>
      </c>
      <c r="G1066">
        <v>210</v>
      </c>
      <c r="H1066" t="s">
        <v>279</v>
      </c>
      <c r="J1066" t="s">
        <v>2502</v>
      </c>
      <c r="M1066" t="s">
        <v>60</v>
      </c>
      <c r="N1066">
        <v>0</v>
      </c>
      <c r="O1066">
        <v>0</v>
      </c>
      <c r="P1066">
        <v>100</v>
      </c>
      <c r="Q1066">
        <v>120</v>
      </c>
      <c r="R1066" t="s">
        <v>184</v>
      </c>
      <c r="T1066">
        <v>10</v>
      </c>
      <c r="U1066">
        <v>330</v>
      </c>
      <c r="V1066">
        <v>1250000</v>
      </c>
      <c r="W1066" t="s">
        <v>611</v>
      </c>
      <c r="Z1066">
        <v>92</v>
      </c>
      <c r="AA1066">
        <v>120</v>
      </c>
      <c r="AB1066">
        <v>115</v>
      </c>
      <c r="AC1066">
        <v>80</v>
      </c>
      <c r="AD1066">
        <v>115</v>
      </c>
      <c r="AE1066">
        <v>138</v>
      </c>
      <c r="AF1066">
        <v>660</v>
      </c>
      <c r="AG1066">
        <v>0</v>
      </c>
      <c r="AH1066">
        <v>0</v>
      </c>
      <c r="AI1066">
        <v>0</v>
      </c>
      <c r="AJ1066">
        <v>0</v>
      </c>
      <c r="AK1066">
        <v>0</v>
      </c>
      <c r="AL1066">
        <v>3</v>
      </c>
    </row>
    <row r="1067" spans="1:38" x14ac:dyDescent="0.25">
      <c r="A1067" t="s">
        <v>2500</v>
      </c>
      <c r="B1067" t="s">
        <v>2504</v>
      </c>
      <c r="C1067" s="1">
        <v>889</v>
      </c>
      <c r="D1067" s="1" t="s">
        <v>2503</v>
      </c>
      <c r="E1067">
        <v>8</v>
      </c>
      <c r="F1067">
        <v>2.9</v>
      </c>
      <c r="G1067">
        <v>785</v>
      </c>
      <c r="H1067" t="s">
        <v>279</v>
      </c>
      <c r="I1067" t="s">
        <v>171</v>
      </c>
      <c r="J1067" t="s">
        <v>2502</v>
      </c>
      <c r="M1067" t="s">
        <v>60</v>
      </c>
      <c r="N1067">
        <v>0</v>
      </c>
      <c r="O1067">
        <v>0</v>
      </c>
      <c r="P1067">
        <v>100</v>
      </c>
      <c r="Q1067">
        <v>120</v>
      </c>
      <c r="R1067" t="s">
        <v>184</v>
      </c>
      <c r="T1067">
        <v>10</v>
      </c>
      <c r="U1067">
        <v>350</v>
      </c>
      <c r="V1067">
        <v>1250000</v>
      </c>
      <c r="W1067" t="s">
        <v>611</v>
      </c>
      <c r="Z1067">
        <v>92</v>
      </c>
      <c r="AA1067">
        <v>120</v>
      </c>
      <c r="AB1067">
        <v>140</v>
      </c>
      <c r="AC1067">
        <v>80</v>
      </c>
      <c r="AD1067">
        <v>140</v>
      </c>
      <c r="AE1067">
        <v>128</v>
      </c>
      <c r="AF1067">
        <v>700</v>
      </c>
      <c r="AG1067">
        <v>0</v>
      </c>
      <c r="AH1067">
        <v>0</v>
      </c>
      <c r="AI1067">
        <v>0</v>
      </c>
      <c r="AJ1067">
        <v>0</v>
      </c>
      <c r="AK1067">
        <v>0</v>
      </c>
      <c r="AL1067">
        <v>3</v>
      </c>
    </row>
    <row r="1068" spans="1:38" x14ac:dyDescent="0.25">
      <c r="A1068" t="s">
        <v>2506</v>
      </c>
      <c r="B1068" t="s">
        <v>2506</v>
      </c>
      <c r="C1068" s="1">
        <v>890</v>
      </c>
      <c r="D1068" s="1" t="s">
        <v>2505</v>
      </c>
      <c r="E1068">
        <v>8</v>
      </c>
      <c r="F1068">
        <v>20</v>
      </c>
      <c r="G1068">
        <v>950</v>
      </c>
      <c r="H1068" t="s">
        <v>41</v>
      </c>
      <c r="I1068" t="s">
        <v>61</v>
      </c>
      <c r="J1068" t="s">
        <v>581</v>
      </c>
      <c r="M1068" t="s">
        <v>131</v>
      </c>
      <c r="N1068">
        <v>0</v>
      </c>
      <c r="O1068">
        <v>0</v>
      </c>
      <c r="P1068">
        <v>100</v>
      </c>
      <c r="Q1068">
        <v>120</v>
      </c>
      <c r="R1068" t="s">
        <v>184</v>
      </c>
      <c r="T1068">
        <v>255</v>
      </c>
      <c r="U1068">
        <v>345</v>
      </c>
      <c r="V1068">
        <v>1250000</v>
      </c>
      <c r="W1068" t="s">
        <v>611</v>
      </c>
      <c r="Z1068">
        <v>140</v>
      </c>
      <c r="AA1068">
        <v>85</v>
      </c>
      <c r="AB1068">
        <v>95</v>
      </c>
      <c r="AC1068">
        <v>145</v>
      </c>
      <c r="AD1068">
        <v>95</v>
      </c>
      <c r="AE1068">
        <v>130</v>
      </c>
      <c r="AF1068">
        <v>690</v>
      </c>
      <c r="AG1068">
        <v>3</v>
      </c>
      <c r="AH1068">
        <v>0</v>
      </c>
      <c r="AI1068">
        <v>0</v>
      </c>
      <c r="AJ1068">
        <v>0</v>
      </c>
      <c r="AK1068">
        <v>0</v>
      </c>
      <c r="AL1068">
        <v>0</v>
      </c>
    </row>
    <row r="1069" spans="1:38" x14ac:dyDescent="0.25">
      <c r="A1069" t="s">
        <v>2506</v>
      </c>
      <c r="B1069" t="s">
        <v>2508</v>
      </c>
      <c r="C1069" s="1">
        <v>890</v>
      </c>
      <c r="D1069" s="1" t="s">
        <v>2507</v>
      </c>
      <c r="E1069">
        <v>8</v>
      </c>
      <c r="F1069">
        <v>100</v>
      </c>
      <c r="G1069">
        <v>0</v>
      </c>
      <c r="H1069" t="s">
        <v>41</v>
      </c>
      <c r="I1069" t="s">
        <v>61</v>
      </c>
      <c r="J1069" t="s">
        <v>581</v>
      </c>
      <c r="M1069" t="s">
        <v>131</v>
      </c>
      <c r="N1069">
        <v>0</v>
      </c>
      <c r="O1069">
        <v>0</v>
      </c>
      <c r="P1069">
        <v>100</v>
      </c>
      <c r="Q1069">
        <v>120</v>
      </c>
      <c r="R1069" t="s">
        <v>184</v>
      </c>
      <c r="T1069">
        <v>255</v>
      </c>
      <c r="U1069">
        <v>563</v>
      </c>
      <c r="V1069">
        <v>1250000</v>
      </c>
      <c r="W1069" t="s">
        <v>611</v>
      </c>
      <c r="Z1069">
        <v>255</v>
      </c>
      <c r="AA1069">
        <v>115</v>
      </c>
      <c r="AB1069">
        <v>250</v>
      </c>
      <c r="AC1069">
        <v>125</v>
      </c>
      <c r="AD1069">
        <v>250</v>
      </c>
      <c r="AE1069">
        <v>130</v>
      </c>
      <c r="AF1069">
        <v>1125</v>
      </c>
      <c r="AG1069">
        <v>3</v>
      </c>
      <c r="AH1069">
        <v>0</v>
      </c>
      <c r="AI1069">
        <v>0</v>
      </c>
      <c r="AJ1069">
        <v>0</v>
      </c>
      <c r="AK1069">
        <v>0</v>
      </c>
      <c r="AL1069">
        <v>0</v>
      </c>
    </row>
    <row r="1070" spans="1:38" x14ac:dyDescent="0.25">
      <c r="A1070" t="s">
        <v>2510</v>
      </c>
      <c r="B1070" t="s">
        <v>2510</v>
      </c>
      <c r="C1070" s="1">
        <v>891</v>
      </c>
      <c r="D1070" s="1" t="s">
        <v>2509</v>
      </c>
      <c r="E1070">
        <v>8</v>
      </c>
      <c r="F1070">
        <v>0.6</v>
      </c>
      <c r="G1070">
        <v>12</v>
      </c>
      <c r="H1070" t="s">
        <v>279</v>
      </c>
      <c r="J1070" t="s">
        <v>221</v>
      </c>
      <c r="L1070" t="s">
        <v>126</v>
      </c>
      <c r="M1070" t="s">
        <v>318</v>
      </c>
      <c r="N1070">
        <v>87.5</v>
      </c>
      <c r="O1070">
        <v>12.5</v>
      </c>
      <c r="P1070">
        <v>0</v>
      </c>
      <c r="Q1070">
        <v>120</v>
      </c>
      <c r="R1070" t="s">
        <v>184</v>
      </c>
      <c r="T1070">
        <v>3</v>
      </c>
      <c r="U1070">
        <v>77</v>
      </c>
      <c r="V1070">
        <v>1250000</v>
      </c>
      <c r="W1070" t="s">
        <v>589</v>
      </c>
      <c r="Z1070">
        <v>60</v>
      </c>
      <c r="AA1070">
        <v>90</v>
      </c>
      <c r="AB1070">
        <v>60</v>
      </c>
      <c r="AC1070">
        <v>53</v>
      </c>
      <c r="AD1070">
        <v>50</v>
      </c>
      <c r="AE1070">
        <v>72</v>
      </c>
      <c r="AF1070">
        <v>385</v>
      </c>
      <c r="AG1070">
        <v>0</v>
      </c>
      <c r="AH1070">
        <v>1</v>
      </c>
      <c r="AI1070">
        <v>0</v>
      </c>
      <c r="AJ1070">
        <v>0</v>
      </c>
      <c r="AK1070">
        <v>0</v>
      </c>
      <c r="AL1070">
        <v>0</v>
      </c>
    </row>
    <row r="1071" spans="1:38" x14ac:dyDescent="0.25">
      <c r="A1071" t="s">
        <v>2512</v>
      </c>
      <c r="B1071" t="s">
        <v>2513</v>
      </c>
      <c r="C1071" s="1">
        <v>892</v>
      </c>
      <c r="D1071" s="1" t="s">
        <v>2511</v>
      </c>
      <c r="E1071">
        <v>8</v>
      </c>
      <c r="F1071">
        <v>1.9</v>
      </c>
      <c r="G1071">
        <v>105</v>
      </c>
      <c r="H1071" t="s">
        <v>279</v>
      </c>
      <c r="I1071" t="s">
        <v>135</v>
      </c>
      <c r="J1071" t="s">
        <v>2514</v>
      </c>
      <c r="M1071" t="s">
        <v>318</v>
      </c>
      <c r="N1071">
        <v>87.5</v>
      </c>
      <c r="O1071">
        <v>12.5</v>
      </c>
      <c r="P1071">
        <v>0</v>
      </c>
      <c r="Q1071">
        <v>120</v>
      </c>
      <c r="R1071" t="s">
        <v>184</v>
      </c>
      <c r="T1071">
        <v>3</v>
      </c>
      <c r="U1071">
        <v>275</v>
      </c>
      <c r="V1071">
        <v>1250000</v>
      </c>
      <c r="W1071" t="s">
        <v>589</v>
      </c>
      <c r="Z1071">
        <v>100</v>
      </c>
      <c r="AA1071">
        <v>130</v>
      </c>
      <c r="AB1071">
        <v>100</v>
      </c>
      <c r="AC1071">
        <v>63</v>
      </c>
      <c r="AD1071">
        <v>60</v>
      </c>
      <c r="AE1071">
        <v>97</v>
      </c>
      <c r="AF1071">
        <v>550</v>
      </c>
      <c r="AG1071">
        <v>0</v>
      </c>
      <c r="AH1071">
        <v>3</v>
      </c>
      <c r="AI1071">
        <v>0</v>
      </c>
      <c r="AJ1071">
        <v>0</v>
      </c>
      <c r="AK1071">
        <v>0</v>
      </c>
      <c r="AL1071">
        <v>0</v>
      </c>
    </row>
    <row r="1072" spans="1:38" x14ac:dyDescent="0.25">
      <c r="A1072" t="s">
        <v>2512</v>
      </c>
      <c r="B1072" t="s">
        <v>2516</v>
      </c>
      <c r="C1072" s="1">
        <v>892</v>
      </c>
      <c r="D1072" s="1" t="s">
        <v>2515</v>
      </c>
      <c r="E1072">
        <v>8</v>
      </c>
      <c r="F1072">
        <v>1.9</v>
      </c>
      <c r="G1072">
        <v>105</v>
      </c>
      <c r="H1072" t="s">
        <v>279</v>
      </c>
      <c r="I1072" t="s">
        <v>76</v>
      </c>
      <c r="J1072" t="s">
        <v>2514</v>
      </c>
      <c r="M1072" t="s">
        <v>318</v>
      </c>
      <c r="N1072">
        <v>87.5</v>
      </c>
      <c r="O1072">
        <v>12.5</v>
      </c>
      <c r="P1072">
        <v>0</v>
      </c>
      <c r="Q1072">
        <v>120</v>
      </c>
      <c r="R1072" t="s">
        <v>184</v>
      </c>
      <c r="T1072">
        <v>3</v>
      </c>
      <c r="U1072">
        <v>275</v>
      </c>
      <c r="V1072">
        <v>1250000</v>
      </c>
      <c r="W1072" t="s">
        <v>589</v>
      </c>
      <c r="Z1072">
        <v>100</v>
      </c>
      <c r="AA1072">
        <v>130</v>
      </c>
      <c r="AB1072">
        <v>100</v>
      </c>
      <c r="AC1072">
        <v>63</v>
      </c>
      <c r="AD1072">
        <v>60</v>
      </c>
      <c r="AE1072">
        <v>97</v>
      </c>
      <c r="AF1072">
        <v>550</v>
      </c>
      <c r="AG1072">
        <v>0</v>
      </c>
      <c r="AH1072">
        <v>3</v>
      </c>
      <c r="AI1072">
        <v>0</v>
      </c>
      <c r="AJ1072">
        <v>0</v>
      </c>
      <c r="AK1072">
        <v>0</v>
      </c>
      <c r="AL1072">
        <v>0</v>
      </c>
    </row>
    <row r="1073" spans="1:38" x14ac:dyDescent="0.25">
      <c r="A1073" t="s">
        <v>2518</v>
      </c>
      <c r="B1073" t="s">
        <v>2518</v>
      </c>
      <c r="C1073" s="1">
        <v>893</v>
      </c>
      <c r="D1073" s="1" t="s">
        <v>2517</v>
      </c>
      <c r="E1073">
        <v>8</v>
      </c>
      <c r="F1073">
        <v>1.8</v>
      </c>
      <c r="G1073">
        <v>70</v>
      </c>
      <c r="H1073" t="s">
        <v>135</v>
      </c>
      <c r="I1073" t="s">
        <v>40</v>
      </c>
      <c r="J1073" t="s">
        <v>495</v>
      </c>
      <c r="M1073" t="s">
        <v>44</v>
      </c>
      <c r="N1073">
        <v>0</v>
      </c>
      <c r="O1073">
        <v>0</v>
      </c>
      <c r="P1073">
        <v>100</v>
      </c>
      <c r="Q1073">
        <v>120</v>
      </c>
      <c r="R1073" t="s">
        <v>184</v>
      </c>
      <c r="T1073">
        <v>3</v>
      </c>
      <c r="U1073">
        <v>300</v>
      </c>
      <c r="V1073">
        <v>1250000</v>
      </c>
      <c r="W1073" t="s">
        <v>618</v>
      </c>
      <c r="Z1073">
        <v>105</v>
      </c>
      <c r="AA1073">
        <v>120</v>
      </c>
      <c r="AB1073">
        <v>105</v>
      </c>
      <c r="AC1073">
        <v>70</v>
      </c>
      <c r="AD1073">
        <v>95</v>
      </c>
      <c r="AE1073">
        <v>105</v>
      </c>
      <c r="AF1073">
        <v>600</v>
      </c>
      <c r="AG1073">
        <v>0</v>
      </c>
      <c r="AH1073">
        <v>3</v>
      </c>
      <c r="AI1073">
        <v>0</v>
      </c>
      <c r="AJ1073">
        <v>0</v>
      </c>
      <c r="AK1073">
        <v>0</v>
      </c>
      <c r="AL1073">
        <v>0</v>
      </c>
    </row>
    <row r="1074" spans="1:38" x14ac:dyDescent="0.25">
      <c r="A1074" t="s">
        <v>2520</v>
      </c>
      <c r="B1074" t="s">
        <v>2520</v>
      </c>
      <c r="C1074" s="1">
        <v>894</v>
      </c>
      <c r="D1074" s="1" t="s">
        <v>2519</v>
      </c>
      <c r="E1074">
        <v>8</v>
      </c>
      <c r="F1074">
        <v>1.2</v>
      </c>
      <c r="G1074">
        <v>145</v>
      </c>
      <c r="H1074" t="s">
        <v>154</v>
      </c>
      <c r="J1074" t="s">
        <v>2521</v>
      </c>
      <c r="M1074" t="s">
        <v>106</v>
      </c>
      <c r="N1074">
        <v>0</v>
      </c>
      <c r="O1074">
        <v>0</v>
      </c>
      <c r="P1074">
        <v>100</v>
      </c>
      <c r="Q1074">
        <v>120</v>
      </c>
      <c r="R1074" t="s">
        <v>184</v>
      </c>
      <c r="T1074">
        <v>3</v>
      </c>
      <c r="U1074">
        <v>290</v>
      </c>
      <c r="V1074">
        <v>1250000</v>
      </c>
      <c r="W1074" t="s">
        <v>589</v>
      </c>
      <c r="Z1074">
        <v>80</v>
      </c>
      <c r="AA1074">
        <v>100</v>
      </c>
      <c r="AB1074">
        <v>50</v>
      </c>
      <c r="AC1074">
        <v>100</v>
      </c>
      <c r="AD1074">
        <v>50</v>
      </c>
      <c r="AE1074">
        <v>200</v>
      </c>
      <c r="AF1074">
        <v>580</v>
      </c>
      <c r="AG1074">
        <v>0</v>
      </c>
      <c r="AH1074">
        <v>0</v>
      </c>
      <c r="AI1074">
        <v>0</v>
      </c>
      <c r="AJ1074">
        <v>0</v>
      </c>
      <c r="AK1074">
        <v>0</v>
      </c>
      <c r="AL1074">
        <v>3</v>
      </c>
    </row>
    <row r="1075" spans="1:38" x14ac:dyDescent="0.25">
      <c r="A1075" t="s">
        <v>2523</v>
      </c>
      <c r="B1075" t="s">
        <v>2523</v>
      </c>
      <c r="C1075" s="1">
        <v>895</v>
      </c>
      <c r="D1075" s="1" t="s">
        <v>2522</v>
      </c>
      <c r="E1075">
        <v>8</v>
      </c>
      <c r="F1075">
        <v>2.1</v>
      </c>
      <c r="G1075">
        <v>200</v>
      </c>
      <c r="H1075" t="s">
        <v>61</v>
      </c>
      <c r="J1075" t="s">
        <v>2524</v>
      </c>
      <c r="M1075" t="s">
        <v>44</v>
      </c>
      <c r="N1075">
        <v>0</v>
      </c>
      <c r="O1075">
        <v>0</v>
      </c>
      <c r="P1075">
        <v>100</v>
      </c>
      <c r="Q1075">
        <v>120</v>
      </c>
      <c r="R1075" t="s">
        <v>184</v>
      </c>
      <c r="T1075">
        <v>3</v>
      </c>
      <c r="U1075">
        <v>290</v>
      </c>
      <c r="V1075">
        <v>1250000</v>
      </c>
      <c r="W1075" t="s">
        <v>589</v>
      </c>
      <c r="Z1075">
        <v>200</v>
      </c>
      <c r="AA1075">
        <v>100</v>
      </c>
      <c r="AB1075">
        <v>50</v>
      </c>
      <c r="AC1075">
        <v>100</v>
      </c>
      <c r="AD1075">
        <v>50</v>
      </c>
      <c r="AE1075">
        <v>80</v>
      </c>
      <c r="AF1075">
        <v>580</v>
      </c>
      <c r="AG1075">
        <v>3</v>
      </c>
      <c r="AH1075">
        <v>0</v>
      </c>
      <c r="AI1075">
        <v>0</v>
      </c>
      <c r="AJ1075">
        <v>0</v>
      </c>
      <c r="AK1075">
        <v>0</v>
      </c>
      <c r="AL1075">
        <v>0</v>
      </c>
    </row>
    <row r="1076" spans="1:38" x14ac:dyDescent="0.25">
      <c r="A1076" t="s">
        <v>2526</v>
      </c>
      <c r="B1076" t="s">
        <v>2526</v>
      </c>
      <c r="C1076" s="1">
        <v>896</v>
      </c>
      <c r="D1076" s="1" t="s">
        <v>2525</v>
      </c>
      <c r="E1076">
        <v>8</v>
      </c>
      <c r="F1076">
        <v>2.2000000000000002</v>
      </c>
      <c r="G1076">
        <v>800</v>
      </c>
      <c r="H1076" t="s">
        <v>170</v>
      </c>
      <c r="J1076" t="s">
        <v>2527</v>
      </c>
      <c r="M1076" t="s">
        <v>100</v>
      </c>
      <c r="N1076">
        <v>0</v>
      </c>
      <c r="O1076">
        <v>0</v>
      </c>
      <c r="P1076">
        <v>100</v>
      </c>
      <c r="Q1076">
        <v>120</v>
      </c>
      <c r="R1076" t="s">
        <v>184</v>
      </c>
      <c r="T1076">
        <v>3</v>
      </c>
      <c r="U1076">
        <v>290</v>
      </c>
      <c r="V1076">
        <v>1250000</v>
      </c>
      <c r="W1076" t="s">
        <v>589</v>
      </c>
      <c r="Z1076">
        <v>100</v>
      </c>
      <c r="AA1076">
        <v>145</v>
      </c>
      <c r="AB1076">
        <v>130</v>
      </c>
      <c r="AC1076">
        <v>65</v>
      </c>
      <c r="AD1076">
        <v>110</v>
      </c>
      <c r="AE1076">
        <v>30</v>
      </c>
      <c r="AF1076">
        <v>580</v>
      </c>
      <c r="AG1076">
        <v>0</v>
      </c>
      <c r="AH1076">
        <v>3</v>
      </c>
      <c r="AI1076">
        <v>0</v>
      </c>
      <c r="AJ1076">
        <v>0</v>
      </c>
      <c r="AK1076">
        <v>0</v>
      </c>
      <c r="AL1076">
        <v>0</v>
      </c>
    </row>
    <row r="1077" spans="1:38" x14ac:dyDescent="0.25">
      <c r="A1077" t="s">
        <v>2529</v>
      </c>
      <c r="B1077" t="s">
        <v>2529</v>
      </c>
      <c r="C1077" s="1">
        <v>897</v>
      </c>
      <c r="D1077" s="1" t="s">
        <v>2528</v>
      </c>
      <c r="E1077">
        <v>8</v>
      </c>
      <c r="F1077">
        <v>2</v>
      </c>
      <c r="G1077">
        <v>44.5</v>
      </c>
      <c r="H1077" t="s">
        <v>419</v>
      </c>
      <c r="J1077" t="s">
        <v>2530</v>
      </c>
      <c r="M1077" t="s">
        <v>70</v>
      </c>
      <c r="N1077">
        <v>0</v>
      </c>
      <c r="O1077">
        <v>0</v>
      </c>
      <c r="P1077">
        <v>100</v>
      </c>
      <c r="Q1077">
        <v>120</v>
      </c>
      <c r="R1077" t="s">
        <v>184</v>
      </c>
      <c r="T1077">
        <v>3</v>
      </c>
      <c r="U1077">
        <v>290</v>
      </c>
      <c r="V1077">
        <v>1250000</v>
      </c>
      <c r="W1077" t="s">
        <v>589</v>
      </c>
      <c r="Z1077">
        <v>100</v>
      </c>
      <c r="AA1077">
        <v>65</v>
      </c>
      <c r="AB1077">
        <v>60</v>
      </c>
      <c r="AC1077">
        <v>145</v>
      </c>
      <c r="AD1077">
        <v>80</v>
      </c>
      <c r="AE1077">
        <v>130</v>
      </c>
      <c r="AF1077">
        <v>580</v>
      </c>
      <c r="AG1077">
        <v>0</v>
      </c>
      <c r="AH1077">
        <v>0</v>
      </c>
      <c r="AI1077">
        <v>0</v>
      </c>
      <c r="AJ1077">
        <v>3</v>
      </c>
      <c r="AK1077">
        <v>0</v>
      </c>
      <c r="AL1077">
        <v>0</v>
      </c>
    </row>
    <row r="1078" spans="1:38" x14ac:dyDescent="0.25">
      <c r="A1078" t="s">
        <v>2532</v>
      </c>
      <c r="B1078" t="s">
        <v>2532</v>
      </c>
      <c r="C1078" s="1">
        <v>898</v>
      </c>
      <c r="D1078" s="1" t="s">
        <v>2531</v>
      </c>
      <c r="E1078">
        <v>8</v>
      </c>
      <c r="F1078">
        <v>1.1000000000000001</v>
      </c>
      <c r="G1078">
        <v>7.7</v>
      </c>
      <c r="H1078" t="s">
        <v>162</v>
      </c>
      <c r="I1078" t="s">
        <v>40</v>
      </c>
      <c r="J1078" t="s">
        <v>149</v>
      </c>
      <c r="M1078" t="s">
        <v>44</v>
      </c>
      <c r="N1078">
        <v>0</v>
      </c>
      <c r="O1078">
        <v>0</v>
      </c>
      <c r="P1078">
        <v>100</v>
      </c>
      <c r="Q1078">
        <v>120</v>
      </c>
      <c r="R1078" t="s">
        <v>184</v>
      </c>
      <c r="T1078">
        <v>3</v>
      </c>
      <c r="U1078">
        <v>250</v>
      </c>
      <c r="V1078">
        <v>1250000</v>
      </c>
      <c r="W1078" t="s">
        <v>611</v>
      </c>
      <c r="Z1078">
        <v>100</v>
      </c>
      <c r="AA1078">
        <v>80</v>
      </c>
      <c r="AB1078">
        <v>80</v>
      </c>
      <c r="AC1078">
        <v>80</v>
      </c>
      <c r="AD1078">
        <v>80</v>
      </c>
      <c r="AE1078">
        <v>80</v>
      </c>
      <c r="AF1078">
        <v>500</v>
      </c>
      <c r="AG1078">
        <v>3</v>
      </c>
      <c r="AH1078">
        <v>0</v>
      </c>
      <c r="AI1078">
        <v>0</v>
      </c>
      <c r="AJ1078">
        <v>0</v>
      </c>
      <c r="AK1078">
        <v>0</v>
      </c>
      <c r="AL1078">
        <v>0</v>
      </c>
    </row>
    <row r="1079" spans="1:38" x14ac:dyDescent="0.25">
      <c r="A1079" t="s">
        <v>2532</v>
      </c>
      <c r="B1079" t="s">
        <v>2534</v>
      </c>
      <c r="C1079" s="1">
        <v>898</v>
      </c>
      <c r="D1079" s="1" t="s">
        <v>2533</v>
      </c>
      <c r="E1079">
        <v>8</v>
      </c>
      <c r="F1079">
        <v>2.4</v>
      </c>
      <c r="G1079">
        <v>809.1</v>
      </c>
      <c r="H1079" t="s">
        <v>162</v>
      </c>
      <c r="I1079" t="s">
        <v>170</v>
      </c>
      <c r="J1079" t="s">
        <v>2535</v>
      </c>
      <c r="M1079" t="s">
        <v>100</v>
      </c>
      <c r="N1079">
        <v>0</v>
      </c>
      <c r="O1079">
        <v>0</v>
      </c>
      <c r="P1079">
        <v>100</v>
      </c>
      <c r="Q1079">
        <v>120</v>
      </c>
      <c r="R1079" t="s">
        <v>184</v>
      </c>
      <c r="T1079">
        <v>3</v>
      </c>
      <c r="U1079">
        <v>340</v>
      </c>
      <c r="V1079">
        <v>1250000</v>
      </c>
      <c r="W1079" t="s">
        <v>611</v>
      </c>
      <c r="Z1079">
        <v>100</v>
      </c>
      <c r="AA1079">
        <v>165</v>
      </c>
      <c r="AB1079">
        <v>150</v>
      </c>
      <c r="AC1079">
        <v>85</v>
      </c>
      <c r="AD1079">
        <v>130</v>
      </c>
      <c r="AE1079">
        <v>50</v>
      </c>
      <c r="AF1079">
        <v>680</v>
      </c>
      <c r="AG1079">
        <v>0</v>
      </c>
      <c r="AH1079">
        <v>3</v>
      </c>
      <c r="AI1079">
        <v>0</v>
      </c>
      <c r="AJ1079">
        <v>0</v>
      </c>
      <c r="AK1079">
        <v>0</v>
      </c>
      <c r="AL1079">
        <v>0</v>
      </c>
    </row>
    <row r="1080" spans="1:38" x14ac:dyDescent="0.25">
      <c r="A1080" t="s">
        <v>2532</v>
      </c>
      <c r="B1080" t="s">
        <v>2537</v>
      </c>
      <c r="C1080" s="1">
        <v>898</v>
      </c>
      <c r="D1080" s="1" t="s">
        <v>2536</v>
      </c>
      <c r="E1080">
        <v>8</v>
      </c>
      <c r="F1080">
        <v>2.4</v>
      </c>
      <c r="G1080">
        <v>53.6</v>
      </c>
      <c r="H1080" t="s">
        <v>162</v>
      </c>
      <c r="I1080" t="s">
        <v>419</v>
      </c>
      <c r="J1080" t="s">
        <v>2535</v>
      </c>
      <c r="M1080" t="s">
        <v>70</v>
      </c>
      <c r="N1080">
        <v>0</v>
      </c>
      <c r="O1080">
        <v>0</v>
      </c>
      <c r="P1080">
        <v>100</v>
      </c>
      <c r="Q1080">
        <v>120</v>
      </c>
      <c r="R1080" t="s">
        <v>184</v>
      </c>
      <c r="T1080">
        <v>3</v>
      </c>
      <c r="U1080">
        <v>340</v>
      </c>
      <c r="V1080">
        <v>1250000</v>
      </c>
      <c r="W1080" t="s">
        <v>611</v>
      </c>
      <c r="Z1080">
        <v>100</v>
      </c>
      <c r="AA1080">
        <v>85</v>
      </c>
      <c r="AB1080">
        <v>80</v>
      </c>
      <c r="AC1080">
        <v>165</v>
      </c>
      <c r="AD1080">
        <v>100</v>
      </c>
      <c r="AE1080">
        <v>150</v>
      </c>
      <c r="AF1080">
        <v>680</v>
      </c>
      <c r="AG1080">
        <v>0</v>
      </c>
      <c r="AH1080">
        <v>0</v>
      </c>
      <c r="AI1080">
        <v>0</v>
      </c>
      <c r="AJ1080">
        <v>3</v>
      </c>
      <c r="AK1080">
        <v>0</v>
      </c>
      <c r="AL1080">
        <v>0</v>
      </c>
    </row>
    <row r="1081" spans="1:38" x14ac:dyDescent="0.25">
      <c r="A1081" t="s">
        <v>2539</v>
      </c>
      <c r="B1081" t="s">
        <v>2539</v>
      </c>
      <c r="C1081" s="1">
        <v>899</v>
      </c>
      <c r="D1081" s="1" t="s">
        <v>2538</v>
      </c>
      <c r="E1081">
        <v>8</v>
      </c>
      <c r="F1081">
        <v>1.8</v>
      </c>
      <c r="G1081">
        <v>95.1</v>
      </c>
      <c r="H1081" t="s">
        <v>116</v>
      </c>
      <c r="I1081" t="s">
        <v>162</v>
      </c>
      <c r="J1081" t="s">
        <v>148</v>
      </c>
      <c r="K1081" t="s">
        <v>218</v>
      </c>
      <c r="L1081" t="s">
        <v>691</v>
      </c>
      <c r="M1081" t="s">
        <v>100</v>
      </c>
      <c r="N1081">
        <v>50</v>
      </c>
      <c r="O1081">
        <v>50</v>
      </c>
      <c r="P1081">
        <v>0</v>
      </c>
      <c r="Q1081">
        <v>20</v>
      </c>
      <c r="R1081" t="s">
        <v>132</v>
      </c>
      <c r="T1081">
        <v>45</v>
      </c>
      <c r="U1081">
        <v>263</v>
      </c>
      <c r="V1081">
        <v>1250000</v>
      </c>
      <c r="W1081" t="s">
        <v>46</v>
      </c>
      <c r="Z1081">
        <v>103</v>
      </c>
      <c r="AA1081">
        <v>105</v>
      </c>
      <c r="AB1081">
        <v>72</v>
      </c>
      <c r="AC1081">
        <v>105</v>
      </c>
      <c r="AD1081">
        <v>75</v>
      </c>
      <c r="AE1081">
        <v>65</v>
      </c>
      <c r="AF1081">
        <v>525</v>
      </c>
      <c r="AG1081">
        <v>0</v>
      </c>
      <c r="AH1081">
        <v>1</v>
      </c>
      <c r="AI1081">
        <v>0</v>
      </c>
      <c r="AJ1081">
        <v>1</v>
      </c>
      <c r="AK1081">
        <v>0</v>
      </c>
      <c r="AL1081">
        <v>0</v>
      </c>
    </row>
    <row r="1082" spans="1:38" x14ac:dyDescent="0.25">
      <c r="A1082" t="s">
        <v>2541</v>
      </c>
      <c r="B1082" t="s">
        <v>2541</v>
      </c>
      <c r="C1082" s="1">
        <v>900</v>
      </c>
      <c r="D1082" s="1" t="s">
        <v>2540</v>
      </c>
      <c r="E1082">
        <v>8</v>
      </c>
      <c r="F1082">
        <v>1.8</v>
      </c>
      <c r="G1082">
        <v>89</v>
      </c>
      <c r="H1082" t="s">
        <v>90</v>
      </c>
      <c r="I1082" t="s">
        <v>290</v>
      </c>
      <c r="J1082" t="s">
        <v>109</v>
      </c>
      <c r="K1082" t="s">
        <v>187</v>
      </c>
      <c r="L1082" t="s">
        <v>1424</v>
      </c>
      <c r="M1082" t="s">
        <v>103</v>
      </c>
      <c r="N1082">
        <v>50</v>
      </c>
      <c r="O1082">
        <v>50</v>
      </c>
      <c r="P1082">
        <v>0</v>
      </c>
      <c r="Q1082">
        <v>20</v>
      </c>
      <c r="R1082" t="s">
        <v>90</v>
      </c>
      <c r="T1082">
        <v>15</v>
      </c>
      <c r="U1082">
        <v>175</v>
      </c>
      <c r="V1082">
        <v>1000000</v>
      </c>
      <c r="W1082" t="s">
        <v>46</v>
      </c>
      <c r="Z1082">
        <v>70</v>
      </c>
      <c r="AA1082">
        <v>130</v>
      </c>
      <c r="AB1082">
        <v>95</v>
      </c>
      <c r="AC1082">
        <v>45</v>
      </c>
      <c r="AD1082">
        <v>75</v>
      </c>
      <c r="AE1082">
        <v>85</v>
      </c>
      <c r="AF1082">
        <v>500</v>
      </c>
      <c r="AG1082">
        <v>0</v>
      </c>
      <c r="AH1082">
        <v>3</v>
      </c>
      <c r="AI1082">
        <v>0</v>
      </c>
      <c r="AJ1082">
        <v>0</v>
      </c>
      <c r="AK1082">
        <v>0</v>
      </c>
      <c r="AL1082">
        <v>0</v>
      </c>
    </row>
    <row r="1083" spans="1:38" x14ac:dyDescent="0.25">
      <c r="A1083" t="s">
        <v>2543</v>
      </c>
      <c r="B1083" t="s">
        <v>2543</v>
      </c>
      <c r="C1083" s="1">
        <v>901</v>
      </c>
      <c r="D1083" s="1" t="s">
        <v>2542</v>
      </c>
      <c r="E1083">
        <v>8</v>
      </c>
      <c r="F1083">
        <v>2.4</v>
      </c>
      <c r="G1083">
        <v>290</v>
      </c>
      <c r="H1083" t="s">
        <v>132</v>
      </c>
      <c r="I1083" t="s">
        <v>116</v>
      </c>
      <c r="J1083" t="s">
        <v>129</v>
      </c>
      <c r="K1083" t="s">
        <v>1865</v>
      </c>
      <c r="L1083" t="s">
        <v>149</v>
      </c>
      <c r="M1083" t="s">
        <v>103</v>
      </c>
      <c r="N1083">
        <v>50</v>
      </c>
      <c r="O1083">
        <v>50</v>
      </c>
      <c r="P1083">
        <v>0</v>
      </c>
      <c r="Q1083">
        <v>20</v>
      </c>
      <c r="R1083" t="s">
        <v>132</v>
      </c>
      <c r="T1083">
        <v>20</v>
      </c>
      <c r="U1083">
        <v>275</v>
      </c>
      <c r="V1083">
        <v>1000000</v>
      </c>
      <c r="W1083" t="s">
        <v>46</v>
      </c>
      <c r="Z1083">
        <v>130</v>
      </c>
      <c r="AA1083">
        <v>140</v>
      </c>
      <c r="AB1083">
        <v>105</v>
      </c>
      <c r="AC1083">
        <v>45</v>
      </c>
      <c r="AD1083">
        <v>80</v>
      </c>
      <c r="AE1083">
        <v>50</v>
      </c>
      <c r="AF1083">
        <v>550</v>
      </c>
      <c r="AG1083">
        <v>0</v>
      </c>
      <c r="AH1083">
        <v>3</v>
      </c>
      <c r="AI1083">
        <v>0</v>
      </c>
      <c r="AJ1083">
        <v>0</v>
      </c>
      <c r="AK1083">
        <v>0</v>
      </c>
      <c r="AL1083">
        <v>0</v>
      </c>
    </row>
    <row r="1084" spans="1:38" x14ac:dyDescent="0.25">
      <c r="A1084" t="s">
        <v>2545</v>
      </c>
      <c r="B1084" t="s">
        <v>2546</v>
      </c>
      <c r="C1084" s="1">
        <v>902</v>
      </c>
      <c r="D1084" s="1" t="s">
        <v>2544</v>
      </c>
      <c r="E1084">
        <v>8</v>
      </c>
      <c r="F1084">
        <v>3</v>
      </c>
      <c r="G1084">
        <v>110</v>
      </c>
      <c r="H1084" t="s">
        <v>76</v>
      </c>
      <c r="I1084" t="s">
        <v>419</v>
      </c>
      <c r="J1084" t="s">
        <v>274</v>
      </c>
      <c r="K1084" t="s">
        <v>113</v>
      </c>
      <c r="L1084" t="s">
        <v>532</v>
      </c>
      <c r="M1084" t="s">
        <v>44</v>
      </c>
      <c r="N1084">
        <v>100</v>
      </c>
      <c r="O1084">
        <v>0</v>
      </c>
      <c r="P1084">
        <v>0</v>
      </c>
      <c r="Q1084">
        <v>20</v>
      </c>
      <c r="R1084" t="s">
        <v>508</v>
      </c>
      <c r="T1084">
        <v>45</v>
      </c>
      <c r="U1084">
        <v>265</v>
      </c>
      <c r="V1084">
        <v>1000000</v>
      </c>
      <c r="W1084" t="s">
        <v>46</v>
      </c>
      <c r="Z1084">
        <v>120</v>
      </c>
      <c r="AA1084">
        <v>112</v>
      </c>
      <c r="AB1084">
        <v>65</v>
      </c>
      <c r="AC1084">
        <v>80</v>
      </c>
      <c r="AD1084">
        <v>75</v>
      </c>
      <c r="AE1084">
        <v>78</v>
      </c>
      <c r="AF1084">
        <v>530</v>
      </c>
      <c r="AG1084">
        <v>3</v>
      </c>
      <c r="AH1084">
        <v>0</v>
      </c>
      <c r="AI1084">
        <v>0</v>
      </c>
      <c r="AJ1084">
        <v>0</v>
      </c>
      <c r="AK1084">
        <v>0</v>
      </c>
      <c r="AL1084">
        <v>0</v>
      </c>
    </row>
    <row r="1085" spans="1:38" x14ac:dyDescent="0.25">
      <c r="A1085" t="s">
        <v>2545</v>
      </c>
      <c r="B1085" t="s">
        <v>2548</v>
      </c>
      <c r="C1085" s="1">
        <v>902</v>
      </c>
      <c r="D1085" s="1" t="s">
        <v>2547</v>
      </c>
      <c r="E1085">
        <v>8</v>
      </c>
      <c r="F1085">
        <v>3</v>
      </c>
      <c r="G1085">
        <v>110</v>
      </c>
      <c r="H1085" t="s">
        <v>76</v>
      </c>
      <c r="I1085" t="s">
        <v>419</v>
      </c>
      <c r="J1085" t="s">
        <v>274</v>
      </c>
      <c r="K1085" t="s">
        <v>113</v>
      </c>
      <c r="L1085" t="s">
        <v>532</v>
      </c>
      <c r="M1085" t="s">
        <v>44</v>
      </c>
      <c r="N1085">
        <v>0</v>
      </c>
      <c r="O1085">
        <v>100</v>
      </c>
      <c r="P1085">
        <v>0</v>
      </c>
      <c r="Q1085">
        <v>20</v>
      </c>
      <c r="R1085" t="s">
        <v>508</v>
      </c>
      <c r="T1085">
        <v>45</v>
      </c>
      <c r="U1085">
        <v>265</v>
      </c>
      <c r="V1085">
        <v>1000000</v>
      </c>
      <c r="W1085" t="s">
        <v>46</v>
      </c>
      <c r="Z1085">
        <v>120</v>
      </c>
      <c r="AA1085">
        <v>92</v>
      </c>
      <c r="AB1085">
        <v>65</v>
      </c>
      <c r="AC1085">
        <v>100</v>
      </c>
      <c r="AD1085">
        <v>75</v>
      </c>
      <c r="AE1085">
        <v>78</v>
      </c>
      <c r="AF1085">
        <v>530</v>
      </c>
      <c r="AG1085">
        <v>3</v>
      </c>
      <c r="AH1085">
        <v>0</v>
      </c>
      <c r="AI1085">
        <v>0</v>
      </c>
      <c r="AJ1085">
        <v>0</v>
      </c>
      <c r="AK1085">
        <v>0</v>
      </c>
      <c r="AL1085">
        <v>0</v>
      </c>
    </row>
    <row r="1086" spans="1:38" x14ac:dyDescent="0.25">
      <c r="A1086" t="s">
        <v>2550</v>
      </c>
      <c r="B1086" t="s">
        <v>2550</v>
      </c>
      <c r="C1086" s="1">
        <v>903</v>
      </c>
      <c r="D1086" s="1" t="s">
        <v>2549</v>
      </c>
      <c r="E1086">
        <v>8</v>
      </c>
      <c r="F1086">
        <v>1.3</v>
      </c>
      <c r="G1086">
        <v>43</v>
      </c>
      <c r="H1086" t="s">
        <v>279</v>
      </c>
      <c r="I1086" t="s">
        <v>41</v>
      </c>
      <c r="J1086" t="s">
        <v>581</v>
      </c>
      <c r="K1086" t="s">
        <v>470</v>
      </c>
      <c r="L1086" t="s">
        <v>402</v>
      </c>
      <c r="M1086" t="s">
        <v>131</v>
      </c>
      <c r="N1086">
        <v>50</v>
      </c>
      <c r="O1086">
        <v>50</v>
      </c>
      <c r="P1086">
        <v>0</v>
      </c>
      <c r="Q1086">
        <v>20</v>
      </c>
      <c r="R1086" t="s">
        <v>132</v>
      </c>
      <c r="T1086">
        <v>20</v>
      </c>
      <c r="U1086">
        <v>102</v>
      </c>
      <c r="V1086">
        <v>1059860</v>
      </c>
      <c r="W1086" t="s">
        <v>46</v>
      </c>
      <c r="Z1086">
        <v>80</v>
      </c>
      <c r="AA1086">
        <v>130</v>
      </c>
      <c r="AB1086">
        <v>60</v>
      </c>
      <c r="AC1086">
        <v>40</v>
      </c>
      <c r="AD1086">
        <v>80</v>
      </c>
      <c r="AE1086">
        <v>120</v>
      </c>
      <c r="AF1086">
        <v>510</v>
      </c>
      <c r="AG1086">
        <v>0</v>
      </c>
      <c r="AH1086">
        <v>2</v>
      </c>
      <c r="AI1086">
        <v>0</v>
      </c>
      <c r="AJ1086">
        <v>0</v>
      </c>
      <c r="AK1086">
        <v>0</v>
      </c>
      <c r="AL1086">
        <v>0</v>
      </c>
    </row>
    <row r="1087" spans="1:38" x14ac:dyDescent="0.25">
      <c r="A1087" t="s">
        <v>2552</v>
      </c>
      <c r="B1087" t="s">
        <v>2552</v>
      </c>
      <c r="C1087" s="1">
        <v>904</v>
      </c>
      <c r="D1087" s="1" t="s">
        <v>2551</v>
      </c>
      <c r="E1087">
        <v>8</v>
      </c>
      <c r="F1087">
        <v>2.5</v>
      </c>
      <c r="G1087">
        <v>60.5</v>
      </c>
      <c r="H1087" t="s">
        <v>135</v>
      </c>
      <c r="I1087" t="s">
        <v>41</v>
      </c>
      <c r="J1087" t="s">
        <v>180</v>
      </c>
      <c r="K1087" t="s">
        <v>274</v>
      </c>
      <c r="L1087" t="s">
        <v>148</v>
      </c>
      <c r="M1087" t="s">
        <v>318</v>
      </c>
      <c r="N1087">
        <v>50</v>
      </c>
      <c r="O1087">
        <v>50</v>
      </c>
      <c r="P1087">
        <v>0</v>
      </c>
      <c r="Q1087">
        <v>20</v>
      </c>
      <c r="R1087" t="s">
        <v>508</v>
      </c>
      <c r="T1087">
        <v>45</v>
      </c>
      <c r="U1087">
        <v>179</v>
      </c>
      <c r="V1087">
        <v>1000000</v>
      </c>
      <c r="W1087" t="s">
        <v>46</v>
      </c>
      <c r="Z1087">
        <v>85</v>
      </c>
      <c r="AA1087">
        <v>115</v>
      </c>
      <c r="AB1087">
        <v>95</v>
      </c>
      <c r="AC1087">
        <v>65</v>
      </c>
      <c r="AD1087">
        <v>65</v>
      </c>
      <c r="AE1087">
        <v>85</v>
      </c>
      <c r="AF1087">
        <v>510</v>
      </c>
      <c r="AG1087">
        <v>0</v>
      </c>
      <c r="AH1087">
        <v>2</v>
      </c>
      <c r="AI1087">
        <v>0</v>
      </c>
      <c r="AJ1087">
        <v>0</v>
      </c>
      <c r="AK1087">
        <v>0</v>
      </c>
      <c r="AL1087">
        <v>0</v>
      </c>
    </row>
    <row r="1088" spans="1:38" x14ac:dyDescent="0.25">
      <c r="A1088" t="s">
        <v>2554</v>
      </c>
      <c r="B1088" t="s">
        <v>2555</v>
      </c>
      <c r="C1088" s="1">
        <v>905</v>
      </c>
      <c r="D1088" s="1" t="s">
        <v>2553</v>
      </c>
      <c r="E1088">
        <v>8</v>
      </c>
      <c r="F1088">
        <v>1.6</v>
      </c>
      <c r="G1088">
        <v>48</v>
      </c>
      <c r="H1088" t="s">
        <v>157</v>
      </c>
      <c r="I1088" t="s">
        <v>66</v>
      </c>
      <c r="J1088" t="s">
        <v>196</v>
      </c>
      <c r="L1088" t="s">
        <v>768</v>
      </c>
      <c r="M1088" t="s">
        <v>199</v>
      </c>
      <c r="N1088">
        <v>0</v>
      </c>
      <c r="O1088">
        <v>100</v>
      </c>
      <c r="P1088">
        <v>0</v>
      </c>
      <c r="Q1088">
        <v>20</v>
      </c>
      <c r="R1088" t="s">
        <v>184</v>
      </c>
      <c r="T1088">
        <v>3</v>
      </c>
      <c r="U1088">
        <v>116</v>
      </c>
      <c r="V1088">
        <v>1250000</v>
      </c>
      <c r="W1088" t="s">
        <v>589</v>
      </c>
      <c r="Z1088">
        <v>74</v>
      </c>
      <c r="AA1088">
        <v>115</v>
      </c>
      <c r="AB1088">
        <v>70</v>
      </c>
      <c r="AC1088">
        <v>135</v>
      </c>
      <c r="AD1088">
        <v>80</v>
      </c>
      <c r="AE1088">
        <v>106</v>
      </c>
      <c r="AF1088">
        <v>580</v>
      </c>
      <c r="AG1088">
        <v>0</v>
      </c>
      <c r="AH1088">
        <v>0</v>
      </c>
      <c r="AI1088">
        <v>0</v>
      </c>
      <c r="AJ1088">
        <v>3</v>
      </c>
      <c r="AK1088">
        <v>0</v>
      </c>
      <c r="AL1088">
        <v>0</v>
      </c>
    </row>
    <row r="1089" spans="1:38" x14ac:dyDescent="0.25">
      <c r="A1089" t="s">
        <v>2554</v>
      </c>
      <c r="B1089" t="s">
        <v>2557</v>
      </c>
      <c r="C1089" s="1">
        <v>905</v>
      </c>
      <c r="D1089" s="1" t="s">
        <v>2556</v>
      </c>
      <c r="E1089">
        <v>8</v>
      </c>
      <c r="F1089">
        <v>1.6</v>
      </c>
      <c r="G1089">
        <v>48</v>
      </c>
      <c r="H1089" t="s">
        <v>157</v>
      </c>
      <c r="I1089" t="s">
        <v>66</v>
      </c>
      <c r="J1089" t="s">
        <v>414</v>
      </c>
      <c r="M1089" t="s">
        <v>199</v>
      </c>
      <c r="N1089">
        <v>0</v>
      </c>
      <c r="O1089">
        <v>100</v>
      </c>
      <c r="P1089">
        <v>0</v>
      </c>
      <c r="Q1089">
        <v>20</v>
      </c>
      <c r="R1089" t="s">
        <v>184</v>
      </c>
      <c r="T1089">
        <v>3</v>
      </c>
      <c r="U1089">
        <v>116</v>
      </c>
      <c r="V1089">
        <v>1250000</v>
      </c>
      <c r="W1089" t="s">
        <v>589</v>
      </c>
      <c r="Z1089">
        <v>74</v>
      </c>
      <c r="AA1089">
        <v>115</v>
      </c>
      <c r="AB1089">
        <v>110</v>
      </c>
      <c r="AC1089">
        <v>135</v>
      </c>
      <c r="AD1089">
        <v>100</v>
      </c>
      <c r="AE1089">
        <v>46</v>
      </c>
      <c r="AF1089">
        <v>580</v>
      </c>
      <c r="AG1089">
        <v>0</v>
      </c>
      <c r="AH1089">
        <v>0</v>
      </c>
      <c r="AI1089">
        <v>0</v>
      </c>
      <c r="AJ1089">
        <v>3</v>
      </c>
      <c r="AK1089">
        <v>0</v>
      </c>
      <c r="AL1089">
        <v>0</v>
      </c>
    </row>
    <row r="1090" spans="1:38" x14ac:dyDescent="0.25">
      <c r="A1090" t="s">
        <v>2559</v>
      </c>
      <c r="B1090" t="s">
        <v>2559</v>
      </c>
      <c r="C1090" s="1">
        <v>906</v>
      </c>
      <c r="D1090" s="1" t="s">
        <v>2558</v>
      </c>
      <c r="E1090">
        <v>9</v>
      </c>
      <c r="F1090">
        <v>0.4</v>
      </c>
      <c r="G1090">
        <v>4.0999999999999996</v>
      </c>
      <c r="H1090" t="s">
        <v>40</v>
      </c>
      <c r="J1090" t="s">
        <v>42</v>
      </c>
      <c r="L1090" t="s">
        <v>1115</v>
      </c>
      <c r="M1090" t="s">
        <v>44</v>
      </c>
      <c r="N1090">
        <v>87.5</v>
      </c>
      <c r="O1090">
        <v>12.5</v>
      </c>
      <c r="P1090">
        <v>0</v>
      </c>
      <c r="Q1090">
        <v>20</v>
      </c>
      <c r="R1090" t="s">
        <v>132</v>
      </c>
      <c r="S1090" t="s">
        <v>40</v>
      </c>
      <c r="T1090">
        <v>45</v>
      </c>
      <c r="U1090">
        <v>62</v>
      </c>
      <c r="V1090">
        <v>1059860</v>
      </c>
      <c r="W1090" t="s">
        <v>46</v>
      </c>
      <c r="Z1090">
        <v>40</v>
      </c>
      <c r="AA1090">
        <v>61</v>
      </c>
      <c r="AB1090">
        <v>54</v>
      </c>
      <c r="AC1090">
        <v>45</v>
      </c>
      <c r="AD1090">
        <v>45</v>
      </c>
      <c r="AE1090">
        <v>65</v>
      </c>
      <c r="AF1090">
        <v>310</v>
      </c>
      <c r="AG1090">
        <v>0</v>
      </c>
      <c r="AH1090">
        <v>0</v>
      </c>
      <c r="AI1090">
        <v>0</v>
      </c>
      <c r="AJ1090">
        <v>0</v>
      </c>
      <c r="AK1090">
        <v>0</v>
      </c>
      <c r="AL1090">
        <v>1</v>
      </c>
    </row>
    <row r="1091" spans="1:38" x14ac:dyDescent="0.25">
      <c r="A1091" t="s">
        <v>2561</v>
      </c>
      <c r="B1091" t="s">
        <v>2561</v>
      </c>
      <c r="C1091" s="1">
        <v>907</v>
      </c>
      <c r="D1091" s="1" t="s">
        <v>2560</v>
      </c>
      <c r="E1091">
        <v>9</v>
      </c>
      <c r="F1091">
        <v>0.9</v>
      </c>
      <c r="G1091">
        <v>12.2</v>
      </c>
      <c r="H1091" t="s">
        <v>40</v>
      </c>
      <c r="J1091" t="s">
        <v>42</v>
      </c>
      <c r="L1091" t="s">
        <v>1115</v>
      </c>
      <c r="M1091" t="s">
        <v>44</v>
      </c>
      <c r="N1091">
        <v>87.5</v>
      </c>
      <c r="O1091">
        <v>12.5</v>
      </c>
      <c r="P1091">
        <v>0</v>
      </c>
      <c r="Q1091">
        <v>20</v>
      </c>
      <c r="R1091" t="s">
        <v>132</v>
      </c>
      <c r="S1091" t="s">
        <v>40</v>
      </c>
      <c r="T1091">
        <v>45</v>
      </c>
      <c r="U1091">
        <v>144</v>
      </c>
      <c r="V1091">
        <v>1059860</v>
      </c>
      <c r="W1091" t="s">
        <v>46</v>
      </c>
      <c r="Z1091">
        <v>61</v>
      </c>
      <c r="AA1091">
        <v>80</v>
      </c>
      <c r="AB1091">
        <v>63</v>
      </c>
      <c r="AC1091">
        <v>60</v>
      </c>
      <c r="AD1091">
        <v>63</v>
      </c>
      <c r="AE1091">
        <v>83</v>
      </c>
      <c r="AF1091">
        <v>410</v>
      </c>
      <c r="AG1091">
        <v>0</v>
      </c>
      <c r="AH1091">
        <v>0</v>
      </c>
      <c r="AI1091">
        <v>0</v>
      </c>
      <c r="AJ1091">
        <v>0</v>
      </c>
      <c r="AK1091">
        <v>0</v>
      </c>
      <c r="AL1091">
        <v>2</v>
      </c>
    </row>
    <row r="1092" spans="1:38" x14ac:dyDescent="0.25">
      <c r="A1092" t="s">
        <v>2563</v>
      </c>
      <c r="B1092" t="s">
        <v>2563</v>
      </c>
      <c r="C1092" s="1">
        <v>908</v>
      </c>
      <c r="D1092" s="1" t="s">
        <v>2562</v>
      </c>
      <c r="E1092">
        <v>9</v>
      </c>
      <c r="F1092">
        <v>1.5</v>
      </c>
      <c r="G1092">
        <v>31.2</v>
      </c>
      <c r="H1092" t="s">
        <v>40</v>
      </c>
      <c r="I1092" t="s">
        <v>135</v>
      </c>
      <c r="J1092" t="s">
        <v>42</v>
      </c>
      <c r="L1092" t="s">
        <v>1115</v>
      </c>
      <c r="M1092" t="s">
        <v>44</v>
      </c>
      <c r="N1092">
        <v>87.5</v>
      </c>
      <c r="O1092">
        <v>12.5</v>
      </c>
      <c r="P1092">
        <v>0</v>
      </c>
      <c r="Q1092">
        <v>20</v>
      </c>
      <c r="R1092" t="s">
        <v>132</v>
      </c>
      <c r="S1092" t="s">
        <v>40</v>
      </c>
      <c r="T1092">
        <v>45</v>
      </c>
      <c r="U1092">
        <v>265</v>
      </c>
      <c r="V1092">
        <v>1059860</v>
      </c>
      <c r="W1092" t="s">
        <v>46</v>
      </c>
      <c r="Z1092">
        <v>76</v>
      </c>
      <c r="AA1092">
        <v>110</v>
      </c>
      <c r="AB1092">
        <v>70</v>
      </c>
      <c r="AC1092">
        <v>81</v>
      </c>
      <c r="AD1092">
        <v>70</v>
      </c>
      <c r="AE1092">
        <v>123</v>
      </c>
      <c r="AF1092">
        <v>530</v>
      </c>
      <c r="AG1092">
        <v>0</v>
      </c>
      <c r="AH1092">
        <v>0</v>
      </c>
      <c r="AI1092">
        <v>0</v>
      </c>
      <c r="AJ1092">
        <v>0</v>
      </c>
      <c r="AK1092">
        <v>0</v>
      </c>
      <c r="AL1092">
        <v>3</v>
      </c>
    </row>
    <row r="1093" spans="1:38" x14ac:dyDescent="0.25">
      <c r="A1093" t="s">
        <v>2565</v>
      </c>
      <c r="B1093" t="s">
        <v>2565</v>
      </c>
      <c r="C1093" s="1">
        <v>909</v>
      </c>
      <c r="D1093" s="1" t="s">
        <v>2564</v>
      </c>
      <c r="E1093">
        <v>9</v>
      </c>
      <c r="F1093">
        <v>0.4</v>
      </c>
      <c r="G1093">
        <v>9.8000000000000007</v>
      </c>
      <c r="H1093" t="s">
        <v>57</v>
      </c>
      <c r="J1093" t="s">
        <v>58</v>
      </c>
      <c r="L1093" t="s">
        <v>202</v>
      </c>
      <c r="M1093" t="s">
        <v>60</v>
      </c>
      <c r="N1093">
        <v>87.5</v>
      </c>
      <c r="O1093">
        <v>12.5</v>
      </c>
      <c r="P1093">
        <v>0</v>
      </c>
      <c r="Q1093">
        <v>20</v>
      </c>
      <c r="R1093" t="s">
        <v>132</v>
      </c>
      <c r="T1093">
        <v>45</v>
      </c>
      <c r="U1093">
        <v>62</v>
      </c>
      <c r="V1093">
        <v>1059860</v>
      </c>
      <c r="W1093" t="s">
        <v>46</v>
      </c>
      <c r="Z1093">
        <v>67</v>
      </c>
      <c r="AA1093">
        <v>45</v>
      </c>
      <c r="AB1093">
        <v>59</v>
      </c>
      <c r="AC1093">
        <v>63</v>
      </c>
      <c r="AD1093">
        <v>40</v>
      </c>
      <c r="AE1093">
        <v>36</v>
      </c>
      <c r="AF1093">
        <v>310</v>
      </c>
      <c r="AG1093">
        <v>1</v>
      </c>
      <c r="AH1093">
        <v>0</v>
      </c>
      <c r="AI1093">
        <v>0</v>
      </c>
      <c r="AJ1093">
        <v>0</v>
      </c>
      <c r="AK1093">
        <v>0</v>
      </c>
      <c r="AL1093">
        <v>0</v>
      </c>
    </row>
    <row r="1094" spans="1:38" x14ac:dyDescent="0.25">
      <c r="A1094" t="s">
        <v>2567</v>
      </c>
      <c r="B1094" t="s">
        <v>2567</v>
      </c>
      <c r="C1094" s="1">
        <v>910</v>
      </c>
      <c r="D1094" s="1" t="s">
        <v>2566</v>
      </c>
      <c r="E1094">
        <v>9</v>
      </c>
      <c r="F1094">
        <v>1</v>
      </c>
      <c r="G1094">
        <v>30.7</v>
      </c>
      <c r="H1094" t="s">
        <v>57</v>
      </c>
      <c r="J1094" t="s">
        <v>58</v>
      </c>
      <c r="L1094" t="s">
        <v>202</v>
      </c>
      <c r="M1094" t="s">
        <v>60</v>
      </c>
      <c r="N1094">
        <v>87.5</v>
      </c>
      <c r="O1094">
        <v>12.5</v>
      </c>
      <c r="P1094">
        <v>0</v>
      </c>
      <c r="Q1094">
        <v>20</v>
      </c>
      <c r="R1094" t="s">
        <v>132</v>
      </c>
      <c r="T1094">
        <v>45</v>
      </c>
      <c r="U1094">
        <v>144</v>
      </c>
      <c r="V1094">
        <v>1059860</v>
      </c>
      <c r="W1094" t="s">
        <v>46</v>
      </c>
      <c r="Z1094">
        <v>81</v>
      </c>
      <c r="AA1094">
        <v>55</v>
      </c>
      <c r="AB1094">
        <v>78</v>
      </c>
      <c r="AC1094">
        <v>90</v>
      </c>
      <c r="AD1094">
        <v>58</v>
      </c>
      <c r="AE1094">
        <v>49</v>
      </c>
      <c r="AF1094">
        <v>411</v>
      </c>
      <c r="AG1094">
        <v>0</v>
      </c>
      <c r="AH1094">
        <v>0</v>
      </c>
      <c r="AI1094">
        <v>0</v>
      </c>
      <c r="AJ1094">
        <v>2</v>
      </c>
      <c r="AK1094">
        <v>0</v>
      </c>
      <c r="AL1094">
        <v>0</v>
      </c>
    </row>
    <row r="1095" spans="1:38" x14ac:dyDescent="0.25">
      <c r="A1095" t="s">
        <v>2569</v>
      </c>
      <c r="B1095" t="s">
        <v>2569</v>
      </c>
      <c r="C1095" s="1">
        <v>911</v>
      </c>
      <c r="D1095" s="1" t="s">
        <v>2568</v>
      </c>
      <c r="E1095">
        <v>9</v>
      </c>
      <c r="F1095">
        <v>1.6</v>
      </c>
      <c r="G1095">
        <v>326.5</v>
      </c>
      <c r="H1095" t="s">
        <v>57</v>
      </c>
      <c r="I1095" t="s">
        <v>419</v>
      </c>
      <c r="J1095" t="s">
        <v>58</v>
      </c>
      <c r="L1095" t="s">
        <v>202</v>
      </c>
      <c r="M1095" t="s">
        <v>60</v>
      </c>
      <c r="N1095">
        <v>87.5</v>
      </c>
      <c r="O1095">
        <v>12.5</v>
      </c>
      <c r="P1095">
        <v>0</v>
      </c>
      <c r="Q1095">
        <v>20</v>
      </c>
      <c r="R1095" t="s">
        <v>132</v>
      </c>
      <c r="T1095">
        <v>45</v>
      </c>
      <c r="U1095">
        <v>265</v>
      </c>
      <c r="V1095">
        <v>1059860</v>
      </c>
      <c r="W1095" t="s">
        <v>46</v>
      </c>
      <c r="Z1095">
        <v>104</v>
      </c>
      <c r="AA1095">
        <v>75</v>
      </c>
      <c r="AB1095">
        <v>100</v>
      </c>
      <c r="AC1095">
        <v>110</v>
      </c>
      <c r="AD1095">
        <v>75</v>
      </c>
      <c r="AE1095">
        <v>66</v>
      </c>
      <c r="AF1095">
        <v>530</v>
      </c>
      <c r="AG1095">
        <v>0</v>
      </c>
      <c r="AH1095">
        <v>0</v>
      </c>
      <c r="AI1095">
        <v>0</v>
      </c>
      <c r="AJ1095">
        <v>3</v>
      </c>
      <c r="AK1095">
        <v>0</v>
      </c>
      <c r="AL1095">
        <v>0</v>
      </c>
    </row>
    <row r="1096" spans="1:38" x14ac:dyDescent="0.25">
      <c r="A1096" t="s">
        <v>2571</v>
      </c>
      <c r="B1096" t="s">
        <v>2571</v>
      </c>
      <c r="C1096" s="1">
        <v>912</v>
      </c>
      <c r="D1096" s="1" t="s">
        <v>2570</v>
      </c>
      <c r="E1096">
        <v>9</v>
      </c>
      <c r="F1096">
        <v>0.5</v>
      </c>
      <c r="G1096">
        <v>6.1</v>
      </c>
      <c r="H1096" t="s">
        <v>76</v>
      </c>
      <c r="J1096" t="s">
        <v>77</v>
      </c>
      <c r="L1096" t="s">
        <v>533</v>
      </c>
      <c r="M1096" t="s">
        <v>79</v>
      </c>
      <c r="N1096">
        <v>87.5</v>
      </c>
      <c r="O1096">
        <v>12.5</v>
      </c>
      <c r="P1096">
        <v>0</v>
      </c>
      <c r="Q1096">
        <v>20</v>
      </c>
      <c r="R1096" t="s">
        <v>66</v>
      </c>
      <c r="S1096" t="s">
        <v>80</v>
      </c>
      <c r="T1096">
        <v>45</v>
      </c>
      <c r="U1096">
        <v>62</v>
      </c>
      <c r="V1096">
        <v>1059860</v>
      </c>
      <c r="W1096" t="s">
        <v>46</v>
      </c>
      <c r="Z1096">
        <v>55</v>
      </c>
      <c r="AA1096">
        <v>65</v>
      </c>
      <c r="AB1096">
        <v>45</v>
      </c>
      <c r="AC1096">
        <v>50</v>
      </c>
      <c r="AD1096">
        <v>45</v>
      </c>
      <c r="AE1096">
        <v>50</v>
      </c>
      <c r="AF1096">
        <v>310</v>
      </c>
      <c r="AG1096">
        <v>0</v>
      </c>
      <c r="AH1096">
        <v>1</v>
      </c>
      <c r="AI1096">
        <v>0</v>
      </c>
      <c r="AJ1096">
        <v>0</v>
      </c>
      <c r="AK1096">
        <v>0</v>
      </c>
      <c r="AL1096">
        <v>0</v>
      </c>
    </row>
    <row r="1097" spans="1:38" x14ac:dyDescent="0.25">
      <c r="A1097" t="s">
        <v>2573</v>
      </c>
      <c r="B1097" t="s">
        <v>2573</v>
      </c>
      <c r="C1097" s="1">
        <v>913</v>
      </c>
      <c r="D1097" s="1" t="s">
        <v>2572</v>
      </c>
      <c r="E1097">
        <v>9</v>
      </c>
      <c r="F1097">
        <v>1.2</v>
      </c>
      <c r="G1097">
        <v>21.5</v>
      </c>
      <c r="H1097" t="s">
        <v>76</v>
      </c>
      <c r="J1097" t="s">
        <v>77</v>
      </c>
      <c r="L1097" t="s">
        <v>533</v>
      </c>
      <c r="M1097" t="s">
        <v>79</v>
      </c>
      <c r="N1097">
        <v>87.5</v>
      </c>
      <c r="O1097">
        <v>12.5</v>
      </c>
      <c r="P1097">
        <v>0</v>
      </c>
      <c r="Q1097">
        <v>20</v>
      </c>
      <c r="R1097" t="s">
        <v>66</v>
      </c>
      <c r="S1097" t="s">
        <v>80</v>
      </c>
      <c r="T1097">
        <v>45</v>
      </c>
      <c r="U1097">
        <v>144</v>
      </c>
      <c r="V1097">
        <v>1059860</v>
      </c>
      <c r="W1097" t="s">
        <v>46</v>
      </c>
      <c r="Z1097">
        <v>70</v>
      </c>
      <c r="AA1097">
        <v>85</v>
      </c>
      <c r="AB1097">
        <v>65</v>
      </c>
      <c r="AC1097">
        <v>65</v>
      </c>
      <c r="AD1097">
        <v>60</v>
      </c>
      <c r="AE1097">
        <v>65</v>
      </c>
      <c r="AF1097">
        <v>410</v>
      </c>
      <c r="AG1097">
        <v>0</v>
      </c>
      <c r="AH1097">
        <v>2</v>
      </c>
      <c r="AI1097">
        <v>0</v>
      </c>
      <c r="AJ1097">
        <v>0</v>
      </c>
      <c r="AK1097">
        <v>0</v>
      </c>
      <c r="AL1097">
        <v>0</v>
      </c>
    </row>
    <row r="1098" spans="1:38" x14ac:dyDescent="0.25">
      <c r="A1098" t="s">
        <v>2575</v>
      </c>
      <c r="B1098" t="s">
        <v>2575</v>
      </c>
      <c r="C1098" s="1">
        <v>914</v>
      </c>
      <c r="D1098" s="1" t="s">
        <v>2574</v>
      </c>
      <c r="E1098">
        <v>9</v>
      </c>
      <c r="F1098">
        <v>1.8</v>
      </c>
      <c r="G1098">
        <v>61.9</v>
      </c>
      <c r="H1098" t="s">
        <v>76</v>
      </c>
      <c r="I1098" t="s">
        <v>279</v>
      </c>
      <c r="J1098" t="s">
        <v>77</v>
      </c>
      <c r="L1098" t="s">
        <v>533</v>
      </c>
      <c r="M1098" t="s">
        <v>79</v>
      </c>
      <c r="N1098">
        <v>87.5</v>
      </c>
      <c r="O1098">
        <v>12.5</v>
      </c>
      <c r="P1098">
        <v>0</v>
      </c>
      <c r="Q1098">
        <v>20</v>
      </c>
      <c r="R1098" t="s">
        <v>66</v>
      </c>
      <c r="S1098" t="s">
        <v>80</v>
      </c>
      <c r="T1098">
        <v>45</v>
      </c>
      <c r="U1098">
        <v>265</v>
      </c>
      <c r="V1098">
        <v>1059860</v>
      </c>
      <c r="W1098" t="s">
        <v>46</v>
      </c>
      <c r="Z1098">
        <v>85</v>
      </c>
      <c r="AA1098">
        <v>120</v>
      </c>
      <c r="AB1098">
        <v>80</v>
      </c>
      <c r="AC1098">
        <v>85</v>
      </c>
      <c r="AD1098">
        <v>75</v>
      </c>
      <c r="AE1098">
        <v>85</v>
      </c>
      <c r="AF1098">
        <v>530</v>
      </c>
      <c r="AG1098">
        <v>0</v>
      </c>
      <c r="AH1098">
        <v>3</v>
      </c>
      <c r="AI1098">
        <v>0</v>
      </c>
      <c r="AJ1098">
        <v>0</v>
      </c>
      <c r="AK1098">
        <v>0</v>
      </c>
      <c r="AL1098">
        <v>0</v>
      </c>
    </row>
    <row r="1099" spans="1:38" x14ac:dyDescent="0.25">
      <c r="A1099" t="s">
        <v>2577</v>
      </c>
      <c r="B1099" t="s">
        <v>2577</v>
      </c>
      <c r="C1099" s="1">
        <v>915</v>
      </c>
      <c r="D1099" s="1" t="s">
        <v>2576</v>
      </c>
      <c r="E1099">
        <v>9</v>
      </c>
      <c r="F1099">
        <v>0.5</v>
      </c>
      <c r="G1099">
        <v>10.199999999999999</v>
      </c>
      <c r="H1099" t="s">
        <v>116</v>
      </c>
      <c r="J1099" t="s">
        <v>1946</v>
      </c>
      <c r="K1099" t="s">
        <v>136</v>
      </c>
      <c r="L1099" t="s">
        <v>53</v>
      </c>
      <c r="M1099" t="s">
        <v>318</v>
      </c>
      <c r="N1099">
        <v>50</v>
      </c>
      <c r="O1099">
        <v>50</v>
      </c>
      <c r="P1099">
        <v>0</v>
      </c>
      <c r="Q1099">
        <v>15</v>
      </c>
      <c r="R1099" t="s">
        <v>132</v>
      </c>
      <c r="T1099">
        <v>255</v>
      </c>
      <c r="U1099">
        <v>51</v>
      </c>
      <c r="V1099">
        <v>1000000</v>
      </c>
      <c r="W1099" t="s">
        <v>46</v>
      </c>
      <c r="Z1099">
        <v>54</v>
      </c>
      <c r="AA1099">
        <v>45</v>
      </c>
      <c r="AB1099">
        <v>40</v>
      </c>
      <c r="AC1099">
        <v>35</v>
      </c>
      <c r="AD1099">
        <v>45</v>
      </c>
      <c r="AE1099">
        <v>35</v>
      </c>
      <c r="AF1099">
        <v>254</v>
      </c>
      <c r="AG1099">
        <v>1</v>
      </c>
      <c r="AH1099">
        <v>0</v>
      </c>
      <c r="AI1099">
        <v>0</v>
      </c>
      <c r="AJ1099">
        <v>0</v>
      </c>
      <c r="AK1099">
        <v>0</v>
      </c>
      <c r="AL1099">
        <v>0</v>
      </c>
    </row>
    <row r="1100" spans="1:38" x14ac:dyDescent="0.25">
      <c r="A1100" t="s">
        <v>2579</v>
      </c>
      <c r="B1100" t="s">
        <v>2579</v>
      </c>
      <c r="C1100" s="1">
        <v>916</v>
      </c>
      <c r="D1100" s="1" t="s">
        <v>2578</v>
      </c>
      <c r="E1100">
        <v>9</v>
      </c>
      <c r="F1100">
        <v>1</v>
      </c>
      <c r="G1100">
        <v>120</v>
      </c>
      <c r="H1100" t="s">
        <v>116</v>
      </c>
      <c r="J1100" t="s">
        <v>2580</v>
      </c>
      <c r="K1100" t="s">
        <v>136</v>
      </c>
      <c r="L1100" t="s">
        <v>53</v>
      </c>
      <c r="M1100" t="s">
        <v>318</v>
      </c>
      <c r="N1100">
        <v>100</v>
      </c>
      <c r="O1100">
        <v>0</v>
      </c>
      <c r="P1100">
        <v>0</v>
      </c>
      <c r="Q1100">
        <v>15</v>
      </c>
      <c r="R1100" t="s">
        <v>132</v>
      </c>
      <c r="T1100">
        <v>100</v>
      </c>
      <c r="U1100">
        <v>171</v>
      </c>
      <c r="V1100">
        <v>1000000</v>
      </c>
      <c r="W1100" t="s">
        <v>46</v>
      </c>
      <c r="Z1100">
        <v>110</v>
      </c>
      <c r="AA1100">
        <v>100</v>
      </c>
      <c r="AB1100">
        <v>75</v>
      </c>
      <c r="AC1100">
        <v>59</v>
      </c>
      <c r="AD1100">
        <v>80</v>
      </c>
      <c r="AE1100">
        <v>65</v>
      </c>
      <c r="AF1100">
        <v>489</v>
      </c>
      <c r="AG1100">
        <v>2</v>
      </c>
      <c r="AH1100">
        <v>0</v>
      </c>
      <c r="AI1100">
        <v>0</v>
      </c>
      <c r="AJ1100">
        <v>0</v>
      </c>
      <c r="AK1100">
        <v>0</v>
      </c>
      <c r="AL1100">
        <v>0</v>
      </c>
    </row>
    <row r="1101" spans="1:38" x14ac:dyDescent="0.25">
      <c r="A1101" t="s">
        <v>2579</v>
      </c>
      <c r="B1101" t="s">
        <v>2579</v>
      </c>
      <c r="C1101" s="1">
        <v>916</v>
      </c>
      <c r="D1101" s="1" t="s">
        <v>2581</v>
      </c>
      <c r="E1101">
        <v>9</v>
      </c>
      <c r="F1101">
        <v>1</v>
      </c>
      <c r="G1101">
        <v>120</v>
      </c>
      <c r="H1101" t="s">
        <v>116</v>
      </c>
      <c r="J1101" t="s">
        <v>1946</v>
      </c>
      <c r="K1101" t="s">
        <v>136</v>
      </c>
      <c r="L1101" t="s">
        <v>53</v>
      </c>
      <c r="M1101" t="s">
        <v>103</v>
      </c>
      <c r="N1101">
        <v>0</v>
      </c>
      <c r="O1101">
        <v>100</v>
      </c>
      <c r="P1101">
        <v>0</v>
      </c>
      <c r="Q1101">
        <v>15</v>
      </c>
      <c r="R1101" t="s">
        <v>132</v>
      </c>
      <c r="T1101">
        <v>100</v>
      </c>
      <c r="U1101">
        <v>171</v>
      </c>
      <c r="V1101">
        <v>1000000</v>
      </c>
      <c r="W1101" t="s">
        <v>46</v>
      </c>
      <c r="Z1101">
        <v>115</v>
      </c>
      <c r="AA1101">
        <v>90</v>
      </c>
      <c r="AB1101">
        <v>70</v>
      </c>
      <c r="AC1101">
        <v>59</v>
      </c>
      <c r="AD1101">
        <v>90</v>
      </c>
      <c r="AE1101">
        <v>65</v>
      </c>
      <c r="AF1101">
        <v>489</v>
      </c>
      <c r="AG1101">
        <v>2</v>
      </c>
      <c r="AH1101">
        <v>0</v>
      </c>
      <c r="AI1101">
        <v>0</v>
      </c>
      <c r="AJ1101">
        <v>0</v>
      </c>
      <c r="AK1101">
        <v>0</v>
      </c>
      <c r="AL1101">
        <v>0</v>
      </c>
    </row>
    <row r="1102" spans="1:38" x14ac:dyDescent="0.25">
      <c r="A1102" t="s">
        <v>2583</v>
      </c>
      <c r="B1102" t="s">
        <v>2583</v>
      </c>
      <c r="C1102" s="1">
        <v>917</v>
      </c>
      <c r="D1102" s="1" t="s">
        <v>2582</v>
      </c>
      <c r="E1102">
        <v>9</v>
      </c>
      <c r="F1102">
        <v>0.3</v>
      </c>
      <c r="G1102">
        <v>4</v>
      </c>
      <c r="H1102" t="s">
        <v>90</v>
      </c>
      <c r="J1102" t="s">
        <v>434</v>
      </c>
      <c r="L1102" t="s">
        <v>2091</v>
      </c>
      <c r="M1102" t="s">
        <v>100</v>
      </c>
      <c r="N1102">
        <v>50</v>
      </c>
      <c r="O1102">
        <v>50</v>
      </c>
      <c r="P1102">
        <v>0</v>
      </c>
      <c r="Q1102">
        <v>15</v>
      </c>
      <c r="R1102" t="s">
        <v>90</v>
      </c>
      <c r="T1102">
        <v>255</v>
      </c>
      <c r="U1102">
        <v>42</v>
      </c>
      <c r="V1102">
        <v>600000</v>
      </c>
      <c r="W1102" t="s">
        <v>46</v>
      </c>
      <c r="Z1102">
        <v>35</v>
      </c>
      <c r="AA1102">
        <v>41</v>
      </c>
      <c r="AB1102">
        <v>45</v>
      </c>
      <c r="AC1102">
        <v>29</v>
      </c>
      <c r="AD1102">
        <v>40</v>
      </c>
      <c r="AE1102">
        <v>20</v>
      </c>
      <c r="AF1102">
        <v>210</v>
      </c>
      <c r="AG1102">
        <v>0</v>
      </c>
      <c r="AH1102">
        <v>0</v>
      </c>
      <c r="AI1102">
        <v>1</v>
      </c>
      <c r="AJ1102">
        <v>0</v>
      </c>
      <c r="AK1102">
        <v>0</v>
      </c>
      <c r="AL1102">
        <v>0</v>
      </c>
    </row>
    <row r="1103" spans="1:38" x14ac:dyDescent="0.25">
      <c r="A1103" t="s">
        <v>2585</v>
      </c>
      <c r="B1103" t="s">
        <v>2585</v>
      </c>
      <c r="C1103" s="1">
        <v>918</v>
      </c>
      <c r="D1103" s="1" t="s">
        <v>2584</v>
      </c>
      <c r="E1103">
        <v>9</v>
      </c>
      <c r="F1103">
        <v>1</v>
      </c>
      <c r="G1103">
        <v>16.5</v>
      </c>
      <c r="H1103" t="s">
        <v>90</v>
      </c>
      <c r="J1103" t="s">
        <v>434</v>
      </c>
      <c r="L1103" t="s">
        <v>2091</v>
      </c>
      <c r="M1103" t="s">
        <v>44</v>
      </c>
      <c r="N1103">
        <v>50</v>
      </c>
      <c r="O1103">
        <v>50</v>
      </c>
      <c r="P1103">
        <v>0</v>
      </c>
      <c r="Q1103">
        <v>15</v>
      </c>
      <c r="R1103" t="s">
        <v>90</v>
      </c>
      <c r="T1103">
        <v>120</v>
      </c>
      <c r="U1103">
        <v>141</v>
      </c>
      <c r="V1103">
        <v>600000</v>
      </c>
      <c r="W1103" t="s">
        <v>46</v>
      </c>
      <c r="Z1103">
        <v>60</v>
      </c>
      <c r="AA1103">
        <v>79</v>
      </c>
      <c r="AB1103">
        <v>92</v>
      </c>
      <c r="AC1103">
        <v>52</v>
      </c>
      <c r="AD1103">
        <v>86</v>
      </c>
      <c r="AE1103">
        <v>35</v>
      </c>
      <c r="AF1103">
        <v>404</v>
      </c>
      <c r="AG1103">
        <v>0</v>
      </c>
      <c r="AH1103">
        <v>0</v>
      </c>
      <c r="AI1103">
        <v>2</v>
      </c>
      <c r="AJ1103">
        <v>0</v>
      </c>
      <c r="AK1103">
        <v>0</v>
      </c>
      <c r="AL1103">
        <v>0</v>
      </c>
    </row>
    <row r="1104" spans="1:38" x14ac:dyDescent="0.25">
      <c r="A1104" t="s">
        <v>2587</v>
      </c>
      <c r="B1104" t="s">
        <v>2587</v>
      </c>
      <c r="C1104" s="1">
        <v>919</v>
      </c>
      <c r="D1104" s="1" t="s">
        <v>2586</v>
      </c>
      <c r="E1104">
        <v>9</v>
      </c>
      <c r="F1104">
        <v>0.2</v>
      </c>
      <c r="G1104">
        <v>1</v>
      </c>
      <c r="H1104" t="s">
        <v>90</v>
      </c>
      <c r="J1104" t="s">
        <v>109</v>
      </c>
      <c r="L1104" t="s">
        <v>99</v>
      </c>
      <c r="M1104" t="s">
        <v>318</v>
      </c>
      <c r="N1104">
        <v>50</v>
      </c>
      <c r="O1104">
        <v>50</v>
      </c>
      <c r="P1104">
        <v>0</v>
      </c>
      <c r="Q1104">
        <v>20</v>
      </c>
      <c r="R1104" t="s">
        <v>90</v>
      </c>
      <c r="T1104">
        <v>190</v>
      </c>
      <c r="U1104">
        <v>42</v>
      </c>
      <c r="V1104">
        <v>1000000</v>
      </c>
      <c r="W1104" t="s">
        <v>46</v>
      </c>
      <c r="Z1104">
        <v>33</v>
      </c>
      <c r="AA1104">
        <v>46</v>
      </c>
      <c r="AB1104">
        <v>40</v>
      </c>
      <c r="AC1104">
        <v>21</v>
      </c>
      <c r="AD1104">
        <v>25</v>
      </c>
      <c r="AE1104">
        <v>45</v>
      </c>
      <c r="AF1104">
        <v>210</v>
      </c>
      <c r="AG1104">
        <v>0</v>
      </c>
      <c r="AH1104">
        <v>1</v>
      </c>
      <c r="AI1104">
        <v>0</v>
      </c>
      <c r="AJ1104">
        <v>0</v>
      </c>
      <c r="AK1104">
        <v>0</v>
      </c>
      <c r="AL1104">
        <v>0</v>
      </c>
    </row>
    <row r="1105" spans="1:38" x14ac:dyDescent="0.25">
      <c r="A1105" t="s">
        <v>2589</v>
      </c>
      <c r="B1105" t="s">
        <v>2589</v>
      </c>
      <c r="C1105" s="1">
        <v>920</v>
      </c>
      <c r="D1105" s="1" t="s">
        <v>2588</v>
      </c>
      <c r="E1105">
        <v>9</v>
      </c>
      <c r="F1105">
        <v>1</v>
      </c>
      <c r="G1105">
        <v>17.5</v>
      </c>
      <c r="H1105" t="s">
        <v>90</v>
      </c>
      <c r="I1105" t="s">
        <v>135</v>
      </c>
      <c r="J1105" t="s">
        <v>109</v>
      </c>
      <c r="L1105" t="s">
        <v>99</v>
      </c>
      <c r="M1105" t="s">
        <v>318</v>
      </c>
      <c r="N1105">
        <v>50</v>
      </c>
      <c r="O1105">
        <v>50</v>
      </c>
      <c r="P1105">
        <v>0</v>
      </c>
      <c r="Q1105">
        <v>20</v>
      </c>
      <c r="R1105" t="s">
        <v>90</v>
      </c>
      <c r="T1105">
        <v>30</v>
      </c>
      <c r="U1105">
        <v>158</v>
      </c>
      <c r="V1105">
        <v>1000000</v>
      </c>
      <c r="W1105" t="s">
        <v>46</v>
      </c>
      <c r="Z1105">
        <v>71</v>
      </c>
      <c r="AA1105">
        <v>102</v>
      </c>
      <c r="AB1105">
        <v>78</v>
      </c>
      <c r="AC1105">
        <v>52</v>
      </c>
      <c r="AD1105">
        <v>55</v>
      </c>
      <c r="AE1105">
        <v>92</v>
      </c>
      <c r="AF1105">
        <v>450</v>
      </c>
      <c r="AG1105">
        <v>0</v>
      </c>
      <c r="AH1105">
        <v>2</v>
      </c>
      <c r="AI1105">
        <v>0</v>
      </c>
      <c r="AJ1105">
        <v>0</v>
      </c>
      <c r="AK1105">
        <v>0</v>
      </c>
      <c r="AL1105">
        <v>0</v>
      </c>
    </row>
    <row r="1106" spans="1:38" x14ac:dyDescent="0.25">
      <c r="A1106" t="s">
        <v>2591</v>
      </c>
      <c r="B1106" t="s">
        <v>2591</v>
      </c>
      <c r="C1106" s="1">
        <v>921</v>
      </c>
      <c r="D1106" s="1" t="s">
        <v>2590</v>
      </c>
      <c r="E1106">
        <v>9</v>
      </c>
      <c r="F1106">
        <v>0.3</v>
      </c>
      <c r="G1106">
        <v>2.5</v>
      </c>
      <c r="H1106" t="s">
        <v>154</v>
      </c>
      <c r="J1106" t="s">
        <v>155</v>
      </c>
      <c r="K1106" t="s">
        <v>490</v>
      </c>
      <c r="L1106" t="s">
        <v>473</v>
      </c>
      <c r="M1106" t="s">
        <v>106</v>
      </c>
      <c r="N1106">
        <v>50</v>
      </c>
      <c r="O1106">
        <v>50</v>
      </c>
      <c r="P1106">
        <v>0</v>
      </c>
      <c r="Q1106">
        <v>15</v>
      </c>
      <c r="R1106" t="s">
        <v>132</v>
      </c>
      <c r="T1106">
        <v>190</v>
      </c>
      <c r="U1106">
        <v>48</v>
      </c>
      <c r="V1106">
        <v>1000000</v>
      </c>
      <c r="W1106" t="s">
        <v>46</v>
      </c>
      <c r="Z1106">
        <v>45</v>
      </c>
      <c r="AA1106">
        <v>50</v>
      </c>
      <c r="AB1106">
        <v>20</v>
      </c>
      <c r="AC1106">
        <v>40</v>
      </c>
      <c r="AD1106">
        <v>25</v>
      </c>
      <c r="AE1106">
        <v>60</v>
      </c>
      <c r="AF1106">
        <v>240</v>
      </c>
      <c r="AG1106">
        <v>0</v>
      </c>
      <c r="AH1106">
        <v>0</v>
      </c>
      <c r="AI1106">
        <v>0</v>
      </c>
      <c r="AJ1106">
        <v>0</v>
      </c>
      <c r="AK1106">
        <v>0</v>
      </c>
      <c r="AL1106">
        <v>1</v>
      </c>
    </row>
    <row r="1107" spans="1:38" x14ac:dyDescent="0.25">
      <c r="A1107" t="s">
        <v>2593</v>
      </c>
      <c r="B1107" t="s">
        <v>2593</v>
      </c>
      <c r="C1107" s="1">
        <v>922</v>
      </c>
      <c r="D1107" s="1" t="s">
        <v>2592</v>
      </c>
      <c r="E1107">
        <v>9</v>
      </c>
      <c r="F1107">
        <v>0.4</v>
      </c>
      <c r="G1107">
        <v>6.5</v>
      </c>
      <c r="H1107" t="s">
        <v>154</v>
      </c>
      <c r="I1107" t="s">
        <v>279</v>
      </c>
      <c r="J1107" t="s">
        <v>564</v>
      </c>
      <c r="K1107" t="s">
        <v>490</v>
      </c>
      <c r="L1107" t="s">
        <v>473</v>
      </c>
      <c r="M1107" t="s">
        <v>106</v>
      </c>
      <c r="N1107">
        <v>50</v>
      </c>
      <c r="O1107">
        <v>50</v>
      </c>
      <c r="P1107">
        <v>0</v>
      </c>
      <c r="Q1107">
        <v>15</v>
      </c>
      <c r="R1107" t="s">
        <v>132</v>
      </c>
      <c r="T1107">
        <v>80</v>
      </c>
      <c r="U1107">
        <v>123</v>
      </c>
      <c r="V1107">
        <v>1000000</v>
      </c>
      <c r="W1107" t="s">
        <v>46</v>
      </c>
      <c r="Z1107">
        <v>60</v>
      </c>
      <c r="AA1107">
        <v>75</v>
      </c>
      <c r="AB1107">
        <v>40</v>
      </c>
      <c r="AC1107">
        <v>50</v>
      </c>
      <c r="AD1107">
        <v>40</v>
      </c>
      <c r="AE1107">
        <v>85</v>
      </c>
      <c r="AF1107">
        <v>350</v>
      </c>
      <c r="AG1107">
        <v>0</v>
      </c>
      <c r="AH1107">
        <v>0</v>
      </c>
      <c r="AI1107">
        <v>0</v>
      </c>
      <c r="AJ1107">
        <v>0</v>
      </c>
      <c r="AK1107">
        <v>0</v>
      </c>
      <c r="AL1107">
        <v>2</v>
      </c>
    </row>
    <row r="1108" spans="1:38" x14ac:dyDescent="0.25">
      <c r="A1108" t="s">
        <v>2595</v>
      </c>
      <c r="B1108" t="s">
        <v>2595</v>
      </c>
      <c r="C1108" s="1">
        <v>923</v>
      </c>
      <c r="D1108" s="1" t="s">
        <v>2594</v>
      </c>
      <c r="E1108">
        <v>9</v>
      </c>
      <c r="F1108">
        <v>0.9</v>
      </c>
      <c r="G1108">
        <v>41</v>
      </c>
      <c r="H1108" t="s">
        <v>154</v>
      </c>
      <c r="I1108" t="s">
        <v>279</v>
      </c>
      <c r="J1108" t="s">
        <v>564</v>
      </c>
      <c r="K1108" t="s">
        <v>490</v>
      </c>
      <c r="L1108" t="s">
        <v>473</v>
      </c>
      <c r="M1108" t="s">
        <v>106</v>
      </c>
      <c r="N1108">
        <v>50</v>
      </c>
      <c r="O1108">
        <v>50</v>
      </c>
      <c r="P1108">
        <v>0</v>
      </c>
      <c r="Q1108">
        <v>15</v>
      </c>
      <c r="R1108" t="s">
        <v>132</v>
      </c>
      <c r="T1108">
        <v>45</v>
      </c>
      <c r="U1108">
        <v>245</v>
      </c>
      <c r="V1108">
        <v>1000000</v>
      </c>
      <c r="W1108" t="s">
        <v>46</v>
      </c>
      <c r="Z1108">
        <v>70</v>
      </c>
      <c r="AA1108">
        <v>115</v>
      </c>
      <c r="AB1108">
        <v>70</v>
      </c>
      <c r="AC1108">
        <v>70</v>
      </c>
      <c r="AD1108">
        <v>60</v>
      </c>
      <c r="AE1108">
        <v>105</v>
      </c>
      <c r="AF1108">
        <v>490</v>
      </c>
      <c r="AG1108">
        <v>0</v>
      </c>
      <c r="AH1108">
        <v>3</v>
      </c>
      <c r="AI1108">
        <v>0</v>
      </c>
      <c r="AJ1108">
        <v>0</v>
      </c>
      <c r="AK1108">
        <v>0</v>
      </c>
      <c r="AL1108">
        <v>0</v>
      </c>
    </row>
    <row r="1109" spans="1:38" x14ac:dyDescent="0.25">
      <c r="A1109" t="s">
        <v>2597</v>
      </c>
      <c r="B1109" t="s">
        <v>2597</v>
      </c>
      <c r="C1109" s="1">
        <v>924</v>
      </c>
      <c r="D1109" s="1" t="s">
        <v>2596</v>
      </c>
      <c r="E1109">
        <v>9</v>
      </c>
      <c r="F1109">
        <v>0.3</v>
      </c>
      <c r="G1109">
        <v>1.8</v>
      </c>
      <c r="H1109" t="s">
        <v>116</v>
      </c>
      <c r="J1109" t="s">
        <v>92</v>
      </c>
      <c r="K1109" t="s">
        <v>257</v>
      </c>
      <c r="L1109" t="s">
        <v>366</v>
      </c>
      <c r="M1109" t="s">
        <v>100</v>
      </c>
      <c r="N1109">
        <v>0</v>
      </c>
      <c r="O1109">
        <v>0</v>
      </c>
      <c r="P1109">
        <v>100</v>
      </c>
      <c r="Q1109">
        <v>10</v>
      </c>
      <c r="R1109" t="s">
        <v>132</v>
      </c>
      <c r="S1109" t="s">
        <v>157</v>
      </c>
      <c r="T1109">
        <v>150</v>
      </c>
      <c r="U1109">
        <v>61</v>
      </c>
      <c r="V1109">
        <v>800000</v>
      </c>
      <c r="W1109" t="s">
        <v>46</v>
      </c>
      <c r="Z1109">
        <v>50</v>
      </c>
      <c r="AA1109">
        <v>50</v>
      </c>
      <c r="AB1109">
        <v>45</v>
      </c>
      <c r="AC1109">
        <v>40</v>
      </c>
      <c r="AD1109">
        <v>45</v>
      </c>
      <c r="AE1109">
        <v>75</v>
      </c>
      <c r="AF1109">
        <v>305</v>
      </c>
      <c r="AG1109">
        <v>0</v>
      </c>
      <c r="AH1109">
        <v>0</v>
      </c>
      <c r="AI1109">
        <v>0</v>
      </c>
      <c r="AJ1109">
        <v>0</v>
      </c>
      <c r="AK1109">
        <v>0</v>
      </c>
      <c r="AL1109">
        <v>1</v>
      </c>
    </row>
    <row r="1110" spans="1:38" x14ac:dyDescent="0.25">
      <c r="A1110" t="s">
        <v>2599</v>
      </c>
      <c r="B1110" t="s">
        <v>2600</v>
      </c>
      <c r="C1110" s="1">
        <v>925</v>
      </c>
      <c r="D1110" s="1" t="s">
        <v>2598</v>
      </c>
      <c r="E1110">
        <v>9</v>
      </c>
      <c r="F1110">
        <v>0.3</v>
      </c>
      <c r="G1110">
        <v>2.2999999999999998</v>
      </c>
      <c r="H1110" t="s">
        <v>116</v>
      </c>
      <c r="J1110" t="s">
        <v>198</v>
      </c>
      <c r="K1110" t="s">
        <v>1888</v>
      </c>
      <c r="L1110" t="s">
        <v>258</v>
      </c>
      <c r="M1110" t="s">
        <v>100</v>
      </c>
      <c r="N1110">
        <v>0</v>
      </c>
      <c r="O1110">
        <v>0</v>
      </c>
      <c r="P1110">
        <v>100</v>
      </c>
      <c r="Q1110">
        <v>10</v>
      </c>
      <c r="R1110" t="s">
        <v>132</v>
      </c>
      <c r="S1110" t="s">
        <v>157</v>
      </c>
      <c r="T1110">
        <v>75</v>
      </c>
      <c r="U1110">
        <v>165</v>
      </c>
      <c r="V1110">
        <v>800000</v>
      </c>
      <c r="W1110" t="s">
        <v>46</v>
      </c>
      <c r="Z1110">
        <v>74</v>
      </c>
      <c r="AA1110">
        <v>75</v>
      </c>
      <c r="AB1110">
        <v>70</v>
      </c>
      <c r="AC1110">
        <v>65</v>
      </c>
      <c r="AD1110">
        <v>75</v>
      </c>
      <c r="AE1110">
        <v>111</v>
      </c>
      <c r="AF1110">
        <v>470</v>
      </c>
      <c r="AG1110">
        <v>0</v>
      </c>
      <c r="AH1110">
        <v>0</v>
      </c>
      <c r="AI1110">
        <v>0</v>
      </c>
      <c r="AJ1110">
        <v>0</v>
      </c>
      <c r="AK1110">
        <v>0</v>
      </c>
      <c r="AL1110">
        <v>2</v>
      </c>
    </row>
    <row r="1111" spans="1:38" x14ac:dyDescent="0.25">
      <c r="A1111" t="s">
        <v>2599</v>
      </c>
      <c r="B1111" t="s">
        <v>2602</v>
      </c>
      <c r="C1111" s="1">
        <v>925</v>
      </c>
      <c r="D1111" s="1" t="s">
        <v>2601</v>
      </c>
      <c r="E1111">
        <v>9</v>
      </c>
      <c r="F1111">
        <v>0.3</v>
      </c>
      <c r="G1111">
        <v>2.8</v>
      </c>
      <c r="H1111" t="s">
        <v>116</v>
      </c>
      <c r="J1111" t="s">
        <v>198</v>
      </c>
      <c r="K1111" t="s">
        <v>1888</v>
      </c>
      <c r="L1111" t="s">
        <v>258</v>
      </c>
      <c r="M1111" t="s">
        <v>100</v>
      </c>
      <c r="N1111">
        <v>0</v>
      </c>
      <c r="O1111">
        <v>0</v>
      </c>
      <c r="P1111">
        <v>100</v>
      </c>
      <c r="Q1111">
        <v>10</v>
      </c>
      <c r="R1111" t="s">
        <v>132</v>
      </c>
      <c r="S1111" t="s">
        <v>157</v>
      </c>
      <c r="T1111">
        <v>75</v>
      </c>
      <c r="U1111">
        <v>165</v>
      </c>
      <c r="V1111">
        <v>800000</v>
      </c>
      <c r="W1111" t="s">
        <v>46</v>
      </c>
      <c r="Z1111">
        <v>74</v>
      </c>
      <c r="AA1111">
        <v>75</v>
      </c>
      <c r="AB1111">
        <v>70</v>
      </c>
      <c r="AC1111">
        <v>65</v>
      </c>
      <c r="AD1111">
        <v>75</v>
      </c>
      <c r="AE1111">
        <v>111</v>
      </c>
      <c r="AF1111">
        <v>470</v>
      </c>
      <c r="AG1111">
        <v>0</v>
      </c>
      <c r="AH1111">
        <v>0</v>
      </c>
      <c r="AI1111">
        <v>0</v>
      </c>
      <c r="AJ1111">
        <v>0</v>
      </c>
      <c r="AK1111">
        <v>0</v>
      </c>
      <c r="AL1111">
        <v>2</v>
      </c>
    </row>
    <row r="1112" spans="1:38" x14ac:dyDescent="0.25">
      <c r="A1112" t="s">
        <v>2604</v>
      </c>
      <c r="B1112" t="s">
        <v>2604</v>
      </c>
      <c r="C1112" s="1">
        <v>926</v>
      </c>
      <c r="D1112" s="1" t="s">
        <v>2603</v>
      </c>
      <c r="E1112">
        <v>9</v>
      </c>
      <c r="F1112">
        <v>0.3</v>
      </c>
      <c r="G1112">
        <v>10.9</v>
      </c>
      <c r="H1112" t="s">
        <v>157</v>
      </c>
      <c r="J1112" t="s">
        <v>366</v>
      </c>
      <c r="L1112" t="s">
        <v>1317</v>
      </c>
      <c r="M1112" t="s">
        <v>106</v>
      </c>
      <c r="N1112">
        <v>50</v>
      </c>
      <c r="O1112">
        <v>50</v>
      </c>
      <c r="P1112">
        <v>0</v>
      </c>
      <c r="Q1112">
        <v>20</v>
      </c>
      <c r="R1112" t="s">
        <v>132</v>
      </c>
      <c r="S1112" t="s">
        <v>339</v>
      </c>
      <c r="T1112">
        <v>190</v>
      </c>
      <c r="U1112">
        <v>62</v>
      </c>
      <c r="V1112">
        <v>1059860</v>
      </c>
      <c r="W1112" t="s">
        <v>46</v>
      </c>
      <c r="Z1112">
        <v>37</v>
      </c>
      <c r="AA1112">
        <v>55</v>
      </c>
      <c r="AB1112">
        <v>70</v>
      </c>
      <c r="AC1112">
        <v>30</v>
      </c>
      <c r="AD1112">
        <v>55</v>
      </c>
      <c r="AE1112">
        <v>65</v>
      </c>
      <c r="AF1112">
        <v>312</v>
      </c>
      <c r="AG1112">
        <v>0</v>
      </c>
      <c r="AH1112">
        <v>0</v>
      </c>
      <c r="AI1112">
        <v>0</v>
      </c>
      <c r="AJ1112">
        <v>0</v>
      </c>
      <c r="AK1112">
        <v>0</v>
      </c>
      <c r="AL1112">
        <v>1</v>
      </c>
    </row>
    <row r="1113" spans="1:38" x14ac:dyDescent="0.25">
      <c r="A1113" t="s">
        <v>2606</v>
      </c>
      <c r="B1113" t="s">
        <v>2606</v>
      </c>
      <c r="C1113" s="1">
        <v>927</v>
      </c>
      <c r="D1113" s="1" t="s">
        <v>2605</v>
      </c>
      <c r="E1113">
        <v>9</v>
      </c>
      <c r="F1113">
        <v>0.5</v>
      </c>
      <c r="G1113">
        <v>14.9</v>
      </c>
      <c r="H1113" t="s">
        <v>157</v>
      </c>
      <c r="J1113" t="s">
        <v>2607</v>
      </c>
      <c r="L1113" t="s">
        <v>1946</v>
      </c>
      <c r="M1113" t="s">
        <v>103</v>
      </c>
      <c r="N1113">
        <v>50</v>
      </c>
      <c r="O1113">
        <v>50</v>
      </c>
      <c r="P1113">
        <v>0</v>
      </c>
      <c r="Q1113">
        <v>20</v>
      </c>
      <c r="R1113" t="s">
        <v>132</v>
      </c>
      <c r="S1113" t="s">
        <v>339</v>
      </c>
      <c r="T1113">
        <v>90</v>
      </c>
      <c r="U1113">
        <v>167</v>
      </c>
      <c r="V1113">
        <v>1059860</v>
      </c>
      <c r="W1113" t="s">
        <v>46</v>
      </c>
      <c r="Z1113">
        <v>57</v>
      </c>
      <c r="AA1113">
        <v>80</v>
      </c>
      <c r="AB1113">
        <v>115</v>
      </c>
      <c r="AC1113">
        <v>50</v>
      </c>
      <c r="AD1113">
        <v>80</v>
      </c>
      <c r="AE1113">
        <v>95</v>
      </c>
      <c r="AF1113">
        <v>477</v>
      </c>
      <c r="AG1113">
        <v>0</v>
      </c>
      <c r="AH1113">
        <v>0</v>
      </c>
      <c r="AI1113">
        <v>0</v>
      </c>
      <c r="AJ1113">
        <v>0</v>
      </c>
      <c r="AK1113">
        <v>0</v>
      </c>
      <c r="AL1113">
        <v>2</v>
      </c>
    </row>
    <row r="1114" spans="1:38" x14ac:dyDescent="0.25">
      <c r="A1114" t="s">
        <v>2609</v>
      </c>
      <c r="B1114" t="s">
        <v>2609</v>
      </c>
      <c r="C1114" s="1">
        <v>928</v>
      </c>
      <c r="D1114" s="1" t="s">
        <v>2608</v>
      </c>
      <c r="E1114">
        <v>9</v>
      </c>
      <c r="F1114">
        <v>0.3</v>
      </c>
      <c r="G1114">
        <v>6.5</v>
      </c>
      <c r="H1114" t="s">
        <v>40</v>
      </c>
      <c r="I1114" t="s">
        <v>116</v>
      </c>
      <c r="J1114" t="s">
        <v>390</v>
      </c>
      <c r="L1114" t="s">
        <v>455</v>
      </c>
      <c r="M1114" t="s">
        <v>44</v>
      </c>
      <c r="N1114">
        <v>50</v>
      </c>
      <c r="O1114">
        <v>50</v>
      </c>
      <c r="P1114">
        <v>0</v>
      </c>
      <c r="Q1114">
        <v>20</v>
      </c>
      <c r="R1114" t="s">
        <v>40</v>
      </c>
      <c r="T1114">
        <v>255</v>
      </c>
      <c r="U1114">
        <v>52</v>
      </c>
      <c r="V1114">
        <v>1059860</v>
      </c>
      <c r="W1114" t="s">
        <v>46</v>
      </c>
      <c r="Z1114">
        <v>41</v>
      </c>
      <c r="AA1114">
        <v>35</v>
      </c>
      <c r="AB1114">
        <v>45</v>
      </c>
      <c r="AC1114">
        <v>58</v>
      </c>
      <c r="AD1114">
        <v>51</v>
      </c>
      <c r="AE1114">
        <v>30</v>
      </c>
      <c r="AF1114">
        <v>260</v>
      </c>
      <c r="AG1114">
        <v>0</v>
      </c>
      <c r="AH1114">
        <v>0</v>
      </c>
      <c r="AI1114">
        <v>0</v>
      </c>
      <c r="AJ1114">
        <v>1</v>
      </c>
      <c r="AK1114">
        <v>0</v>
      </c>
      <c r="AL1114">
        <v>0</v>
      </c>
    </row>
    <row r="1115" spans="1:38" x14ac:dyDescent="0.25">
      <c r="A1115" t="s">
        <v>2611</v>
      </c>
      <c r="B1115" t="s">
        <v>2611</v>
      </c>
      <c r="C1115" s="1">
        <v>929</v>
      </c>
      <c r="D1115" s="1" t="s">
        <v>2610</v>
      </c>
      <c r="E1115">
        <v>9</v>
      </c>
      <c r="F1115">
        <v>0.6</v>
      </c>
      <c r="G1115">
        <v>11.9</v>
      </c>
      <c r="H1115" t="s">
        <v>40</v>
      </c>
      <c r="I1115" t="s">
        <v>116</v>
      </c>
      <c r="J1115" t="s">
        <v>390</v>
      </c>
      <c r="L1115" t="s">
        <v>455</v>
      </c>
      <c r="M1115" t="s">
        <v>44</v>
      </c>
      <c r="N1115">
        <v>50</v>
      </c>
      <c r="O1115">
        <v>50</v>
      </c>
      <c r="P1115">
        <v>0</v>
      </c>
      <c r="Q1115">
        <v>20</v>
      </c>
      <c r="R1115" t="s">
        <v>40</v>
      </c>
      <c r="T1115">
        <v>120</v>
      </c>
      <c r="U1115">
        <v>124</v>
      </c>
      <c r="V1115">
        <v>1059860</v>
      </c>
      <c r="W1115" t="s">
        <v>46</v>
      </c>
      <c r="Z1115">
        <v>52</v>
      </c>
      <c r="AA1115">
        <v>53</v>
      </c>
      <c r="AB1115">
        <v>60</v>
      </c>
      <c r="AC1115">
        <v>78</v>
      </c>
      <c r="AD1115">
        <v>78</v>
      </c>
      <c r="AE1115">
        <v>33</v>
      </c>
      <c r="AF1115">
        <v>354</v>
      </c>
      <c r="AG1115">
        <v>0</v>
      </c>
      <c r="AH1115">
        <v>0</v>
      </c>
      <c r="AI1115">
        <v>0</v>
      </c>
      <c r="AJ1115">
        <v>2</v>
      </c>
      <c r="AK1115">
        <v>0</v>
      </c>
      <c r="AL1115">
        <v>0</v>
      </c>
    </row>
    <row r="1116" spans="1:38" x14ac:dyDescent="0.25">
      <c r="A1116" t="s">
        <v>2613</v>
      </c>
      <c r="B1116" t="s">
        <v>2613</v>
      </c>
      <c r="C1116" s="1">
        <v>930</v>
      </c>
      <c r="D1116" s="1" t="s">
        <v>2612</v>
      </c>
      <c r="E1116">
        <v>9</v>
      </c>
      <c r="F1116">
        <v>1.4</v>
      </c>
      <c r="G1116">
        <v>48.2</v>
      </c>
      <c r="H1116" t="s">
        <v>40</v>
      </c>
      <c r="I1116" t="s">
        <v>116</v>
      </c>
      <c r="J1116" t="s">
        <v>2614</v>
      </c>
      <c r="L1116" t="s">
        <v>455</v>
      </c>
      <c r="M1116" t="s">
        <v>44</v>
      </c>
      <c r="N1116">
        <v>50</v>
      </c>
      <c r="O1116">
        <v>50</v>
      </c>
      <c r="P1116">
        <v>0</v>
      </c>
      <c r="Q1116">
        <v>20</v>
      </c>
      <c r="R1116" t="s">
        <v>40</v>
      </c>
      <c r="T1116">
        <v>45</v>
      </c>
      <c r="U1116">
        <v>255</v>
      </c>
      <c r="V1116">
        <v>1059860</v>
      </c>
      <c r="W1116" t="s">
        <v>46</v>
      </c>
      <c r="Z1116">
        <v>78</v>
      </c>
      <c r="AA1116">
        <v>69</v>
      </c>
      <c r="AB1116">
        <v>90</v>
      </c>
      <c r="AC1116">
        <v>125</v>
      </c>
      <c r="AD1116">
        <v>109</v>
      </c>
      <c r="AE1116">
        <v>39</v>
      </c>
      <c r="AF1116">
        <v>510</v>
      </c>
      <c r="AG1116">
        <v>0</v>
      </c>
      <c r="AH1116">
        <v>0</v>
      </c>
      <c r="AI1116">
        <v>0</v>
      </c>
      <c r="AJ1116">
        <v>3</v>
      </c>
      <c r="AK1116">
        <v>0</v>
      </c>
      <c r="AL1116">
        <v>0</v>
      </c>
    </row>
    <row r="1117" spans="1:38" x14ac:dyDescent="0.25">
      <c r="A1117" t="s">
        <v>2616</v>
      </c>
      <c r="B1117" t="s">
        <v>2617</v>
      </c>
      <c r="C1117" s="1">
        <v>931</v>
      </c>
      <c r="D1117" s="1" t="s">
        <v>2615</v>
      </c>
      <c r="E1117">
        <v>9</v>
      </c>
      <c r="F1117">
        <v>0.6</v>
      </c>
      <c r="G1117">
        <v>2.4</v>
      </c>
      <c r="H1117" t="s">
        <v>116</v>
      </c>
      <c r="I1117" t="s">
        <v>66</v>
      </c>
      <c r="J1117" t="s">
        <v>148</v>
      </c>
      <c r="K1117" t="s">
        <v>129</v>
      </c>
      <c r="L1117" t="s">
        <v>129</v>
      </c>
      <c r="M1117" t="s">
        <v>44</v>
      </c>
      <c r="N1117">
        <v>50</v>
      </c>
      <c r="O1117">
        <v>50</v>
      </c>
      <c r="P1117">
        <v>0</v>
      </c>
      <c r="Q1117">
        <v>15</v>
      </c>
      <c r="R1117" t="s">
        <v>66</v>
      </c>
      <c r="T1117">
        <v>190</v>
      </c>
      <c r="U1117">
        <v>146</v>
      </c>
      <c r="V1117">
        <v>600000</v>
      </c>
      <c r="W1117" t="s">
        <v>46</v>
      </c>
      <c r="Z1117">
        <v>82</v>
      </c>
      <c r="AA1117">
        <v>96</v>
      </c>
      <c r="AB1117">
        <v>51</v>
      </c>
      <c r="AC1117">
        <v>45</v>
      </c>
      <c r="AD1117">
        <v>51</v>
      </c>
      <c r="AE1117">
        <v>92</v>
      </c>
      <c r="AF1117">
        <v>417</v>
      </c>
      <c r="AG1117">
        <v>0</v>
      </c>
      <c r="AH1117">
        <v>1</v>
      </c>
      <c r="AI1117">
        <v>0</v>
      </c>
      <c r="AJ1117">
        <v>0</v>
      </c>
      <c r="AK1117">
        <v>0</v>
      </c>
      <c r="AL1117">
        <v>0</v>
      </c>
    </row>
    <row r="1118" spans="1:38" x14ac:dyDescent="0.25">
      <c r="A1118" t="s">
        <v>2616</v>
      </c>
      <c r="B1118" t="s">
        <v>2619</v>
      </c>
      <c r="C1118" s="1">
        <v>931</v>
      </c>
      <c r="D1118" s="1" t="s">
        <v>2618</v>
      </c>
      <c r="E1118">
        <v>9</v>
      </c>
      <c r="F1118">
        <v>0.6</v>
      </c>
      <c r="G1118">
        <v>2.4</v>
      </c>
      <c r="H1118" t="s">
        <v>116</v>
      </c>
      <c r="I1118" t="s">
        <v>66</v>
      </c>
      <c r="J1118" t="s">
        <v>148</v>
      </c>
      <c r="K1118" t="s">
        <v>129</v>
      </c>
      <c r="L1118" t="s">
        <v>129</v>
      </c>
      <c r="M1118" t="s">
        <v>44</v>
      </c>
      <c r="N1118">
        <v>50</v>
      </c>
      <c r="O1118">
        <v>50</v>
      </c>
      <c r="P1118">
        <v>0</v>
      </c>
      <c r="Q1118">
        <v>15</v>
      </c>
      <c r="R1118" t="s">
        <v>66</v>
      </c>
      <c r="T1118">
        <v>190</v>
      </c>
      <c r="U1118">
        <v>146</v>
      </c>
      <c r="V1118">
        <v>600000</v>
      </c>
      <c r="W1118" t="s">
        <v>46</v>
      </c>
      <c r="Z1118">
        <v>82</v>
      </c>
      <c r="AA1118">
        <v>96</v>
      </c>
      <c r="AB1118">
        <v>51</v>
      </c>
      <c r="AC1118">
        <v>45</v>
      </c>
      <c r="AD1118">
        <v>51</v>
      </c>
      <c r="AE1118">
        <v>92</v>
      </c>
      <c r="AF1118">
        <v>417</v>
      </c>
      <c r="AG1118">
        <v>0</v>
      </c>
      <c r="AH1118">
        <v>1</v>
      </c>
      <c r="AI1118">
        <v>0</v>
      </c>
      <c r="AJ1118">
        <v>0</v>
      </c>
      <c r="AK1118">
        <v>0</v>
      </c>
      <c r="AL1118">
        <v>0</v>
      </c>
    </row>
    <row r="1119" spans="1:38" x14ac:dyDescent="0.25">
      <c r="A1119" t="s">
        <v>2616</v>
      </c>
      <c r="B1119" t="s">
        <v>2621</v>
      </c>
      <c r="C1119" s="1">
        <v>931</v>
      </c>
      <c r="D1119" s="1" t="s">
        <v>2620</v>
      </c>
      <c r="E1119">
        <v>9</v>
      </c>
      <c r="F1119">
        <v>0.6</v>
      </c>
      <c r="G1119">
        <v>2.4</v>
      </c>
      <c r="H1119" t="s">
        <v>116</v>
      </c>
      <c r="I1119" t="s">
        <v>66</v>
      </c>
      <c r="J1119" t="s">
        <v>148</v>
      </c>
      <c r="K1119" t="s">
        <v>129</v>
      </c>
      <c r="L1119" t="s">
        <v>187</v>
      </c>
      <c r="M1119" t="s">
        <v>44</v>
      </c>
      <c r="N1119">
        <v>50</v>
      </c>
      <c r="O1119">
        <v>50</v>
      </c>
      <c r="P1119">
        <v>0</v>
      </c>
      <c r="Q1119">
        <v>15</v>
      </c>
      <c r="R1119" t="s">
        <v>66</v>
      </c>
      <c r="T1119">
        <v>190</v>
      </c>
      <c r="U1119">
        <v>146</v>
      </c>
      <c r="V1119">
        <v>600000</v>
      </c>
      <c r="W1119" t="s">
        <v>46</v>
      </c>
      <c r="Z1119">
        <v>82</v>
      </c>
      <c r="AA1119">
        <v>96</v>
      </c>
      <c r="AB1119">
        <v>51</v>
      </c>
      <c r="AC1119">
        <v>45</v>
      </c>
      <c r="AD1119">
        <v>51</v>
      </c>
      <c r="AE1119">
        <v>92</v>
      </c>
      <c r="AF1119">
        <v>417</v>
      </c>
      <c r="AG1119">
        <v>0</v>
      </c>
      <c r="AH1119">
        <v>1</v>
      </c>
      <c r="AI1119">
        <v>0</v>
      </c>
      <c r="AJ1119">
        <v>0</v>
      </c>
      <c r="AK1119">
        <v>0</v>
      </c>
      <c r="AL1119">
        <v>0</v>
      </c>
    </row>
    <row r="1120" spans="1:38" x14ac:dyDescent="0.25">
      <c r="A1120" t="s">
        <v>2616</v>
      </c>
      <c r="B1120" t="s">
        <v>2623</v>
      </c>
      <c r="C1120" s="1">
        <v>931</v>
      </c>
      <c r="D1120" s="1" t="s">
        <v>2622</v>
      </c>
      <c r="E1120">
        <v>9</v>
      </c>
      <c r="F1120">
        <v>0.6</v>
      </c>
      <c r="G1120">
        <v>2.4</v>
      </c>
      <c r="H1120" t="s">
        <v>116</v>
      </c>
      <c r="I1120" t="s">
        <v>66</v>
      </c>
      <c r="J1120" t="s">
        <v>148</v>
      </c>
      <c r="K1120" t="s">
        <v>129</v>
      </c>
      <c r="L1120" t="s">
        <v>187</v>
      </c>
      <c r="M1120" t="s">
        <v>44</v>
      </c>
      <c r="N1120">
        <v>50</v>
      </c>
      <c r="O1120">
        <v>50</v>
      </c>
      <c r="P1120">
        <v>0</v>
      </c>
      <c r="Q1120">
        <v>15</v>
      </c>
      <c r="R1120" t="s">
        <v>66</v>
      </c>
      <c r="T1120">
        <v>190</v>
      </c>
      <c r="U1120">
        <v>146</v>
      </c>
      <c r="V1120">
        <v>600000</v>
      </c>
      <c r="W1120" t="s">
        <v>46</v>
      </c>
      <c r="Z1120">
        <v>82</v>
      </c>
      <c r="AA1120">
        <v>96</v>
      </c>
      <c r="AB1120">
        <v>51</v>
      </c>
      <c r="AC1120">
        <v>45</v>
      </c>
      <c r="AD1120">
        <v>51</v>
      </c>
      <c r="AE1120">
        <v>92</v>
      </c>
      <c r="AF1120">
        <v>417</v>
      </c>
      <c r="AG1120">
        <v>0</v>
      </c>
      <c r="AH1120">
        <v>1</v>
      </c>
      <c r="AI1120">
        <v>0</v>
      </c>
      <c r="AJ1120">
        <v>0</v>
      </c>
      <c r="AK1120">
        <v>0</v>
      </c>
      <c r="AL1120">
        <v>0</v>
      </c>
    </row>
    <row r="1121" spans="1:38" x14ac:dyDescent="0.25">
      <c r="A1121" t="s">
        <v>2625</v>
      </c>
      <c r="B1121" t="s">
        <v>2625</v>
      </c>
      <c r="C1121" s="1">
        <v>932</v>
      </c>
      <c r="D1121" s="1" t="s">
        <v>2624</v>
      </c>
      <c r="E1121">
        <v>9</v>
      </c>
      <c r="F1121">
        <v>0.4</v>
      </c>
      <c r="G1121">
        <v>16</v>
      </c>
      <c r="H1121" t="s">
        <v>290</v>
      </c>
      <c r="J1121" t="s">
        <v>2626</v>
      </c>
      <c r="K1121" t="s">
        <v>338</v>
      </c>
      <c r="L1121" t="s">
        <v>331</v>
      </c>
      <c r="M1121" t="s">
        <v>103</v>
      </c>
      <c r="N1121">
        <v>50</v>
      </c>
      <c r="O1121">
        <v>50</v>
      </c>
      <c r="P1121">
        <v>0</v>
      </c>
      <c r="Q1121">
        <v>20</v>
      </c>
      <c r="R1121" t="s">
        <v>339</v>
      </c>
      <c r="T1121">
        <v>255</v>
      </c>
      <c r="U1121">
        <v>56</v>
      </c>
      <c r="V1121">
        <v>1059860</v>
      </c>
      <c r="W1121" t="s">
        <v>46</v>
      </c>
      <c r="Z1121">
        <v>55</v>
      </c>
      <c r="AA1121">
        <v>55</v>
      </c>
      <c r="AB1121">
        <v>75</v>
      </c>
      <c r="AC1121">
        <v>35</v>
      </c>
      <c r="AD1121">
        <v>35</v>
      </c>
      <c r="AE1121">
        <v>25</v>
      </c>
      <c r="AF1121">
        <v>280</v>
      </c>
      <c r="AG1121">
        <v>0</v>
      </c>
      <c r="AH1121">
        <v>0</v>
      </c>
      <c r="AI1121">
        <v>1</v>
      </c>
      <c r="AJ1121">
        <v>0</v>
      </c>
      <c r="AK1121">
        <v>0</v>
      </c>
      <c r="AL1121">
        <v>0</v>
      </c>
    </row>
    <row r="1122" spans="1:38" x14ac:dyDescent="0.25">
      <c r="A1122" t="s">
        <v>2628</v>
      </c>
      <c r="B1122" t="s">
        <v>2628</v>
      </c>
      <c r="C1122" s="1">
        <v>933</v>
      </c>
      <c r="D1122" s="1" t="s">
        <v>2627</v>
      </c>
      <c r="E1122">
        <v>9</v>
      </c>
      <c r="F1122">
        <v>0.6</v>
      </c>
      <c r="G1122">
        <v>105</v>
      </c>
      <c r="H1122" t="s">
        <v>290</v>
      </c>
      <c r="J1122" t="s">
        <v>2626</v>
      </c>
      <c r="K1122" t="s">
        <v>338</v>
      </c>
      <c r="L1122" t="s">
        <v>331</v>
      </c>
      <c r="M1122" t="s">
        <v>103</v>
      </c>
      <c r="N1122">
        <v>50</v>
      </c>
      <c r="O1122">
        <v>50</v>
      </c>
      <c r="P1122">
        <v>0</v>
      </c>
      <c r="Q1122">
        <v>20</v>
      </c>
      <c r="R1122" t="s">
        <v>339</v>
      </c>
      <c r="T1122">
        <v>120</v>
      </c>
      <c r="U1122">
        <v>124</v>
      </c>
      <c r="V1122">
        <v>1059860</v>
      </c>
      <c r="W1122" t="s">
        <v>46</v>
      </c>
      <c r="Z1122">
        <v>60</v>
      </c>
      <c r="AA1122">
        <v>60</v>
      </c>
      <c r="AB1122">
        <v>100</v>
      </c>
      <c r="AC1122">
        <v>35</v>
      </c>
      <c r="AD1122">
        <v>65</v>
      </c>
      <c r="AE1122">
        <v>35</v>
      </c>
      <c r="AF1122">
        <v>355</v>
      </c>
      <c r="AG1122">
        <v>0</v>
      </c>
      <c r="AH1122">
        <v>0</v>
      </c>
      <c r="AI1122">
        <v>2</v>
      </c>
      <c r="AJ1122">
        <v>0</v>
      </c>
      <c r="AK1122">
        <v>0</v>
      </c>
      <c r="AL1122">
        <v>0</v>
      </c>
    </row>
    <row r="1123" spans="1:38" x14ac:dyDescent="0.25">
      <c r="A1123" t="s">
        <v>2630</v>
      </c>
      <c r="B1123" t="s">
        <v>2630</v>
      </c>
      <c r="C1123" s="1">
        <v>934</v>
      </c>
      <c r="D1123" s="1" t="s">
        <v>2629</v>
      </c>
      <c r="E1123">
        <v>9</v>
      </c>
      <c r="F1123">
        <v>2.2999999999999998</v>
      </c>
      <c r="G1123">
        <v>240</v>
      </c>
      <c r="H1123" t="s">
        <v>290</v>
      </c>
      <c r="J1123" t="s">
        <v>2626</v>
      </c>
      <c r="K1123" t="s">
        <v>338</v>
      </c>
      <c r="L1123" t="s">
        <v>331</v>
      </c>
      <c r="M1123" t="s">
        <v>103</v>
      </c>
      <c r="N1123">
        <v>50</v>
      </c>
      <c r="O1123">
        <v>50</v>
      </c>
      <c r="P1123">
        <v>0</v>
      </c>
      <c r="Q1123">
        <v>20</v>
      </c>
      <c r="R1123" t="s">
        <v>339</v>
      </c>
      <c r="T1123">
        <v>45</v>
      </c>
      <c r="U1123">
        <v>250</v>
      </c>
      <c r="V1123">
        <v>1059860</v>
      </c>
      <c r="W1123" t="s">
        <v>46</v>
      </c>
      <c r="Z1123">
        <v>100</v>
      </c>
      <c r="AA1123">
        <v>100</v>
      </c>
      <c r="AB1123">
        <v>130</v>
      </c>
      <c r="AC1123">
        <v>45</v>
      </c>
      <c r="AD1123">
        <v>90</v>
      </c>
      <c r="AE1123">
        <v>35</v>
      </c>
      <c r="AF1123">
        <v>500</v>
      </c>
      <c r="AG1123">
        <v>0</v>
      </c>
      <c r="AH1123">
        <v>0</v>
      </c>
      <c r="AI1123">
        <v>3</v>
      </c>
      <c r="AJ1123">
        <v>0</v>
      </c>
      <c r="AK1123">
        <v>0</v>
      </c>
      <c r="AL1123">
        <v>0</v>
      </c>
    </row>
    <row r="1124" spans="1:38" x14ac:dyDescent="0.25">
      <c r="A1124" t="s">
        <v>2632</v>
      </c>
      <c r="B1124" t="s">
        <v>2632</v>
      </c>
      <c r="C1124" s="1">
        <v>935</v>
      </c>
      <c r="D1124" s="1" t="s">
        <v>2631</v>
      </c>
      <c r="E1124">
        <v>9</v>
      </c>
      <c r="F1124">
        <v>0.6</v>
      </c>
      <c r="G1124">
        <v>10.5</v>
      </c>
      <c r="H1124" t="s">
        <v>57</v>
      </c>
      <c r="J1124" t="s">
        <v>205</v>
      </c>
      <c r="L1124" t="s">
        <v>354</v>
      </c>
      <c r="M1124" t="s">
        <v>60</v>
      </c>
      <c r="N1124">
        <v>50</v>
      </c>
      <c r="O1124">
        <v>50</v>
      </c>
      <c r="P1124">
        <v>0</v>
      </c>
      <c r="Q1124">
        <v>35</v>
      </c>
      <c r="R1124" t="s">
        <v>307</v>
      </c>
      <c r="T1124">
        <v>90</v>
      </c>
      <c r="U1124">
        <v>51</v>
      </c>
      <c r="V1124">
        <v>1250000</v>
      </c>
      <c r="W1124" t="s">
        <v>46</v>
      </c>
      <c r="Z1124">
        <v>40</v>
      </c>
      <c r="AA1124">
        <v>50</v>
      </c>
      <c r="AB1124">
        <v>40</v>
      </c>
      <c r="AC1124">
        <v>50</v>
      </c>
      <c r="AD1124">
        <v>40</v>
      </c>
      <c r="AE1124">
        <v>35</v>
      </c>
      <c r="AF1124">
        <v>255</v>
      </c>
      <c r="AG1124">
        <v>0</v>
      </c>
      <c r="AH1124">
        <v>0</v>
      </c>
      <c r="AI1124">
        <v>0</v>
      </c>
      <c r="AJ1124">
        <v>1</v>
      </c>
      <c r="AK1124">
        <v>0</v>
      </c>
      <c r="AL1124">
        <v>0</v>
      </c>
    </row>
    <row r="1125" spans="1:38" x14ac:dyDescent="0.25">
      <c r="A1125" t="s">
        <v>2634</v>
      </c>
      <c r="B1125" t="s">
        <v>2634</v>
      </c>
      <c r="C1125" s="1">
        <v>936</v>
      </c>
      <c r="D1125" s="1" t="s">
        <v>2633</v>
      </c>
      <c r="E1125">
        <v>9</v>
      </c>
      <c r="F1125">
        <v>1.5</v>
      </c>
      <c r="G1125">
        <v>85</v>
      </c>
      <c r="H1125" t="s">
        <v>57</v>
      </c>
      <c r="I1125" t="s">
        <v>162</v>
      </c>
      <c r="J1125" t="s">
        <v>205</v>
      </c>
      <c r="L1125" t="s">
        <v>431</v>
      </c>
      <c r="M1125" t="s">
        <v>60</v>
      </c>
      <c r="N1125">
        <v>50</v>
      </c>
      <c r="O1125">
        <v>50</v>
      </c>
      <c r="P1125">
        <v>0</v>
      </c>
      <c r="Q1125">
        <v>35</v>
      </c>
      <c r="R1125" t="s">
        <v>307</v>
      </c>
      <c r="T1125">
        <v>25</v>
      </c>
      <c r="U1125">
        <v>263</v>
      </c>
      <c r="V1125">
        <v>1250000</v>
      </c>
      <c r="W1125" t="s">
        <v>46</v>
      </c>
      <c r="Z1125">
        <v>85</v>
      </c>
      <c r="AA1125">
        <v>60</v>
      </c>
      <c r="AB1125">
        <v>100</v>
      </c>
      <c r="AC1125">
        <v>125</v>
      </c>
      <c r="AD1125">
        <v>80</v>
      </c>
      <c r="AE1125">
        <v>75</v>
      </c>
      <c r="AF1125">
        <v>525</v>
      </c>
      <c r="AG1125">
        <v>0</v>
      </c>
      <c r="AH1125">
        <v>0</v>
      </c>
      <c r="AI1125">
        <v>0</v>
      </c>
      <c r="AJ1125">
        <v>2</v>
      </c>
      <c r="AK1125">
        <v>0</v>
      </c>
      <c r="AL1125">
        <v>0</v>
      </c>
    </row>
    <row r="1126" spans="1:38" x14ac:dyDescent="0.25">
      <c r="A1126" t="s">
        <v>2636</v>
      </c>
      <c r="B1126" t="s">
        <v>2636</v>
      </c>
      <c r="C1126" s="1">
        <v>937</v>
      </c>
      <c r="D1126" s="1" t="s">
        <v>2635</v>
      </c>
      <c r="E1126">
        <v>9</v>
      </c>
      <c r="F1126">
        <v>1.6</v>
      </c>
      <c r="G1126">
        <v>62</v>
      </c>
      <c r="H1126" t="s">
        <v>57</v>
      </c>
      <c r="I1126" t="s">
        <v>419</v>
      </c>
      <c r="J1126" t="s">
        <v>205</v>
      </c>
      <c r="L1126" t="s">
        <v>431</v>
      </c>
      <c r="M1126" t="s">
        <v>79</v>
      </c>
      <c r="N1126">
        <v>50</v>
      </c>
      <c r="O1126">
        <v>50</v>
      </c>
      <c r="P1126">
        <v>0</v>
      </c>
      <c r="Q1126">
        <v>35</v>
      </c>
      <c r="R1126" t="s">
        <v>307</v>
      </c>
      <c r="T1126">
        <v>25</v>
      </c>
      <c r="U1126">
        <v>263</v>
      </c>
      <c r="V1126">
        <v>1250000</v>
      </c>
      <c r="W1126" t="s">
        <v>46</v>
      </c>
      <c r="Z1126">
        <v>75</v>
      </c>
      <c r="AA1126">
        <v>125</v>
      </c>
      <c r="AB1126">
        <v>80</v>
      </c>
      <c r="AC1126">
        <v>60</v>
      </c>
      <c r="AD1126">
        <v>100</v>
      </c>
      <c r="AE1126">
        <v>85</v>
      </c>
      <c r="AF1126">
        <v>525</v>
      </c>
      <c r="AG1126">
        <v>0</v>
      </c>
      <c r="AH1126">
        <v>2</v>
      </c>
      <c r="AI1126">
        <v>0</v>
      </c>
      <c r="AJ1126">
        <v>0</v>
      </c>
      <c r="AK1126">
        <v>0</v>
      </c>
      <c r="AL1126">
        <v>0</v>
      </c>
    </row>
    <row r="1127" spans="1:38" x14ac:dyDescent="0.25">
      <c r="A1127" t="s">
        <v>2638</v>
      </c>
      <c r="B1127" t="s">
        <v>2638</v>
      </c>
      <c r="C1127" s="1">
        <v>938</v>
      </c>
      <c r="D1127" s="1" t="s">
        <v>2637</v>
      </c>
      <c r="E1127">
        <v>9</v>
      </c>
      <c r="F1127">
        <v>0.3</v>
      </c>
      <c r="G1127">
        <v>0.4</v>
      </c>
      <c r="H1127" t="s">
        <v>154</v>
      </c>
      <c r="J1127" t="s">
        <v>366</v>
      </c>
      <c r="K1127" t="s">
        <v>155</v>
      </c>
      <c r="L1127" t="s">
        <v>236</v>
      </c>
      <c r="M1127" t="s">
        <v>106</v>
      </c>
      <c r="N1127">
        <v>50</v>
      </c>
      <c r="O1127">
        <v>50</v>
      </c>
      <c r="P1127">
        <v>0</v>
      </c>
      <c r="Q1127">
        <v>20</v>
      </c>
      <c r="R1127" t="s">
        <v>80</v>
      </c>
      <c r="T1127">
        <v>190</v>
      </c>
      <c r="U1127">
        <v>54</v>
      </c>
      <c r="V1127">
        <v>1000000</v>
      </c>
      <c r="W1127" t="s">
        <v>46</v>
      </c>
      <c r="Z1127">
        <v>61</v>
      </c>
      <c r="AA1127">
        <v>31</v>
      </c>
      <c r="AB1127">
        <v>41</v>
      </c>
      <c r="AC1127">
        <v>59</v>
      </c>
      <c r="AD1127">
        <v>35</v>
      </c>
      <c r="AE1127">
        <v>45</v>
      </c>
      <c r="AF1127">
        <v>272</v>
      </c>
      <c r="AG1127">
        <v>1</v>
      </c>
      <c r="AH1127">
        <v>0</v>
      </c>
      <c r="AI1127">
        <v>0</v>
      </c>
      <c r="AJ1127">
        <v>0</v>
      </c>
      <c r="AK1127">
        <v>0</v>
      </c>
      <c r="AL1127">
        <v>0</v>
      </c>
    </row>
    <row r="1128" spans="1:38" x14ac:dyDescent="0.25">
      <c r="A1128" t="s">
        <v>2640</v>
      </c>
      <c r="B1128" t="s">
        <v>2640</v>
      </c>
      <c r="C1128" s="1">
        <v>939</v>
      </c>
      <c r="D1128" s="1" t="s">
        <v>2639</v>
      </c>
      <c r="E1128">
        <v>9</v>
      </c>
      <c r="F1128">
        <v>1.2</v>
      </c>
      <c r="G1128">
        <v>113</v>
      </c>
      <c r="H1128" t="s">
        <v>154</v>
      </c>
      <c r="J1128" t="s">
        <v>2641</v>
      </c>
      <c r="K1128" t="s">
        <v>155</v>
      </c>
      <c r="L1128" t="s">
        <v>236</v>
      </c>
      <c r="M1128" t="s">
        <v>44</v>
      </c>
      <c r="N1128">
        <v>50</v>
      </c>
      <c r="O1128">
        <v>50</v>
      </c>
      <c r="P1128">
        <v>0</v>
      </c>
      <c r="Q1128">
        <v>20</v>
      </c>
      <c r="R1128" t="s">
        <v>80</v>
      </c>
      <c r="T1128">
        <v>50</v>
      </c>
      <c r="U1128">
        <v>173</v>
      </c>
      <c r="V1128">
        <v>1000000</v>
      </c>
      <c r="W1128" t="s">
        <v>46</v>
      </c>
      <c r="Z1128">
        <v>109</v>
      </c>
      <c r="AA1128">
        <v>64</v>
      </c>
      <c r="AB1128">
        <v>91</v>
      </c>
      <c r="AC1128">
        <v>103</v>
      </c>
      <c r="AD1128">
        <v>83</v>
      </c>
      <c r="AE1128">
        <v>45</v>
      </c>
      <c r="AF1128">
        <v>495</v>
      </c>
      <c r="AG1128">
        <v>2</v>
      </c>
      <c r="AH1128">
        <v>0</v>
      </c>
      <c r="AI1128">
        <v>0</v>
      </c>
      <c r="AJ1128">
        <v>0</v>
      </c>
      <c r="AK1128">
        <v>0</v>
      </c>
      <c r="AL1128">
        <v>0</v>
      </c>
    </row>
    <row r="1129" spans="1:38" x14ac:dyDescent="0.25">
      <c r="A1129" t="s">
        <v>2643</v>
      </c>
      <c r="B1129" t="s">
        <v>2643</v>
      </c>
      <c r="C1129" s="1">
        <v>940</v>
      </c>
      <c r="D1129" s="1" t="s">
        <v>2642</v>
      </c>
      <c r="E1129">
        <v>9</v>
      </c>
      <c r="F1129">
        <v>0.4</v>
      </c>
      <c r="G1129">
        <v>3.6</v>
      </c>
      <c r="H1129" t="s">
        <v>154</v>
      </c>
      <c r="I1129" t="s">
        <v>66</v>
      </c>
      <c r="J1129" t="s">
        <v>2644</v>
      </c>
      <c r="K1129" t="s">
        <v>564</v>
      </c>
      <c r="L1129" t="s">
        <v>215</v>
      </c>
      <c r="M1129" t="s">
        <v>70</v>
      </c>
      <c r="N1129">
        <v>50</v>
      </c>
      <c r="O1129">
        <v>50</v>
      </c>
      <c r="P1129">
        <v>0</v>
      </c>
      <c r="Q1129">
        <v>20</v>
      </c>
      <c r="R1129" t="s">
        <v>80</v>
      </c>
      <c r="S1129" t="s">
        <v>66</v>
      </c>
      <c r="T1129">
        <v>180</v>
      </c>
      <c r="U1129">
        <v>56</v>
      </c>
      <c r="V1129">
        <v>1059860</v>
      </c>
      <c r="W1129" t="s">
        <v>46</v>
      </c>
      <c r="Z1129">
        <v>40</v>
      </c>
      <c r="AA1129">
        <v>40</v>
      </c>
      <c r="AB1129">
        <v>35</v>
      </c>
      <c r="AC1129">
        <v>55</v>
      </c>
      <c r="AD1129">
        <v>40</v>
      </c>
      <c r="AE1129">
        <v>70</v>
      </c>
      <c r="AF1129">
        <v>280</v>
      </c>
      <c r="AG1129">
        <v>0</v>
      </c>
      <c r="AH1129">
        <v>0</v>
      </c>
      <c r="AI1129">
        <v>0</v>
      </c>
      <c r="AJ1129">
        <v>0</v>
      </c>
      <c r="AK1129">
        <v>0</v>
      </c>
      <c r="AL1129">
        <v>1</v>
      </c>
    </row>
    <row r="1130" spans="1:38" x14ac:dyDescent="0.25">
      <c r="A1130" t="s">
        <v>2646</v>
      </c>
      <c r="B1130" t="s">
        <v>2646</v>
      </c>
      <c r="C1130" s="1">
        <v>941</v>
      </c>
      <c r="D1130" s="1" t="s">
        <v>2645</v>
      </c>
      <c r="E1130">
        <v>9</v>
      </c>
      <c r="F1130">
        <v>1.4</v>
      </c>
      <c r="G1130">
        <v>38.6</v>
      </c>
      <c r="H1130" t="s">
        <v>154</v>
      </c>
      <c r="I1130" t="s">
        <v>66</v>
      </c>
      <c r="J1130" t="s">
        <v>2644</v>
      </c>
      <c r="K1130" t="s">
        <v>564</v>
      </c>
      <c r="L1130" t="s">
        <v>215</v>
      </c>
      <c r="M1130" t="s">
        <v>106</v>
      </c>
      <c r="N1130">
        <v>50</v>
      </c>
      <c r="O1130">
        <v>50</v>
      </c>
      <c r="P1130">
        <v>0</v>
      </c>
      <c r="Q1130">
        <v>20</v>
      </c>
      <c r="R1130" t="s">
        <v>80</v>
      </c>
      <c r="S1130" t="s">
        <v>66</v>
      </c>
      <c r="T1130">
        <v>90</v>
      </c>
      <c r="U1130">
        <v>172</v>
      </c>
      <c r="V1130">
        <v>1059860</v>
      </c>
      <c r="W1130" t="s">
        <v>46</v>
      </c>
      <c r="Z1130">
        <v>70</v>
      </c>
      <c r="AA1130">
        <v>70</v>
      </c>
      <c r="AB1130">
        <v>60</v>
      </c>
      <c r="AC1130">
        <v>105</v>
      </c>
      <c r="AD1130">
        <v>60</v>
      </c>
      <c r="AE1130">
        <v>125</v>
      </c>
      <c r="AF1130">
        <v>490</v>
      </c>
      <c r="AG1130">
        <v>0</v>
      </c>
      <c r="AH1130">
        <v>0</v>
      </c>
      <c r="AI1130">
        <v>0</v>
      </c>
      <c r="AJ1130">
        <v>0</v>
      </c>
      <c r="AK1130">
        <v>0</v>
      </c>
      <c r="AL1130">
        <v>2</v>
      </c>
    </row>
    <row r="1131" spans="1:38" x14ac:dyDescent="0.25">
      <c r="A1131" t="s">
        <v>2648</v>
      </c>
      <c r="B1131" t="s">
        <v>2648</v>
      </c>
      <c r="C1131" s="1">
        <v>942</v>
      </c>
      <c r="D1131" s="1" t="s">
        <v>2647</v>
      </c>
      <c r="E1131">
        <v>9</v>
      </c>
      <c r="F1131">
        <v>0.5</v>
      </c>
      <c r="G1131">
        <v>16</v>
      </c>
      <c r="H1131" t="s">
        <v>135</v>
      </c>
      <c r="J1131" t="s">
        <v>148</v>
      </c>
      <c r="K1131" t="s">
        <v>92</v>
      </c>
      <c r="L1131" t="s">
        <v>2091</v>
      </c>
      <c r="M1131" t="s">
        <v>103</v>
      </c>
      <c r="N1131">
        <v>50</v>
      </c>
      <c r="O1131">
        <v>50</v>
      </c>
      <c r="P1131">
        <v>0</v>
      </c>
      <c r="Q1131">
        <v>20</v>
      </c>
      <c r="R1131" t="s">
        <v>132</v>
      </c>
      <c r="T1131">
        <v>150</v>
      </c>
      <c r="U1131">
        <v>68</v>
      </c>
      <c r="V1131">
        <v>1059860</v>
      </c>
      <c r="W1131" t="s">
        <v>46</v>
      </c>
      <c r="Z1131">
        <v>60</v>
      </c>
      <c r="AA1131">
        <v>78</v>
      </c>
      <c r="AB1131">
        <v>60</v>
      </c>
      <c r="AC1131">
        <v>40</v>
      </c>
      <c r="AD1131">
        <v>51</v>
      </c>
      <c r="AE1131">
        <v>51</v>
      </c>
      <c r="AF1131">
        <v>340</v>
      </c>
      <c r="AG1131">
        <v>0</v>
      </c>
      <c r="AH1131">
        <v>1</v>
      </c>
      <c r="AI1131">
        <v>0</v>
      </c>
      <c r="AJ1131">
        <v>0</v>
      </c>
      <c r="AK1131">
        <v>0</v>
      </c>
      <c r="AL1131">
        <v>0</v>
      </c>
    </row>
    <row r="1132" spans="1:38" x14ac:dyDescent="0.25">
      <c r="A1132" t="s">
        <v>2650</v>
      </c>
      <c r="B1132" t="s">
        <v>2650</v>
      </c>
      <c r="C1132" s="1">
        <v>943</v>
      </c>
      <c r="D1132" s="1" t="s">
        <v>2649</v>
      </c>
      <c r="E1132">
        <v>9</v>
      </c>
      <c r="F1132">
        <v>1.1000000000000001</v>
      </c>
      <c r="G1132">
        <v>61</v>
      </c>
      <c r="H1132" t="s">
        <v>135</v>
      </c>
      <c r="J1132" t="s">
        <v>148</v>
      </c>
      <c r="K1132" t="s">
        <v>2651</v>
      </c>
      <c r="L1132" t="s">
        <v>2091</v>
      </c>
      <c r="M1132" t="s">
        <v>318</v>
      </c>
      <c r="N1132">
        <v>50</v>
      </c>
      <c r="O1132">
        <v>50</v>
      </c>
      <c r="P1132">
        <v>0</v>
      </c>
      <c r="Q1132">
        <v>20</v>
      </c>
      <c r="R1132" t="s">
        <v>132</v>
      </c>
      <c r="T1132">
        <v>75</v>
      </c>
      <c r="U1132">
        <v>177</v>
      </c>
      <c r="V1132">
        <v>1059860</v>
      </c>
      <c r="W1132" t="s">
        <v>46</v>
      </c>
      <c r="Z1132">
        <v>80</v>
      </c>
      <c r="AA1132">
        <v>120</v>
      </c>
      <c r="AB1132">
        <v>90</v>
      </c>
      <c r="AC1132">
        <v>60</v>
      </c>
      <c r="AD1132">
        <v>70</v>
      </c>
      <c r="AE1132">
        <v>85</v>
      </c>
      <c r="AF1132">
        <v>505</v>
      </c>
      <c r="AG1132">
        <v>0</v>
      </c>
      <c r="AH1132">
        <v>2</v>
      </c>
      <c r="AI1132">
        <v>0</v>
      </c>
      <c r="AJ1132">
        <v>0</v>
      </c>
      <c r="AK1132">
        <v>0</v>
      </c>
      <c r="AL1132">
        <v>0</v>
      </c>
    </row>
    <row r="1133" spans="1:38" x14ac:dyDescent="0.25">
      <c r="A1133" t="s">
        <v>2653</v>
      </c>
      <c r="B1133" t="s">
        <v>2653</v>
      </c>
      <c r="C1133" s="1">
        <v>944</v>
      </c>
      <c r="D1133" s="1" t="s">
        <v>2652</v>
      </c>
      <c r="E1133">
        <v>9</v>
      </c>
      <c r="F1133">
        <v>0.2</v>
      </c>
      <c r="G1133">
        <v>0.7</v>
      </c>
      <c r="H1133" t="s">
        <v>41</v>
      </c>
      <c r="I1133" t="s">
        <v>116</v>
      </c>
      <c r="J1133" t="s">
        <v>470</v>
      </c>
      <c r="K1133" t="s">
        <v>775</v>
      </c>
      <c r="L1133" t="s">
        <v>726</v>
      </c>
      <c r="M1133" t="s">
        <v>318</v>
      </c>
      <c r="N1133">
        <v>50</v>
      </c>
      <c r="O1133">
        <v>50</v>
      </c>
      <c r="P1133">
        <v>0</v>
      </c>
      <c r="Q1133">
        <v>20</v>
      </c>
      <c r="R1133" t="s">
        <v>132</v>
      </c>
      <c r="T1133">
        <v>190</v>
      </c>
      <c r="U1133">
        <v>58</v>
      </c>
      <c r="V1133">
        <v>1059860</v>
      </c>
      <c r="W1133" t="s">
        <v>46</v>
      </c>
      <c r="Z1133">
        <v>40</v>
      </c>
      <c r="AA1133">
        <v>65</v>
      </c>
      <c r="AB1133">
        <v>35</v>
      </c>
      <c r="AC1133">
        <v>40</v>
      </c>
      <c r="AD1133">
        <v>35</v>
      </c>
      <c r="AE1133">
        <v>75</v>
      </c>
      <c r="AF1133">
        <v>290</v>
      </c>
      <c r="AG1133">
        <v>0</v>
      </c>
      <c r="AH1133">
        <v>0</v>
      </c>
      <c r="AI1133">
        <v>0</v>
      </c>
      <c r="AJ1133">
        <v>0</v>
      </c>
      <c r="AK1133">
        <v>0</v>
      </c>
      <c r="AL1133">
        <v>1</v>
      </c>
    </row>
    <row r="1134" spans="1:38" x14ac:dyDescent="0.25">
      <c r="A1134" t="s">
        <v>2655</v>
      </c>
      <c r="B1134" t="s">
        <v>2655</v>
      </c>
      <c r="C1134" s="1">
        <v>945</v>
      </c>
      <c r="D1134" s="1" t="s">
        <v>2654</v>
      </c>
      <c r="E1134">
        <v>9</v>
      </c>
      <c r="F1134">
        <v>0.7</v>
      </c>
      <c r="G1134">
        <v>27.2</v>
      </c>
      <c r="H1134" t="s">
        <v>41</v>
      </c>
      <c r="I1134" t="s">
        <v>116</v>
      </c>
      <c r="J1134" t="s">
        <v>470</v>
      </c>
      <c r="K1134" t="s">
        <v>402</v>
      </c>
      <c r="L1134" t="s">
        <v>726</v>
      </c>
      <c r="M1134" t="s">
        <v>318</v>
      </c>
      <c r="N1134">
        <v>50</v>
      </c>
      <c r="O1134">
        <v>50</v>
      </c>
      <c r="P1134">
        <v>0</v>
      </c>
      <c r="Q1134">
        <v>20</v>
      </c>
      <c r="R1134" t="s">
        <v>132</v>
      </c>
      <c r="T1134">
        <v>90</v>
      </c>
      <c r="U1134">
        <v>170</v>
      </c>
      <c r="V1134">
        <v>1059860</v>
      </c>
      <c r="W1134" t="s">
        <v>46</v>
      </c>
      <c r="Z1134">
        <v>63</v>
      </c>
      <c r="AA1134">
        <v>95</v>
      </c>
      <c r="AB1134">
        <v>65</v>
      </c>
      <c r="AC1134">
        <v>80</v>
      </c>
      <c r="AD1134">
        <v>72</v>
      </c>
      <c r="AE1134">
        <v>110</v>
      </c>
      <c r="AF1134">
        <v>485</v>
      </c>
      <c r="AG1134">
        <v>0</v>
      </c>
      <c r="AH1134">
        <v>0</v>
      </c>
      <c r="AI1134">
        <v>0</v>
      </c>
      <c r="AJ1134">
        <v>0</v>
      </c>
      <c r="AK1134">
        <v>0</v>
      </c>
      <c r="AL1134">
        <v>2</v>
      </c>
    </row>
    <row r="1135" spans="1:38" x14ac:dyDescent="0.25">
      <c r="A1135" t="s">
        <v>2657</v>
      </c>
      <c r="B1135" t="s">
        <v>2657</v>
      </c>
      <c r="C1135" s="1">
        <v>946</v>
      </c>
      <c r="D1135" s="1" t="s">
        <v>2656</v>
      </c>
      <c r="E1135">
        <v>9</v>
      </c>
      <c r="F1135">
        <v>0.6</v>
      </c>
      <c r="G1135">
        <v>0.6</v>
      </c>
      <c r="H1135" t="s">
        <v>40</v>
      </c>
      <c r="I1135" t="s">
        <v>419</v>
      </c>
      <c r="J1135" t="s">
        <v>2658</v>
      </c>
      <c r="L1135" t="s">
        <v>222</v>
      </c>
      <c r="M1135" t="s">
        <v>103</v>
      </c>
      <c r="N1135">
        <v>50</v>
      </c>
      <c r="O1135">
        <v>50</v>
      </c>
      <c r="P1135">
        <v>0</v>
      </c>
      <c r="Q1135">
        <v>20</v>
      </c>
      <c r="R1135" t="s">
        <v>40</v>
      </c>
      <c r="T1135">
        <v>190</v>
      </c>
      <c r="U1135">
        <v>55</v>
      </c>
      <c r="V1135">
        <v>1000000</v>
      </c>
      <c r="W1135" t="s">
        <v>46</v>
      </c>
      <c r="Z1135">
        <v>40</v>
      </c>
      <c r="AA1135">
        <v>65</v>
      </c>
      <c r="AB1135">
        <v>30</v>
      </c>
      <c r="AC1135">
        <v>45</v>
      </c>
      <c r="AD1135">
        <v>35</v>
      </c>
      <c r="AE1135">
        <v>60</v>
      </c>
      <c r="AF1135">
        <v>275</v>
      </c>
      <c r="AG1135">
        <v>0</v>
      </c>
      <c r="AH1135">
        <v>1</v>
      </c>
      <c r="AI1135">
        <v>0</v>
      </c>
      <c r="AJ1135">
        <v>0</v>
      </c>
      <c r="AK1135">
        <v>0</v>
      </c>
      <c r="AL1135">
        <v>0</v>
      </c>
    </row>
    <row r="1136" spans="1:38" x14ac:dyDescent="0.25">
      <c r="A1136" t="s">
        <v>2660</v>
      </c>
      <c r="B1136" t="s">
        <v>2660</v>
      </c>
      <c r="C1136" s="1">
        <v>947</v>
      </c>
      <c r="D1136" s="1" t="s">
        <v>2659</v>
      </c>
      <c r="E1136">
        <v>9</v>
      </c>
      <c r="F1136">
        <v>1.2</v>
      </c>
      <c r="G1136">
        <v>6</v>
      </c>
      <c r="H1136" t="s">
        <v>40</v>
      </c>
      <c r="I1136" t="s">
        <v>419</v>
      </c>
      <c r="J1136" t="s">
        <v>2658</v>
      </c>
      <c r="L1136" t="s">
        <v>222</v>
      </c>
      <c r="M1136" t="s">
        <v>103</v>
      </c>
      <c r="N1136">
        <v>50</v>
      </c>
      <c r="O1136">
        <v>50</v>
      </c>
      <c r="P1136">
        <v>0</v>
      </c>
      <c r="Q1136">
        <v>20</v>
      </c>
      <c r="R1136" t="s">
        <v>40</v>
      </c>
      <c r="T1136">
        <v>45</v>
      </c>
      <c r="U1136">
        <v>168</v>
      </c>
      <c r="V1136">
        <v>1000000</v>
      </c>
      <c r="W1136" t="s">
        <v>46</v>
      </c>
      <c r="Z1136">
        <v>55</v>
      </c>
      <c r="AA1136">
        <v>115</v>
      </c>
      <c r="AB1136">
        <v>70</v>
      </c>
      <c r="AC1136">
        <v>80</v>
      </c>
      <c r="AD1136">
        <v>70</v>
      </c>
      <c r="AE1136">
        <v>90</v>
      </c>
      <c r="AF1136">
        <v>480</v>
      </c>
      <c r="AG1136">
        <v>0</v>
      </c>
      <c r="AH1136">
        <v>2</v>
      </c>
      <c r="AI1136">
        <v>0</v>
      </c>
      <c r="AJ1136">
        <v>0</v>
      </c>
      <c r="AK1136">
        <v>0</v>
      </c>
      <c r="AL1136">
        <v>0</v>
      </c>
    </row>
    <row r="1137" spans="1:38" x14ac:dyDescent="0.25">
      <c r="A1137" t="s">
        <v>2662</v>
      </c>
      <c r="B1137" t="s">
        <v>2662</v>
      </c>
      <c r="C1137" s="1">
        <v>948</v>
      </c>
      <c r="D1137" s="1" t="s">
        <v>2661</v>
      </c>
      <c r="E1137">
        <v>9</v>
      </c>
      <c r="F1137">
        <v>0.9</v>
      </c>
      <c r="G1137">
        <v>33</v>
      </c>
      <c r="H1137" t="s">
        <v>132</v>
      </c>
      <c r="I1137" t="s">
        <v>40</v>
      </c>
      <c r="J1137" t="s">
        <v>2663</v>
      </c>
      <c r="M1137" t="s">
        <v>106</v>
      </c>
      <c r="N1137">
        <v>50</v>
      </c>
      <c r="O1137">
        <v>50</v>
      </c>
      <c r="P1137">
        <v>0</v>
      </c>
      <c r="Q1137">
        <v>20</v>
      </c>
      <c r="R1137" t="s">
        <v>40</v>
      </c>
      <c r="T1137">
        <v>190</v>
      </c>
      <c r="U1137">
        <v>67</v>
      </c>
      <c r="V1137">
        <v>1059860</v>
      </c>
      <c r="W1137" t="s">
        <v>46</v>
      </c>
      <c r="Z1137">
        <v>40</v>
      </c>
      <c r="AA1137">
        <v>40</v>
      </c>
      <c r="AB1137">
        <v>35</v>
      </c>
      <c r="AC1137">
        <v>50</v>
      </c>
      <c r="AD1137">
        <v>100</v>
      </c>
      <c r="AE1137">
        <v>70</v>
      </c>
      <c r="AF1137">
        <v>335</v>
      </c>
      <c r="AG1137">
        <v>0</v>
      </c>
      <c r="AH1137">
        <v>0</v>
      </c>
      <c r="AI1137">
        <v>0</v>
      </c>
      <c r="AJ1137">
        <v>0</v>
      </c>
      <c r="AK1137">
        <v>1</v>
      </c>
      <c r="AL1137">
        <v>0</v>
      </c>
    </row>
    <row r="1138" spans="1:38" x14ac:dyDescent="0.25">
      <c r="A1138" t="s">
        <v>2665</v>
      </c>
      <c r="B1138" t="s">
        <v>2665</v>
      </c>
      <c r="C1138" s="1">
        <v>949</v>
      </c>
      <c r="D1138" s="1" t="s">
        <v>2664</v>
      </c>
      <c r="E1138">
        <v>9</v>
      </c>
      <c r="F1138">
        <v>1.9</v>
      </c>
      <c r="G1138">
        <v>58</v>
      </c>
      <c r="H1138" t="s">
        <v>132</v>
      </c>
      <c r="I1138" t="s">
        <v>40</v>
      </c>
      <c r="J1138" t="s">
        <v>2663</v>
      </c>
      <c r="M1138" t="s">
        <v>70</v>
      </c>
      <c r="N1138">
        <v>50</v>
      </c>
      <c r="O1138">
        <v>50</v>
      </c>
      <c r="P1138">
        <v>0</v>
      </c>
      <c r="Q1138">
        <v>20</v>
      </c>
      <c r="R1138" t="s">
        <v>40</v>
      </c>
      <c r="T1138">
        <v>90</v>
      </c>
      <c r="U1138">
        <v>180</v>
      </c>
      <c r="V1138">
        <v>1059860</v>
      </c>
      <c r="W1138" t="s">
        <v>46</v>
      </c>
      <c r="Z1138">
        <v>80</v>
      </c>
      <c r="AA1138">
        <v>70</v>
      </c>
      <c r="AB1138">
        <v>65</v>
      </c>
      <c r="AC1138">
        <v>80</v>
      </c>
      <c r="AD1138">
        <v>120</v>
      </c>
      <c r="AE1138">
        <v>100</v>
      </c>
      <c r="AF1138">
        <v>515</v>
      </c>
      <c r="AG1138">
        <v>0</v>
      </c>
      <c r="AH1138">
        <v>0</v>
      </c>
      <c r="AI1138">
        <v>0</v>
      </c>
      <c r="AJ1138">
        <v>0</v>
      </c>
      <c r="AK1138">
        <v>2</v>
      </c>
      <c r="AL1138">
        <v>0</v>
      </c>
    </row>
    <row r="1139" spans="1:38" x14ac:dyDescent="0.25">
      <c r="A1139" t="s">
        <v>2667</v>
      </c>
      <c r="B1139" t="s">
        <v>2667</v>
      </c>
      <c r="C1139" s="1">
        <v>950</v>
      </c>
      <c r="D1139" s="1" t="s">
        <v>2666</v>
      </c>
      <c r="E1139">
        <v>9</v>
      </c>
      <c r="F1139">
        <v>1.3</v>
      </c>
      <c r="G1139">
        <v>79</v>
      </c>
      <c r="H1139" t="s">
        <v>290</v>
      </c>
      <c r="J1139" t="s">
        <v>2668</v>
      </c>
      <c r="K1139" t="s">
        <v>377</v>
      </c>
      <c r="L1139" t="s">
        <v>367</v>
      </c>
      <c r="M1139" t="s">
        <v>60</v>
      </c>
      <c r="N1139">
        <v>50</v>
      </c>
      <c r="O1139">
        <v>50</v>
      </c>
      <c r="P1139">
        <v>0</v>
      </c>
      <c r="Q1139">
        <v>35</v>
      </c>
      <c r="R1139" t="s">
        <v>333</v>
      </c>
      <c r="T1139">
        <v>120</v>
      </c>
      <c r="U1139">
        <v>158</v>
      </c>
      <c r="V1139">
        <v>1000000</v>
      </c>
      <c r="W1139" t="s">
        <v>46</v>
      </c>
      <c r="Z1139">
        <v>70</v>
      </c>
      <c r="AA1139">
        <v>100</v>
      </c>
      <c r="AB1139">
        <v>115</v>
      </c>
      <c r="AC1139">
        <v>35</v>
      </c>
      <c r="AD1139">
        <v>55</v>
      </c>
      <c r="AE1139">
        <v>75</v>
      </c>
      <c r="AF1139">
        <v>450</v>
      </c>
      <c r="AG1139">
        <v>0</v>
      </c>
      <c r="AH1139">
        <v>0</v>
      </c>
      <c r="AI1139">
        <v>2</v>
      </c>
      <c r="AJ1139">
        <v>0</v>
      </c>
      <c r="AK1139">
        <v>0</v>
      </c>
      <c r="AL1139">
        <v>0</v>
      </c>
    </row>
    <row r="1140" spans="1:38" x14ac:dyDescent="0.25">
      <c r="A1140" t="s">
        <v>2670</v>
      </c>
      <c r="B1140" t="s">
        <v>2670</v>
      </c>
      <c r="C1140" s="1">
        <v>951</v>
      </c>
      <c r="D1140" s="1" t="s">
        <v>2669</v>
      </c>
      <c r="E1140">
        <v>9</v>
      </c>
      <c r="F1140">
        <v>0.3</v>
      </c>
      <c r="G1140">
        <v>3</v>
      </c>
      <c r="H1140" t="s">
        <v>40</v>
      </c>
      <c r="J1140" t="s">
        <v>43</v>
      </c>
      <c r="K1140" t="s">
        <v>434</v>
      </c>
      <c r="L1140" t="s">
        <v>1317</v>
      </c>
      <c r="M1140" t="s">
        <v>44</v>
      </c>
      <c r="N1140">
        <v>50</v>
      </c>
      <c r="O1140">
        <v>50</v>
      </c>
      <c r="P1140">
        <v>0</v>
      </c>
      <c r="Q1140">
        <v>20</v>
      </c>
      <c r="R1140" t="s">
        <v>40</v>
      </c>
      <c r="T1140">
        <v>190</v>
      </c>
      <c r="U1140">
        <v>61</v>
      </c>
      <c r="V1140">
        <v>1000000</v>
      </c>
      <c r="W1140" t="s">
        <v>46</v>
      </c>
      <c r="Z1140">
        <v>50</v>
      </c>
      <c r="AA1140">
        <v>62</v>
      </c>
      <c r="AB1140">
        <v>40</v>
      </c>
      <c r="AC1140">
        <v>62</v>
      </c>
      <c r="AD1140">
        <v>40</v>
      </c>
      <c r="AE1140">
        <v>50</v>
      </c>
      <c r="AF1140">
        <v>304</v>
      </c>
      <c r="AG1140">
        <v>0</v>
      </c>
      <c r="AH1140">
        <v>1</v>
      </c>
      <c r="AI1140">
        <v>0</v>
      </c>
      <c r="AJ1140">
        <v>0</v>
      </c>
      <c r="AK1140">
        <v>0</v>
      </c>
      <c r="AL1140">
        <v>0</v>
      </c>
    </row>
    <row r="1141" spans="1:38" x14ac:dyDescent="0.25">
      <c r="A1141" t="s">
        <v>2672</v>
      </c>
      <c r="B1141" t="s">
        <v>2672</v>
      </c>
      <c r="C1141" s="1">
        <v>952</v>
      </c>
      <c r="D1141" s="1" t="s">
        <v>2671</v>
      </c>
      <c r="E1141">
        <v>9</v>
      </c>
      <c r="F1141">
        <v>0.9</v>
      </c>
      <c r="G1141">
        <v>15</v>
      </c>
      <c r="H1141" t="s">
        <v>40</v>
      </c>
      <c r="I1141" t="s">
        <v>57</v>
      </c>
      <c r="J1141" t="s">
        <v>43</v>
      </c>
      <c r="K1141" t="s">
        <v>434</v>
      </c>
      <c r="L1141" t="s">
        <v>798</v>
      </c>
      <c r="M1141" t="s">
        <v>44</v>
      </c>
      <c r="N1141">
        <v>50</v>
      </c>
      <c r="O1141">
        <v>50</v>
      </c>
      <c r="P1141">
        <v>0</v>
      </c>
      <c r="Q1141">
        <v>20</v>
      </c>
      <c r="R1141" t="s">
        <v>40</v>
      </c>
      <c r="T1141">
        <v>75</v>
      </c>
      <c r="U1141">
        <v>170</v>
      </c>
      <c r="V1141">
        <v>1000000</v>
      </c>
      <c r="W1141" t="s">
        <v>46</v>
      </c>
      <c r="Z1141">
        <v>65</v>
      </c>
      <c r="AA1141">
        <v>108</v>
      </c>
      <c r="AB1141">
        <v>65</v>
      </c>
      <c r="AC1141">
        <v>108</v>
      </c>
      <c r="AD1141">
        <v>65</v>
      </c>
      <c r="AE1141">
        <v>75</v>
      </c>
      <c r="AF1141">
        <v>486</v>
      </c>
      <c r="AG1141">
        <v>0</v>
      </c>
      <c r="AH1141">
        <v>2</v>
      </c>
      <c r="AI1141">
        <v>0</v>
      </c>
      <c r="AJ1141">
        <v>0</v>
      </c>
      <c r="AK1141">
        <v>0</v>
      </c>
      <c r="AL1141">
        <v>0</v>
      </c>
    </row>
    <row r="1142" spans="1:38" x14ac:dyDescent="0.25">
      <c r="A1142" t="s">
        <v>2674</v>
      </c>
      <c r="B1142" t="s">
        <v>2674</v>
      </c>
      <c r="C1142" s="1">
        <v>953</v>
      </c>
      <c r="D1142" s="1" t="s">
        <v>2673</v>
      </c>
      <c r="E1142">
        <v>9</v>
      </c>
      <c r="F1142">
        <v>0.2</v>
      </c>
      <c r="G1142">
        <v>1</v>
      </c>
      <c r="H1142" t="s">
        <v>90</v>
      </c>
      <c r="J1142" t="s">
        <v>98</v>
      </c>
      <c r="L1142" t="s">
        <v>95</v>
      </c>
      <c r="M1142" t="s">
        <v>103</v>
      </c>
      <c r="N1142">
        <v>50</v>
      </c>
      <c r="O1142">
        <v>50</v>
      </c>
      <c r="P1142">
        <v>0</v>
      </c>
      <c r="Q1142">
        <v>20</v>
      </c>
      <c r="R1142" t="s">
        <v>90</v>
      </c>
      <c r="T1142">
        <v>190</v>
      </c>
      <c r="U1142">
        <v>54</v>
      </c>
      <c r="V1142">
        <v>800000</v>
      </c>
      <c r="W1142" t="s">
        <v>46</v>
      </c>
      <c r="Z1142">
        <v>41</v>
      </c>
      <c r="AA1142">
        <v>50</v>
      </c>
      <c r="AB1142">
        <v>60</v>
      </c>
      <c r="AC1142">
        <v>31</v>
      </c>
      <c r="AD1142">
        <v>58</v>
      </c>
      <c r="AE1142">
        <v>30</v>
      </c>
      <c r="AF1142">
        <v>270</v>
      </c>
      <c r="AG1142">
        <v>0</v>
      </c>
      <c r="AH1142">
        <v>0</v>
      </c>
      <c r="AI1142">
        <v>1</v>
      </c>
      <c r="AJ1142">
        <v>0</v>
      </c>
      <c r="AK1142">
        <v>0</v>
      </c>
      <c r="AL1142">
        <v>0</v>
      </c>
    </row>
    <row r="1143" spans="1:38" x14ac:dyDescent="0.25">
      <c r="A1143" t="s">
        <v>2676</v>
      </c>
      <c r="B1143" t="s">
        <v>2676</v>
      </c>
      <c r="C1143" s="1">
        <v>954</v>
      </c>
      <c r="D1143" s="1" t="s">
        <v>2675</v>
      </c>
      <c r="E1143">
        <v>9</v>
      </c>
      <c r="F1143">
        <v>0.3</v>
      </c>
      <c r="G1143">
        <v>3.5</v>
      </c>
      <c r="H1143" t="s">
        <v>90</v>
      </c>
      <c r="I1143" t="s">
        <v>162</v>
      </c>
      <c r="J1143" t="s">
        <v>306</v>
      </c>
      <c r="L1143" t="s">
        <v>738</v>
      </c>
      <c r="M1143" t="s">
        <v>44</v>
      </c>
      <c r="N1143">
        <v>50</v>
      </c>
      <c r="O1143">
        <v>50</v>
      </c>
      <c r="P1143">
        <v>0</v>
      </c>
      <c r="Q1143">
        <v>20</v>
      </c>
      <c r="R1143" t="s">
        <v>90</v>
      </c>
      <c r="T1143">
        <v>45</v>
      </c>
      <c r="U1143">
        <v>165</v>
      </c>
      <c r="V1143">
        <v>800000</v>
      </c>
      <c r="W1143" t="s">
        <v>46</v>
      </c>
      <c r="Z1143">
        <v>75</v>
      </c>
      <c r="AA1143">
        <v>50</v>
      </c>
      <c r="AB1143">
        <v>85</v>
      </c>
      <c r="AC1143">
        <v>115</v>
      </c>
      <c r="AD1143">
        <v>100</v>
      </c>
      <c r="AE1143">
        <v>45</v>
      </c>
      <c r="AF1143">
        <v>470</v>
      </c>
      <c r="AG1143">
        <v>0</v>
      </c>
      <c r="AH1143">
        <v>0</v>
      </c>
      <c r="AI1143">
        <v>0</v>
      </c>
      <c r="AJ1143">
        <v>2</v>
      </c>
      <c r="AK1143">
        <v>0</v>
      </c>
      <c r="AL1143">
        <v>0</v>
      </c>
    </row>
    <row r="1144" spans="1:38" x14ac:dyDescent="0.25">
      <c r="A1144" t="s">
        <v>2678</v>
      </c>
      <c r="B1144" t="s">
        <v>2678</v>
      </c>
      <c r="C1144" s="1">
        <v>955</v>
      </c>
      <c r="D1144" s="1" t="s">
        <v>2677</v>
      </c>
      <c r="E1144">
        <v>9</v>
      </c>
      <c r="F1144">
        <v>0.2</v>
      </c>
      <c r="G1144">
        <v>1.5</v>
      </c>
      <c r="H1144" t="s">
        <v>162</v>
      </c>
      <c r="J1144" t="s">
        <v>358</v>
      </c>
      <c r="K1144" t="s">
        <v>218</v>
      </c>
      <c r="L1144" t="s">
        <v>713</v>
      </c>
      <c r="M1144" t="s">
        <v>106</v>
      </c>
      <c r="N1144">
        <v>50</v>
      </c>
      <c r="O1144">
        <v>50</v>
      </c>
      <c r="P1144">
        <v>0</v>
      </c>
      <c r="Q1144">
        <v>20</v>
      </c>
      <c r="R1144" t="s">
        <v>66</v>
      </c>
      <c r="T1144">
        <v>120</v>
      </c>
      <c r="U1144">
        <v>51</v>
      </c>
      <c r="V1144">
        <v>1059860</v>
      </c>
      <c r="W1144" t="s">
        <v>46</v>
      </c>
      <c r="Z1144">
        <v>30</v>
      </c>
      <c r="AA1144">
        <v>35</v>
      </c>
      <c r="AB1144">
        <v>30</v>
      </c>
      <c r="AC1144">
        <v>55</v>
      </c>
      <c r="AD1144">
        <v>30</v>
      </c>
      <c r="AE1144">
        <v>75</v>
      </c>
      <c r="AF1144">
        <v>255</v>
      </c>
      <c r="AG1144">
        <v>0</v>
      </c>
      <c r="AH1144">
        <v>0</v>
      </c>
      <c r="AI1144">
        <v>0</v>
      </c>
      <c r="AJ1144">
        <v>0</v>
      </c>
      <c r="AK1144">
        <v>0</v>
      </c>
      <c r="AL1144">
        <v>1</v>
      </c>
    </row>
    <row r="1145" spans="1:38" x14ac:dyDescent="0.25">
      <c r="A1145" t="s">
        <v>2680</v>
      </c>
      <c r="B1145" t="s">
        <v>2680</v>
      </c>
      <c r="C1145" s="1">
        <v>956</v>
      </c>
      <c r="D1145" s="1" t="s">
        <v>2679</v>
      </c>
      <c r="E1145">
        <v>9</v>
      </c>
      <c r="F1145">
        <v>1.9</v>
      </c>
      <c r="G1145">
        <v>90</v>
      </c>
      <c r="H1145" t="s">
        <v>162</v>
      </c>
      <c r="J1145" t="s">
        <v>2681</v>
      </c>
      <c r="K1145" t="s">
        <v>218</v>
      </c>
      <c r="L1145" t="s">
        <v>713</v>
      </c>
      <c r="M1145" t="s">
        <v>106</v>
      </c>
      <c r="N1145">
        <v>50</v>
      </c>
      <c r="O1145">
        <v>50</v>
      </c>
      <c r="P1145">
        <v>0</v>
      </c>
      <c r="Q1145">
        <v>20</v>
      </c>
      <c r="R1145" t="s">
        <v>66</v>
      </c>
      <c r="T1145">
        <v>60</v>
      </c>
      <c r="U1145">
        <v>168</v>
      </c>
      <c r="V1145">
        <v>1059860</v>
      </c>
      <c r="W1145" t="s">
        <v>46</v>
      </c>
      <c r="Z1145">
        <v>95</v>
      </c>
      <c r="AA1145">
        <v>60</v>
      </c>
      <c r="AB1145">
        <v>60</v>
      </c>
      <c r="AC1145">
        <v>101</v>
      </c>
      <c r="AD1145">
        <v>60</v>
      </c>
      <c r="AE1145">
        <v>105</v>
      </c>
      <c r="AF1145">
        <v>481</v>
      </c>
      <c r="AG1145">
        <v>0</v>
      </c>
      <c r="AH1145">
        <v>0</v>
      </c>
      <c r="AI1145">
        <v>0</v>
      </c>
      <c r="AJ1145">
        <v>0</v>
      </c>
      <c r="AK1145">
        <v>0</v>
      </c>
      <c r="AL1145">
        <v>2</v>
      </c>
    </row>
    <row r="1146" spans="1:38" x14ac:dyDescent="0.25">
      <c r="A1146" t="s">
        <v>2683</v>
      </c>
      <c r="B1146" t="s">
        <v>2683</v>
      </c>
      <c r="C1146" s="1">
        <v>957</v>
      </c>
      <c r="D1146" s="1" t="s">
        <v>2682</v>
      </c>
      <c r="E1146">
        <v>9</v>
      </c>
      <c r="F1146">
        <v>0.4</v>
      </c>
      <c r="G1146">
        <v>8.9</v>
      </c>
      <c r="H1146" t="s">
        <v>157</v>
      </c>
      <c r="I1146" t="s">
        <v>171</v>
      </c>
      <c r="J1146" t="s">
        <v>532</v>
      </c>
      <c r="K1146" t="s">
        <v>366</v>
      </c>
      <c r="L1146" t="s">
        <v>775</v>
      </c>
      <c r="M1146" t="s">
        <v>199</v>
      </c>
      <c r="N1146">
        <v>0</v>
      </c>
      <c r="O1146">
        <v>100</v>
      </c>
      <c r="P1146">
        <v>0</v>
      </c>
      <c r="Q1146">
        <v>20</v>
      </c>
      <c r="R1146" t="s">
        <v>157</v>
      </c>
      <c r="T1146">
        <v>190</v>
      </c>
      <c r="U1146">
        <v>59</v>
      </c>
      <c r="V1146">
        <v>1059860</v>
      </c>
      <c r="W1146" t="s">
        <v>46</v>
      </c>
      <c r="Z1146">
        <v>50</v>
      </c>
      <c r="AA1146">
        <v>45</v>
      </c>
      <c r="AB1146">
        <v>45</v>
      </c>
      <c r="AC1146">
        <v>35</v>
      </c>
      <c r="AD1146">
        <v>64</v>
      </c>
      <c r="AE1146">
        <v>58</v>
      </c>
      <c r="AF1146">
        <v>297</v>
      </c>
      <c r="AG1146">
        <v>0</v>
      </c>
      <c r="AH1146">
        <v>0</v>
      </c>
      <c r="AI1146">
        <v>0</v>
      </c>
      <c r="AJ1146">
        <v>0</v>
      </c>
      <c r="AK1146">
        <v>1</v>
      </c>
      <c r="AL1146">
        <v>0</v>
      </c>
    </row>
    <row r="1147" spans="1:38" x14ac:dyDescent="0.25">
      <c r="A1147" t="s">
        <v>2685</v>
      </c>
      <c r="B1147" t="s">
        <v>2685</v>
      </c>
      <c r="C1147" s="1">
        <v>958</v>
      </c>
      <c r="D1147" s="1" t="s">
        <v>2684</v>
      </c>
      <c r="E1147">
        <v>9</v>
      </c>
      <c r="F1147">
        <v>0.7</v>
      </c>
      <c r="G1147">
        <v>59.1</v>
      </c>
      <c r="H1147" t="s">
        <v>157</v>
      </c>
      <c r="I1147" t="s">
        <v>171</v>
      </c>
      <c r="J1147" t="s">
        <v>532</v>
      </c>
      <c r="K1147" t="s">
        <v>366</v>
      </c>
      <c r="L1147" t="s">
        <v>775</v>
      </c>
      <c r="M1147" t="s">
        <v>199</v>
      </c>
      <c r="N1147">
        <v>0</v>
      </c>
      <c r="O1147">
        <v>100</v>
      </c>
      <c r="P1147">
        <v>0</v>
      </c>
      <c r="Q1147">
        <v>20</v>
      </c>
      <c r="R1147" t="s">
        <v>157</v>
      </c>
      <c r="T1147">
        <v>90</v>
      </c>
      <c r="U1147">
        <v>133</v>
      </c>
      <c r="V1147">
        <v>1059860</v>
      </c>
      <c r="W1147" t="s">
        <v>46</v>
      </c>
      <c r="Z1147">
        <v>65</v>
      </c>
      <c r="AA1147">
        <v>55</v>
      </c>
      <c r="AB1147">
        <v>55</v>
      </c>
      <c r="AC1147">
        <v>45</v>
      </c>
      <c r="AD1147">
        <v>82</v>
      </c>
      <c r="AE1147">
        <v>78</v>
      </c>
      <c r="AF1147">
        <v>380</v>
      </c>
      <c r="AG1147">
        <v>0</v>
      </c>
      <c r="AH1147">
        <v>0</v>
      </c>
      <c r="AI1147">
        <v>0</v>
      </c>
      <c r="AJ1147">
        <v>0</v>
      </c>
      <c r="AK1147">
        <v>2</v>
      </c>
      <c r="AL1147">
        <v>0</v>
      </c>
    </row>
    <row r="1148" spans="1:38" x14ac:dyDescent="0.25">
      <c r="A1148" t="s">
        <v>2687</v>
      </c>
      <c r="B1148" t="s">
        <v>2687</v>
      </c>
      <c r="C1148" s="1">
        <v>959</v>
      </c>
      <c r="D1148" s="1" t="s">
        <v>2686</v>
      </c>
      <c r="E1148">
        <v>9</v>
      </c>
      <c r="F1148">
        <v>0.7</v>
      </c>
      <c r="G1148">
        <v>112.8</v>
      </c>
      <c r="H1148" t="s">
        <v>157</v>
      </c>
      <c r="I1148" t="s">
        <v>171</v>
      </c>
      <c r="J1148" t="s">
        <v>532</v>
      </c>
      <c r="K1148" t="s">
        <v>366</v>
      </c>
      <c r="L1148" t="s">
        <v>775</v>
      </c>
      <c r="M1148" t="s">
        <v>199</v>
      </c>
      <c r="N1148">
        <v>0</v>
      </c>
      <c r="O1148">
        <v>100</v>
      </c>
      <c r="P1148">
        <v>0</v>
      </c>
      <c r="Q1148">
        <v>20</v>
      </c>
      <c r="R1148" t="s">
        <v>157</v>
      </c>
      <c r="T1148">
        <v>45</v>
      </c>
      <c r="U1148">
        <v>253</v>
      </c>
      <c r="V1148">
        <v>1059860</v>
      </c>
      <c r="W1148" t="s">
        <v>46</v>
      </c>
      <c r="Z1148">
        <v>85</v>
      </c>
      <c r="AA1148">
        <v>75</v>
      </c>
      <c r="AB1148">
        <v>77</v>
      </c>
      <c r="AC1148">
        <v>70</v>
      </c>
      <c r="AD1148">
        <v>105</v>
      </c>
      <c r="AE1148">
        <v>94</v>
      </c>
      <c r="AF1148">
        <v>506</v>
      </c>
      <c r="AG1148">
        <v>0</v>
      </c>
      <c r="AH1148">
        <v>0</v>
      </c>
      <c r="AI1148">
        <v>0</v>
      </c>
      <c r="AJ1148">
        <v>0</v>
      </c>
      <c r="AK1148">
        <v>3</v>
      </c>
      <c r="AL1148">
        <v>0</v>
      </c>
    </row>
    <row r="1149" spans="1:38" x14ac:dyDescent="0.25">
      <c r="A1149" t="s">
        <v>2689</v>
      </c>
      <c r="B1149" t="s">
        <v>2689</v>
      </c>
      <c r="C1149" s="1">
        <v>960</v>
      </c>
      <c r="D1149" s="1" t="s">
        <v>2688</v>
      </c>
      <c r="E1149">
        <v>9</v>
      </c>
      <c r="F1149">
        <v>1.2</v>
      </c>
      <c r="G1149">
        <v>1.8</v>
      </c>
      <c r="H1149" t="s">
        <v>76</v>
      </c>
      <c r="J1149" t="s">
        <v>1992</v>
      </c>
      <c r="K1149" t="s">
        <v>261</v>
      </c>
      <c r="L1149" t="s">
        <v>166</v>
      </c>
      <c r="M1149" t="s">
        <v>100</v>
      </c>
      <c r="N1149">
        <v>50</v>
      </c>
      <c r="O1149">
        <v>50</v>
      </c>
      <c r="P1149">
        <v>0</v>
      </c>
      <c r="Q1149">
        <v>20</v>
      </c>
      <c r="R1149" t="s">
        <v>333</v>
      </c>
      <c r="T1149">
        <v>255</v>
      </c>
      <c r="U1149">
        <v>49</v>
      </c>
      <c r="V1149">
        <v>1000000</v>
      </c>
      <c r="W1149" t="s">
        <v>46</v>
      </c>
      <c r="Z1149">
        <v>10</v>
      </c>
      <c r="AA1149">
        <v>55</v>
      </c>
      <c r="AB1149">
        <v>25</v>
      </c>
      <c r="AC1149">
        <v>35</v>
      </c>
      <c r="AD1149">
        <v>25</v>
      </c>
      <c r="AE1149">
        <v>95</v>
      </c>
      <c r="AF1149">
        <v>245</v>
      </c>
      <c r="AG1149">
        <v>0</v>
      </c>
      <c r="AH1149">
        <v>0</v>
      </c>
      <c r="AI1149">
        <v>0</v>
      </c>
      <c r="AJ1149">
        <v>0</v>
      </c>
      <c r="AK1149">
        <v>0</v>
      </c>
      <c r="AL1149">
        <v>1</v>
      </c>
    </row>
    <row r="1150" spans="1:38" x14ac:dyDescent="0.25">
      <c r="A1150" t="s">
        <v>2691</v>
      </c>
      <c r="B1150" t="s">
        <v>2691</v>
      </c>
      <c r="C1150" s="1">
        <v>961</v>
      </c>
      <c r="D1150" s="1" t="s">
        <v>2690</v>
      </c>
      <c r="E1150">
        <v>9</v>
      </c>
      <c r="F1150">
        <v>1.2</v>
      </c>
      <c r="G1150">
        <v>5.4</v>
      </c>
      <c r="H1150" t="s">
        <v>76</v>
      </c>
      <c r="J1150" t="s">
        <v>1992</v>
      </c>
      <c r="K1150" t="s">
        <v>261</v>
      </c>
      <c r="L1150" t="s">
        <v>166</v>
      </c>
      <c r="M1150" t="s">
        <v>60</v>
      </c>
      <c r="N1150">
        <v>50</v>
      </c>
      <c r="O1150">
        <v>50</v>
      </c>
      <c r="P1150">
        <v>0</v>
      </c>
      <c r="Q1150">
        <v>20</v>
      </c>
      <c r="R1150" t="s">
        <v>333</v>
      </c>
      <c r="T1150">
        <v>50</v>
      </c>
      <c r="U1150">
        <v>149</v>
      </c>
      <c r="V1150">
        <v>1000000</v>
      </c>
      <c r="W1150" t="s">
        <v>46</v>
      </c>
      <c r="Z1150">
        <v>35</v>
      </c>
      <c r="AA1150">
        <v>100</v>
      </c>
      <c r="AB1150">
        <v>50</v>
      </c>
      <c r="AC1150">
        <v>50</v>
      </c>
      <c r="AD1150">
        <v>70</v>
      </c>
      <c r="AE1150">
        <v>120</v>
      </c>
      <c r="AF1150">
        <v>425</v>
      </c>
      <c r="AG1150">
        <v>0</v>
      </c>
      <c r="AH1150">
        <v>0</v>
      </c>
      <c r="AI1150">
        <v>0</v>
      </c>
      <c r="AJ1150">
        <v>0</v>
      </c>
      <c r="AK1150">
        <v>0</v>
      </c>
      <c r="AL1150">
        <v>2</v>
      </c>
    </row>
    <row r="1151" spans="1:38" x14ac:dyDescent="0.25">
      <c r="A1151" t="s">
        <v>2693</v>
      </c>
      <c r="B1151" t="s">
        <v>2693</v>
      </c>
      <c r="C1151" s="1">
        <v>962</v>
      </c>
      <c r="D1151" s="1" t="s">
        <v>2692</v>
      </c>
      <c r="E1151">
        <v>9</v>
      </c>
      <c r="F1151">
        <v>1.5</v>
      </c>
      <c r="G1151">
        <v>42.9</v>
      </c>
      <c r="H1151" t="s">
        <v>66</v>
      </c>
      <c r="I1151" t="s">
        <v>135</v>
      </c>
      <c r="J1151" t="s">
        <v>119</v>
      </c>
      <c r="K1151" t="s">
        <v>117</v>
      </c>
      <c r="L1151" t="s">
        <v>2694</v>
      </c>
      <c r="M1151" t="s">
        <v>100</v>
      </c>
      <c r="N1151">
        <v>50</v>
      </c>
      <c r="O1151">
        <v>50</v>
      </c>
      <c r="P1151">
        <v>0</v>
      </c>
      <c r="Q1151">
        <v>35</v>
      </c>
      <c r="R1151" t="s">
        <v>66</v>
      </c>
      <c r="T1151">
        <v>25</v>
      </c>
      <c r="U1151">
        <v>243</v>
      </c>
      <c r="V1151">
        <v>1250000</v>
      </c>
      <c r="W1151" t="s">
        <v>46</v>
      </c>
      <c r="Z1151">
        <v>70</v>
      </c>
      <c r="AA1151">
        <v>103</v>
      </c>
      <c r="AB1151">
        <v>85</v>
      </c>
      <c r="AC1151">
        <v>60</v>
      </c>
      <c r="AD1151">
        <v>85</v>
      </c>
      <c r="AE1151">
        <v>82</v>
      </c>
      <c r="AF1151">
        <v>485</v>
      </c>
      <c r="AG1151">
        <v>0</v>
      </c>
      <c r="AH1151">
        <v>2</v>
      </c>
      <c r="AI1151">
        <v>0</v>
      </c>
      <c r="AJ1151">
        <v>0</v>
      </c>
      <c r="AK1151">
        <v>0</v>
      </c>
      <c r="AL1151">
        <v>0</v>
      </c>
    </row>
    <row r="1152" spans="1:38" x14ac:dyDescent="0.25">
      <c r="A1152" t="s">
        <v>2696</v>
      </c>
      <c r="B1152" t="s">
        <v>2696</v>
      </c>
      <c r="C1152" s="1">
        <v>963</v>
      </c>
      <c r="D1152" s="1" t="s">
        <v>2695</v>
      </c>
      <c r="E1152">
        <v>9</v>
      </c>
      <c r="F1152">
        <v>1.3</v>
      </c>
      <c r="G1152">
        <v>60.2</v>
      </c>
      <c r="H1152" t="s">
        <v>76</v>
      </c>
      <c r="J1152" t="s">
        <v>507</v>
      </c>
      <c r="M1152" t="s">
        <v>79</v>
      </c>
      <c r="N1152">
        <v>50</v>
      </c>
      <c r="O1152">
        <v>50</v>
      </c>
      <c r="P1152">
        <v>0</v>
      </c>
      <c r="Q1152">
        <v>40</v>
      </c>
      <c r="R1152" t="s">
        <v>132</v>
      </c>
      <c r="S1152" t="s">
        <v>508</v>
      </c>
      <c r="T1152">
        <v>200</v>
      </c>
      <c r="U1152">
        <v>63</v>
      </c>
      <c r="V1152">
        <v>1250000</v>
      </c>
      <c r="W1152" t="s">
        <v>46</v>
      </c>
      <c r="Z1152">
        <v>70</v>
      </c>
      <c r="AA1152">
        <v>45</v>
      </c>
      <c r="AB1152">
        <v>40</v>
      </c>
      <c r="AC1152">
        <v>45</v>
      </c>
      <c r="AD1152">
        <v>40</v>
      </c>
      <c r="AE1152">
        <v>75</v>
      </c>
      <c r="AF1152">
        <v>315</v>
      </c>
      <c r="AG1152">
        <v>0</v>
      </c>
      <c r="AH1152">
        <v>0</v>
      </c>
      <c r="AI1152">
        <v>0</v>
      </c>
      <c r="AJ1152">
        <v>0</v>
      </c>
      <c r="AK1152">
        <v>0</v>
      </c>
      <c r="AL1152">
        <v>1</v>
      </c>
    </row>
    <row r="1153" spans="1:38" x14ac:dyDescent="0.25">
      <c r="A1153" t="s">
        <v>2698</v>
      </c>
      <c r="B1153" t="s">
        <v>2699</v>
      </c>
      <c r="C1153" s="1">
        <v>964</v>
      </c>
      <c r="D1153" s="1" t="s">
        <v>2697</v>
      </c>
      <c r="E1153">
        <v>9</v>
      </c>
      <c r="F1153">
        <v>1.3</v>
      </c>
      <c r="G1153">
        <v>60.2</v>
      </c>
      <c r="H1153" t="s">
        <v>76</v>
      </c>
      <c r="J1153" t="s">
        <v>2700</v>
      </c>
      <c r="M1153" t="s">
        <v>79</v>
      </c>
      <c r="N1153">
        <v>50</v>
      </c>
      <c r="O1153">
        <v>50</v>
      </c>
      <c r="P1153">
        <v>0</v>
      </c>
      <c r="Q1153">
        <v>40</v>
      </c>
      <c r="R1153" t="s">
        <v>132</v>
      </c>
      <c r="S1153" t="s">
        <v>508</v>
      </c>
      <c r="T1153">
        <v>45</v>
      </c>
      <c r="U1153">
        <v>160</v>
      </c>
      <c r="V1153">
        <v>1250000</v>
      </c>
      <c r="W1153" t="s">
        <v>46</v>
      </c>
      <c r="Z1153">
        <v>100</v>
      </c>
      <c r="AA1153">
        <v>70</v>
      </c>
      <c r="AB1153">
        <v>72</v>
      </c>
      <c r="AC1153">
        <v>53</v>
      </c>
      <c r="AD1153">
        <v>62</v>
      </c>
      <c r="AE1153">
        <v>100</v>
      </c>
      <c r="AF1153">
        <v>457</v>
      </c>
      <c r="AG1153">
        <v>2</v>
      </c>
      <c r="AH1153">
        <v>0</v>
      </c>
      <c r="AI1153">
        <v>0</v>
      </c>
      <c r="AJ1153">
        <v>0</v>
      </c>
      <c r="AK1153">
        <v>0</v>
      </c>
      <c r="AL1153">
        <v>0</v>
      </c>
    </row>
    <row r="1154" spans="1:38" x14ac:dyDescent="0.25">
      <c r="A1154" t="s">
        <v>2698</v>
      </c>
      <c r="B1154" t="s">
        <v>2702</v>
      </c>
      <c r="C1154" s="1">
        <v>964</v>
      </c>
      <c r="D1154" s="1" t="s">
        <v>2701</v>
      </c>
      <c r="E1154">
        <v>9</v>
      </c>
      <c r="F1154">
        <v>1.8</v>
      </c>
      <c r="G1154">
        <v>97.4</v>
      </c>
      <c r="H1154" t="s">
        <v>76</v>
      </c>
      <c r="J1154" t="s">
        <v>2700</v>
      </c>
      <c r="M1154" t="s">
        <v>79</v>
      </c>
      <c r="N1154">
        <v>50</v>
      </c>
      <c r="O1154">
        <v>50</v>
      </c>
      <c r="P1154">
        <v>0</v>
      </c>
      <c r="Q1154">
        <v>40</v>
      </c>
      <c r="R1154" t="s">
        <v>132</v>
      </c>
      <c r="S1154" t="s">
        <v>508</v>
      </c>
      <c r="T1154">
        <v>45</v>
      </c>
      <c r="U1154">
        <v>228</v>
      </c>
      <c r="V1154">
        <v>1250000</v>
      </c>
      <c r="W1154" t="s">
        <v>46</v>
      </c>
      <c r="Z1154">
        <v>100</v>
      </c>
      <c r="AA1154">
        <v>160</v>
      </c>
      <c r="AB1154">
        <v>97</v>
      </c>
      <c r="AC1154">
        <v>106</v>
      </c>
      <c r="AD1154">
        <v>87</v>
      </c>
      <c r="AE1154">
        <v>100</v>
      </c>
      <c r="AF1154">
        <v>650</v>
      </c>
      <c r="AG1154">
        <v>2</v>
      </c>
      <c r="AH1154">
        <v>0</v>
      </c>
      <c r="AI1154">
        <v>0</v>
      </c>
      <c r="AJ1154">
        <v>0</v>
      </c>
      <c r="AK1154">
        <v>0</v>
      </c>
      <c r="AL1154">
        <v>0</v>
      </c>
    </row>
    <row r="1155" spans="1:38" x14ac:dyDescent="0.25">
      <c r="A1155" t="s">
        <v>2704</v>
      </c>
      <c r="B1155" t="s">
        <v>2704</v>
      </c>
      <c r="C1155" s="1">
        <v>965</v>
      </c>
      <c r="D1155" s="1" t="s">
        <v>2703</v>
      </c>
      <c r="E1155">
        <v>9</v>
      </c>
      <c r="F1155">
        <v>1</v>
      </c>
      <c r="G1155">
        <v>35</v>
      </c>
      <c r="H1155" t="s">
        <v>171</v>
      </c>
      <c r="I1155" t="s">
        <v>41</v>
      </c>
      <c r="J1155" t="s">
        <v>414</v>
      </c>
      <c r="L1155" t="s">
        <v>1463</v>
      </c>
      <c r="M1155" t="s">
        <v>318</v>
      </c>
      <c r="N1155">
        <v>50</v>
      </c>
      <c r="O1155">
        <v>50</v>
      </c>
      <c r="P1155">
        <v>0</v>
      </c>
      <c r="Q1155">
        <v>20</v>
      </c>
      <c r="R1155" t="s">
        <v>339</v>
      </c>
      <c r="T1155">
        <v>190</v>
      </c>
      <c r="U1155">
        <v>60</v>
      </c>
      <c r="V1155">
        <v>1000000</v>
      </c>
      <c r="W1155" t="s">
        <v>46</v>
      </c>
      <c r="Z1155">
        <v>45</v>
      </c>
      <c r="AA1155">
        <v>70</v>
      </c>
      <c r="AB1155">
        <v>63</v>
      </c>
      <c r="AC1155">
        <v>30</v>
      </c>
      <c r="AD1155">
        <v>45</v>
      </c>
      <c r="AE1155">
        <v>47</v>
      </c>
      <c r="AF1155">
        <v>300</v>
      </c>
      <c r="AG1155">
        <v>0</v>
      </c>
      <c r="AH1155">
        <v>1</v>
      </c>
      <c r="AI1155">
        <v>0</v>
      </c>
      <c r="AJ1155">
        <v>0</v>
      </c>
      <c r="AK1155">
        <v>0</v>
      </c>
      <c r="AL1155">
        <v>0</v>
      </c>
    </row>
    <row r="1156" spans="1:38" x14ac:dyDescent="0.25">
      <c r="A1156" t="s">
        <v>2706</v>
      </c>
      <c r="B1156" t="s">
        <v>2706</v>
      </c>
      <c r="C1156" s="1">
        <v>966</v>
      </c>
      <c r="D1156" s="1" t="s">
        <v>2705</v>
      </c>
      <c r="E1156">
        <v>9</v>
      </c>
      <c r="F1156">
        <v>1.8</v>
      </c>
      <c r="G1156">
        <v>120</v>
      </c>
      <c r="H1156" t="s">
        <v>171</v>
      </c>
      <c r="I1156" t="s">
        <v>41</v>
      </c>
      <c r="J1156" t="s">
        <v>414</v>
      </c>
      <c r="L1156" t="s">
        <v>518</v>
      </c>
      <c r="M1156" t="s">
        <v>318</v>
      </c>
      <c r="N1156">
        <v>50</v>
      </c>
      <c r="O1156">
        <v>50</v>
      </c>
      <c r="P1156">
        <v>0</v>
      </c>
      <c r="Q1156">
        <v>20</v>
      </c>
      <c r="R1156" t="s">
        <v>339</v>
      </c>
      <c r="T1156">
        <v>75</v>
      </c>
      <c r="U1156">
        <v>175</v>
      </c>
      <c r="V1156">
        <v>1000000</v>
      </c>
      <c r="W1156" t="s">
        <v>46</v>
      </c>
      <c r="Z1156">
        <v>80</v>
      </c>
      <c r="AA1156">
        <v>119</v>
      </c>
      <c r="AB1156">
        <v>90</v>
      </c>
      <c r="AC1156">
        <v>54</v>
      </c>
      <c r="AD1156">
        <v>67</v>
      </c>
      <c r="AE1156">
        <v>90</v>
      </c>
      <c r="AF1156">
        <v>500</v>
      </c>
      <c r="AG1156">
        <v>0</v>
      </c>
      <c r="AH1156">
        <v>2</v>
      </c>
      <c r="AI1156">
        <v>0</v>
      </c>
      <c r="AJ1156">
        <v>0</v>
      </c>
      <c r="AK1156">
        <v>0</v>
      </c>
      <c r="AL1156">
        <v>0</v>
      </c>
    </row>
    <row r="1157" spans="1:38" x14ac:dyDescent="0.25">
      <c r="A1157" t="s">
        <v>2708</v>
      </c>
      <c r="B1157" t="s">
        <v>2708</v>
      </c>
      <c r="C1157" s="1">
        <v>967</v>
      </c>
      <c r="D1157" s="1" t="s">
        <v>2707</v>
      </c>
      <c r="E1157">
        <v>9</v>
      </c>
      <c r="F1157">
        <v>1.6</v>
      </c>
      <c r="G1157">
        <v>63</v>
      </c>
      <c r="H1157" t="s">
        <v>61</v>
      </c>
      <c r="I1157" t="s">
        <v>116</v>
      </c>
      <c r="J1157" t="s">
        <v>95</v>
      </c>
      <c r="L1157" t="s">
        <v>367</v>
      </c>
      <c r="M1157" t="s">
        <v>44</v>
      </c>
      <c r="N1157">
        <v>50</v>
      </c>
      <c r="O1157">
        <v>50</v>
      </c>
      <c r="P1157">
        <v>0</v>
      </c>
      <c r="Q1157">
        <v>30</v>
      </c>
      <c r="R1157" t="s">
        <v>132</v>
      </c>
      <c r="T1157">
        <v>190</v>
      </c>
      <c r="U1157">
        <v>175</v>
      </c>
      <c r="V1157">
        <v>1059860</v>
      </c>
      <c r="W1157" t="s">
        <v>46</v>
      </c>
      <c r="Z1157">
        <v>70</v>
      </c>
      <c r="AA1157">
        <v>95</v>
      </c>
      <c r="AB1157">
        <v>65</v>
      </c>
      <c r="AC1157">
        <v>85</v>
      </c>
      <c r="AD1157">
        <v>65</v>
      </c>
      <c r="AE1157">
        <v>121</v>
      </c>
      <c r="AF1157">
        <v>501</v>
      </c>
      <c r="AG1157">
        <v>0</v>
      </c>
      <c r="AH1157">
        <v>0</v>
      </c>
      <c r="AI1157">
        <v>0</v>
      </c>
      <c r="AJ1157">
        <v>0</v>
      </c>
      <c r="AK1157">
        <v>0</v>
      </c>
      <c r="AL1157">
        <v>2</v>
      </c>
    </row>
    <row r="1158" spans="1:38" x14ac:dyDescent="0.25">
      <c r="A1158" t="s">
        <v>2710</v>
      </c>
      <c r="B1158" t="s">
        <v>2710</v>
      </c>
      <c r="C1158" s="1">
        <v>968</v>
      </c>
      <c r="D1158" s="1" t="s">
        <v>2709</v>
      </c>
      <c r="E1158">
        <v>9</v>
      </c>
      <c r="F1158">
        <v>2.5</v>
      </c>
      <c r="G1158">
        <v>310</v>
      </c>
      <c r="H1158" t="s">
        <v>171</v>
      </c>
      <c r="J1158" t="s">
        <v>2711</v>
      </c>
      <c r="L1158" t="s">
        <v>166</v>
      </c>
      <c r="M1158" t="s">
        <v>199</v>
      </c>
      <c r="N1158">
        <v>50</v>
      </c>
      <c r="O1158">
        <v>50</v>
      </c>
      <c r="P1158">
        <v>0</v>
      </c>
      <c r="Q1158">
        <v>35</v>
      </c>
      <c r="R1158" t="s">
        <v>132</v>
      </c>
      <c r="T1158">
        <v>25</v>
      </c>
      <c r="U1158">
        <v>240</v>
      </c>
      <c r="V1158">
        <v>1250000</v>
      </c>
      <c r="W1158" t="s">
        <v>46</v>
      </c>
      <c r="Z1158">
        <v>70</v>
      </c>
      <c r="AA1158">
        <v>85</v>
      </c>
      <c r="AB1158">
        <v>145</v>
      </c>
      <c r="AC1158">
        <v>60</v>
      </c>
      <c r="AD1158">
        <v>55</v>
      </c>
      <c r="AE1158">
        <v>65</v>
      </c>
      <c r="AF1158">
        <v>480</v>
      </c>
      <c r="AG1158">
        <v>0</v>
      </c>
      <c r="AH1158">
        <v>0</v>
      </c>
      <c r="AI1158">
        <v>2</v>
      </c>
      <c r="AJ1158">
        <v>0</v>
      </c>
      <c r="AK1158">
        <v>0</v>
      </c>
      <c r="AL1158">
        <v>0</v>
      </c>
    </row>
    <row r="1159" spans="1:38" x14ac:dyDescent="0.25">
      <c r="A1159" t="s">
        <v>2713</v>
      </c>
      <c r="B1159" t="s">
        <v>2713</v>
      </c>
      <c r="C1159" s="1">
        <v>969</v>
      </c>
      <c r="D1159" s="1" t="s">
        <v>2712</v>
      </c>
      <c r="E1159">
        <v>9</v>
      </c>
      <c r="F1159">
        <v>0.7</v>
      </c>
      <c r="G1159">
        <v>8</v>
      </c>
      <c r="H1159" t="s">
        <v>290</v>
      </c>
      <c r="I1159" t="s">
        <v>41</v>
      </c>
      <c r="J1159" t="s">
        <v>2714</v>
      </c>
      <c r="L1159" t="s">
        <v>2159</v>
      </c>
      <c r="M1159" t="s">
        <v>79</v>
      </c>
      <c r="N1159">
        <v>50</v>
      </c>
      <c r="O1159">
        <v>50</v>
      </c>
      <c r="P1159">
        <v>0</v>
      </c>
      <c r="Q1159">
        <v>30</v>
      </c>
      <c r="R1159" t="s">
        <v>339</v>
      </c>
      <c r="T1159">
        <v>70</v>
      </c>
      <c r="U1159">
        <v>70</v>
      </c>
      <c r="V1159">
        <v>1059860</v>
      </c>
      <c r="W1159" t="s">
        <v>46</v>
      </c>
      <c r="Z1159">
        <v>48</v>
      </c>
      <c r="AA1159">
        <v>35</v>
      </c>
      <c r="AB1159">
        <v>42</v>
      </c>
      <c r="AC1159">
        <v>105</v>
      </c>
      <c r="AD1159">
        <v>60</v>
      </c>
      <c r="AE1159">
        <v>60</v>
      </c>
      <c r="AF1159">
        <v>350</v>
      </c>
      <c r="AG1159">
        <v>0</v>
      </c>
      <c r="AH1159">
        <v>0</v>
      </c>
      <c r="AI1159">
        <v>0</v>
      </c>
      <c r="AJ1159">
        <v>1</v>
      </c>
      <c r="AK1159">
        <v>0</v>
      </c>
      <c r="AL1159">
        <v>0</v>
      </c>
    </row>
    <row r="1160" spans="1:38" x14ac:dyDescent="0.25">
      <c r="A1160" t="s">
        <v>2716</v>
      </c>
      <c r="B1160" t="s">
        <v>2716</v>
      </c>
      <c r="C1160" s="1">
        <v>970</v>
      </c>
      <c r="D1160" s="1" t="s">
        <v>2715</v>
      </c>
      <c r="E1160">
        <v>9</v>
      </c>
      <c r="F1160">
        <v>1.5</v>
      </c>
      <c r="G1160">
        <v>45</v>
      </c>
      <c r="H1160" t="s">
        <v>290</v>
      </c>
      <c r="I1160" t="s">
        <v>41</v>
      </c>
      <c r="J1160" t="s">
        <v>2714</v>
      </c>
      <c r="L1160" t="s">
        <v>2159</v>
      </c>
      <c r="M1160" t="s">
        <v>79</v>
      </c>
      <c r="N1160">
        <v>50</v>
      </c>
      <c r="O1160">
        <v>50</v>
      </c>
      <c r="P1160">
        <v>0</v>
      </c>
      <c r="Q1160">
        <v>30</v>
      </c>
      <c r="R1160" t="s">
        <v>339</v>
      </c>
      <c r="T1160">
        <v>25</v>
      </c>
      <c r="U1160">
        <v>184</v>
      </c>
      <c r="V1160">
        <v>1059860</v>
      </c>
      <c r="W1160" t="s">
        <v>46</v>
      </c>
      <c r="Z1160">
        <v>83</v>
      </c>
      <c r="AA1160">
        <v>55</v>
      </c>
      <c r="AB1160">
        <v>90</v>
      </c>
      <c r="AC1160">
        <v>130</v>
      </c>
      <c r="AD1160">
        <v>81</v>
      </c>
      <c r="AE1160">
        <v>86</v>
      </c>
      <c r="AF1160">
        <v>525</v>
      </c>
      <c r="AG1160">
        <v>0</v>
      </c>
      <c r="AH1160">
        <v>0</v>
      </c>
      <c r="AI1160">
        <v>0</v>
      </c>
      <c r="AJ1160">
        <v>2</v>
      </c>
      <c r="AK1160">
        <v>0</v>
      </c>
      <c r="AL1160">
        <v>0</v>
      </c>
    </row>
    <row r="1161" spans="1:38" x14ac:dyDescent="0.25">
      <c r="A1161" t="s">
        <v>2718</v>
      </c>
      <c r="B1161" t="s">
        <v>2718</v>
      </c>
      <c r="C1161" s="1">
        <v>971</v>
      </c>
      <c r="D1161" s="1" t="s">
        <v>2717</v>
      </c>
      <c r="E1161">
        <v>9</v>
      </c>
      <c r="F1161">
        <v>0.6</v>
      </c>
      <c r="G1161">
        <v>35</v>
      </c>
      <c r="H1161" t="s">
        <v>419</v>
      </c>
      <c r="J1161" t="s">
        <v>257</v>
      </c>
      <c r="L1161" t="s">
        <v>2164</v>
      </c>
      <c r="M1161" t="s">
        <v>100</v>
      </c>
      <c r="N1161">
        <v>50</v>
      </c>
      <c r="O1161">
        <v>50</v>
      </c>
      <c r="P1161">
        <v>0</v>
      </c>
      <c r="Q1161">
        <v>20</v>
      </c>
      <c r="R1161" t="s">
        <v>132</v>
      </c>
      <c r="T1161">
        <v>120</v>
      </c>
      <c r="U1161">
        <v>58</v>
      </c>
      <c r="V1161">
        <v>1059860</v>
      </c>
      <c r="W1161" t="s">
        <v>46</v>
      </c>
      <c r="Z1161">
        <v>50</v>
      </c>
      <c r="AA1161">
        <v>61</v>
      </c>
      <c r="AB1161">
        <v>60</v>
      </c>
      <c r="AC1161">
        <v>30</v>
      </c>
      <c r="AD1161">
        <v>55</v>
      </c>
      <c r="AE1161">
        <v>34</v>
      </c>
      <c r="AF1161">
        <v>290</v>
      </c>
      <c r="AG1161">
        <v>0</v>
      </c>
      <c r="AH1161">
        <v>1</v>
      </c>
      <c r="AI1161">
        <v>0</v>
      </c>
      <c r="AJ1161">
        <v>0</v>
      </c>
      <c r="AK1161">
        <v>0</v>
      </c>
      <c r="AL1161">
        <v>0</v>
      </c>
    </row>
    <row r="1162" spans="1:38" x14ac:dyDescent="0.25">
      <c r="A1162" t="s">
        <v>2720</v>
      </c>
      <c r="B1162" t="s">
        <v>2720</v>
      </c>
      <c r="C1162" s="1">
        <v>972</v>
      </c>
      <c r="D1162" s="1" t="s">
        <v>2719</v>
      </c>
      <c r="E1162">
        <v>9</v>
      </c>
      <c r="F1162">
        <v>2</v>
      </c>
      <c r="G1162">
        <v>15</v>
      </c>
      <c r="H1162" t="s">
        <v>419</v>
      </c>
      <c r="J1162" t="s">
        <v>167</v>
      </c>
      <c r="L1162" t="s">
        <v>2164</v>
      </c>
      <c r="M1162" t="s">
        <v>100</v>
      </c>
      <c r="N1162">
        <v>50</v>
      </c>
      <c r="O1162">
        <v>50</v>
      </c>
      <c r="P1162">
        <v>0</v>
      </c>
      <c r="Q1162">
        <v>20</v>
      </c>
      <c r="R1162" t="s">
        <v>132</v>
      </c>
      <c r="T1162">
        <v>60</v>
      </c>
      <c r="U1162">
        <v>171</v>
      </c>
      <c r="V1162">
        <v>1059860</v>
      </c>
      <c r="W1162" t="s">
        <v>46</v>
      </c>
      <c r="Z1162">
        <v>72</v>
      </c>
      <c r="AA1162">
        <v>101</v>
      </c>
      <c r="AB1162">
        <v>100</v>
      </c>
      <c r="AC1162">
        <v>50</v>
      </c>
      <c r="AD1162">
        <v>97</v>
      </c>
      <c r="AE1162">
        <v>68</v>
      </c>
      <c r="AF1162">
        <v>488</v>
      </c>
      <c r="AG1162">
        <v>0</v>
      </c>
      <c r="AH1162">
        <v>2</v>
      </c>
      <c r="AI1162">
        <v>0</v>
      </c>
      <c r="AJ1162">
        <v>0</v>
      </c>
      <c r="AK1162">
        <v>0</v>
      </c>
      <c r="AL1162">
        <v>0</v>
      </c>
    </row>
    <row r="1163" spans="1:38" x14ac:dyDescent="0.25">
      <c r="A1163" t="s">
        <v>2722</v>
      </c>
      <c r="B1163" t="s">
        <v>2722</v>
      </c>
      <c r="C1163" s="1">
        <v>973</v>
      </c>
      <c r="D1163" s="1" t="s">
        <v>2721</v>
      </c>
      <c r="E1163">
        <v>9</v>
      </c>
      <c r="F1163">
        <v>1.6</v>
      </c>
      <c r="G1163">
        <v>37</v>
      </c>
      <c r="H1163" t="s">
        <v>66</v>
      </c>
      <c r="I1163" t="s">
        <v>279</v>
      </c>
      <c r="J1163" t="s">
        <v>387</v>
      </c>
      <c r="K1163" t="s">
        <v>118</v>
      </c>
      <c r="L1163" t="s">
        <v>2723</v>
      </c>
      <c r="M1163" t="s">
        <v>199</v>
      </c>
      <c r="N1163">
        <v>50</v>
      </c>
      <c r="O1163">
        <v>50</v>
      </c>
      <c r="P1163">
        <v>0</v>
      </c>
      <c r="Q1163">
        <v>20</v>
      </c>
      <c r="R1163" t="s">
        <v>66</v>
      </c>
      <c r="T1163">
        <v>100</v>
      </c>
      <c r="U1163">
        <v>175</v>
      </c>
      <c r="V1163">
        <v>1059860</v>
      </c>
      <c r="W1163" t="s">
        <v>46</v>
      </c>
      <c r="Z1163">
        <v>82</v>
      </c>
      <c r="AA1163">
        <v>115</v>
      </c>
      <c r="AB1163">
        <v>74</v>
      </c>
      <c r="AC1163">
        <v>75</v>
      </c>
      <c r="AD1163">
        <v>64</v>
      </c>
      <c r="AE1163">
        <v>90</v>
      </c>
      <c r="AF1163">
        <v>500</v>
      </c>
      <c r="AG1163">
        <v>0</v>
      </c>
      <c r="AH1163">
        <v>2</v>
      </c>
      <c r="AI1163">
        <v>0</v>
      </c>
      <c r="AJ1163">
        <v>0</v>
      </c>
      <c r="AK1163">
        <v>0</v>
      </c>
      <c r="AL1163">
        <v>0</v>
      </c>
    </row>
    <row r="1164" spans="1:38" x14ac:dyDescent="0.25">
      <c r="A1164" t="s">
        <v>2725</v>
      </c>
      <c r="B1164" t="s">
        <v>2725</v>
      </c>
      <c r="C1164" s="1">
        <v>974</v>
      </c>
      <c r="D1164" s="1" t="s">
        <v>2724</v>
      </c>
      <c r="E1164">
        <v>9</v>
      </c>
      <c r="F1164">
        <v>1.2</v>
      </c>
      <c r="G1164">
        <v>45</v>
      </c>
      <c r="H1164" t="s">
        <v>170</v>
      </c>
      <c r="J1164" t="s">
        <v>53</v>
      </c>
      <c r="K1164" t="s">
        <v>172</v>
      </c>
      <c r="L1164" t="s">
        <v>187</v>
      </c>
      <c r="M1164" t="s">
        <v>100</v>
      </c>
      <c r="N1164">
        <v>50</v>
      </c>
      <c r="O1164">
        <v>50</v>
      </c>
      <c r="P1164">
        <v>0</v>
      </c>
      <c r="Q1164">
        <v>25</v>
      </c>
      <c r="R1164" t="s">
        <v>132</v>
      </c>
      <c r="T1164">
        <v>150</v>
      </c>
      <c r="U1164">
        <v>67</v>
      </c>
      <c r="V1164">
        <v>1059860</v>
      </c>
      <c r="W1164" t="s">
        <v>46</v>
      </c>
      <c r="Z1164">
        <v>108</v>
      </c>
      <c r="AA1164">
        <v>68</v>
      </c>
      <c r="AB1164">
        <v>45</v>
      </c>
      <c r="AC1164">
        <v>30</v>
      </c>
      <c r="AD1164">
        <v>40</v>
      </c>
      <c r="AE1164">
        <v>43</v>
      </c>
      <c r="AF1164">
        <v>334</v>
      </c>
      <c r="AG1164">
        <v>1</v>
      </c>
      <c r="AH1164">
        <v>0</v>
      </c>
      <c r="AI1164">
        <v>0</v>
      </c>
      <c r="AJ1164">
        <v>0</v>
      </c>
      <c r="AK1164">
        <v>0</v>
      </c>
      <c r="AL1164">
        <v>0</v>
      </c>
    </row>
    <row r="1165" spans="1:38" x14ac:dyDescent="0.25">
      <c r="A1165" t="s">
        <v>2727</v>
      </c>
      <c r="B1165" t="s">
        <v>2727</v>
      </c>
      <c r="C1165" s="1">
        <v>975</v>
      </c>
      <c r="D1165" s="1" t="s">
        <v>2726</v>
      </c>
      <c r="E1165">
        <v>9</v>
      </c>
      <c r="F1165">
        <v>4.5</v>
      </c>
      <c r="G1165">
        <v>700</v>
      </c>
      <c r="H1165" t="s">
        <v>170</v>
      </c>
      <c r="J1165" t="s">
        <v>53</v>
      </c>
      <c r="K1165" t="s">
        <v>173</v>
      </c>
      <c r="L1165" t="s">
        <v>187</v>
      </c>
      <c r="M1165" t="s">
        <v>100</v>
      </c>
      <c r="N1165">
        <v>50</v>
      </c>
      <c r="O1165">
        <v>50</v>
      </c>
      <c r="P1165">
        <v>0</v>
      </c>
      <c r="Q1165">
        <v>25</v>
      </c>
      <c r="R1165" t="s">
        <v>132</v>
      </c>
      <c r="T1165">
        <v>50</v>
      </c>
      <c r="U1165">
        <v>182</v>
      </c>
      <c r="V1165">
        <v>1059860</v>
      </c>
      <c r="W1165" t="s">
        <v>46</v>
      </c>
      <c r="Z1165">
        <v>170</v>
      </c>
      <c r="AA1165">
        <v>113</v>
      </c>
      <c r="AB1165">
        <v>65</v>
      </c>
      <c r="AC1165">
        <v>45</v>
      </c>
      <c r="AD1165">
        <v>55</v>
      </c>
      <c r="AE1165">
        <v>73</v>
      </c>
      <c r="AF1165">
        <v>521</v>
      </c>
      <c r="AG1165">
        <v>2</v>
      </c>
      <c r="AH1165">
        <v>0</v>
      </c>
      <c r="AI1165">
        <v>0</v>
      </c>
      <c r="AJ1165">
        <v>0</v>
      </c>
      <c r="AK1165">
        <v>0</v>
      </c>
      <c r="AL1165">
        <v>0</v>
      </c>
    </row>
    <row r="1166" spans="1:38" x14ac:dyDescent="0.25">
      <c r="A1166" t="s">
        <v>2729</v>
      </c>
      <c r="B1166" t="s">
        <v>2729</v>
      </c>
      <c r="C1166" s="1">
        <v>976</v>
      </c>
      <c r="D1166" s="1" t="s">
        <v>2728</v>
      </c>
      <c r="E1166">
        <v>9</v>
      </c>
      <c r="F1166">
        <v>2.5</v>
      </c>
      <c r="G1166">
        <v>90</v>
      </c>
      <c r="H1166" t="s">
        <v>76</v>
      </c>
      <c r="I1166" t="s">
        <v>162</v>
      </c>
      <c r="J1166" t="s">
        <v>532</v>
      </c>
      <c r="L1166" t="s">
        <v>1424</v>
      </c>
      <c r="M1166" t="s">
        <v>318</v>
      </c>
      <c r="N1166">
        <v>50</v>
      </c>
      <c r="O1166">
        <v>50</v>
      </c>
      <c r="P1166">
        <v>0</v>
      </c>
      <c r="Q1166">
        <v>20</v>
      </c>
      <c r="R1166" t="s">
        <v>508</v>
      </c>
      <c r="T1166">
        <v>100</v>
      </c>
      <c r="U1166">
        <v>167</v>
      </c>
      <c r="V1166">
        <v>800000</v>
      </c>
      <c r="W1166" t="s">
        <v>46</v>
      </c>
      <c r="Z1166">
        <v>90</v>
      </c>
      <c r="AA1166">
        <v>102</v>
      </c>
      <c r="AB1166">
        <v>73</v>
      </c>
      <c r="AC1166">
        <v>78</v>
      </c>
      <c r="AD1166">
        <v>65</v>
      </c>
      <c r="AE1166">
        <v>70</v>
      </c>
      <c r="AF1166">
        <v>478</v>
      </c>
      <c r="AG1166">
        <v>0</v>
      </c>
      <c r="AH1166">
        <v>2</v>
      </c>
      <c r="AI1166">
        <v>0</v>
      </c>
      <c r="AJ1166">
        <v>0</v>
      </c>
      <c r="AK1166">
        <v>0</v>
      </c>
      <c r="AL1166">
        <v>0</v>
      </c>
    </row>
    <row r="1167" spans="1:38" x14ac:dyDescent="0.25">
      <c r="A1167" t="s">
        <v>2731</v>
      </c>
      <c r="B1167" t="s">
        <v>2731</v>
      </c>
      <c r="C1167" s="1">
        <v>977</v>
      </c>
      <c r="D1167" s="1" t="s">
        <v>2730</v>
      </c>
      <c r="E1167">
        <v>9</v>
      </c>
      <c r="F1167">
        <v>12</v>
      </c>
      <c r="G1167">
        <v>220</v>
      </c>
      <c r="H1167" t="s">
        <v>76</v>
      </c>
      <c r="J1167" t="s">
        <v>202</v>
      </c>
      <c r="K1167" t="s">
        <v>365</v>
      </c>
      <c r="L1167" t="s">
        <v>507</v>
      </c>
      <c r="M1167" t="s">
        <v>79</v>
      </c>
      <c r="N1167">
        <v>50</v>
      </c>
      <c r="O1167">
        <v>50</v>
      </c>
      <c r="P1167">
        <v>0</v>
      </c>
      <c r="Q1167">
        <v>40</v>
      </c>
      <c r="R1167" t="s">
        <v>508</v>
      </c>
      <c r="T1167">
        <v>25</v>
      </c>
      <c r="U1167">
        <v>265</v>
      </c>
      <c r="V1167">
        <v>1250000</v>
      </c>
      <c r="W1167" t="s">
        <v>46</v>
      </c>
      <c r="Z1167">
        <v>150</v>
      </c>
      <c r="AA1167">
        <v>100</v>
      </c>
      <c r="AB1167">
        <v>115</v>
      </c>
      <c r="AC1167">
        <v>65</v>
      </c>
      <c r="AD1167">
        <v>65</v>
      </c>
      <c r="AE1167">
        <v>35</v>
      </c>
      <c r="AF1167">
        <v>530</v>
      </c>
      <c r="AG1167">
        <v>3</v>
      </c>
      <c r="AH1167">
        <v>0</v>
      </c>
      <c r="AI1167">
        <v>0</v>
      </c>
      <c r="AJ1167">
        <v>0</v>
      </c>
      <c r="AK1167">
        <v>0</v>
      </c>
      <c r="AL1167">
        <v>0</v>
      </c>
    </row>
    <row r="1168" spans="1:38" x14ac:dyDescent="0.25">
      <c r="A1168" t="s">
        <v>2733</v>
      </c>
      <c r="B1168" t="s">
        <v>2734</v>
      </c>
      <c r="C1168" s="1">
        <v>978</v>
      </c>
      <c r="D1168" s="1" t="s">
        <v>2732</v>
      </c>
      <c r="E1168">
        <v>9</v>
      </c>
      <c r="F1168">
        <v>0.3</v>
      </c>
      <c r="G1168">
        <v>8</v>
      </c>
      <c r="H1168" t="s">
        <v>61</v>
      </c>
      <c r="I1168" t="s">
        <v>76</v>
      </c>
      <c r="J1168" t="s">
        <v>2735</v>
      </c>
      <c r="L1168" t="s">
        <v>1092</v>
      </c>
      <c r="M1168" t="s">
        <v>199</v>
      </c>
      <c r="N1168">
        <v>50</v>
      </c>
      <c r="O1168">
        <v>50</v>
      </c>
      <c r="P1168">
        <v>0</v>
      </c>
      <c r="Q1168">
        <v>35</v>
      </c>
      <c r="R1168" t="s">
        <v>508</v>
      </c>
      <c r="T1168">
        <v>100</v>
      </c>
      <c r="U1168">
        <v>166</v>
      </c>
      <c r="V1168">
        <v>1059860</v>
      </c>
      <c r="W1168" t="s">
        <v>46</v>
      </c>
      <c r="Z1168">
        <v>68</v>
      </c>
      <c r="AA1168">
        <v>50</v>
      </c>
      <c r="AB1168">
        <v>60</v>
      </c>
      <c r="AC1168">
        <v>120</v>
      </c>
      <c r="AD1168">
        <v>95</v>
      </c>
      <c r="AE1168">
        <v>82</v>
      </c>
      <c r="AF1168">
        <v>475</v>
      </c>
      <c r="AG1168">
        <v>0</v>
      </c>
      <c r="AH1168">
        <v>0</v>
      </c>
      <c r="AI1168">
        <v>0</v>
      </c>
      <c r="AJ1168">
        <v>2</v>
      </c>
      <c r="AK1168">
        <v>0</v>
      </c>
      <c r="AL1168">
        <v>0</v>
      </c>
    </row>
    <row r="1169" spans="1:38" x14ac:dyDescent="0.25">
      <c r="A1169" t="s">
        <v>2733</v>
      </c>
      <c r="B1169" t="s">
        <v>2737</v>
      </c>
      <c r="C1169" s="1">
        <v>978</v>
      </c>
      <c r="D1169" s="1" t="s">
        <v>2736</v>
      </c>
      <c r="E1169">
        <v>9</v>
      </c>
      <c r="F1169">
        <v>0.3</v>
      </c>
      <c r="G1169">
        <v>8</v>
      </c>
      <c r="H1169" t="s">
        <v>61</v>
      </c>
      <c r="I1169" t="s">
        <v>76</v>
      </c>
      <c r="J1169" t="s">
        <v>2735</v>
      </c>
      <c r="L1169" t="s">
        <v>1092</v>
      </c>
      <c r="M1169" t="s">
        <v>60</v>
      </c>
      <c r="N1169">
        <v>50</v>
      </c>
      <c r="O1169">
        <v>50</v>
      </c>
      <c r="P1169">
        <v>0</v>
      </c>
      <c r="Q1169">
        <v>35</v>
      </c>
      <c r="R1169" t="s">
        <v>508</v>
      </c>
      <c r="T1169">
        <v>100</v>
      </c>
      <c r="U1169">
        <v>166</v>
      </c>
      <c r="V1169">
        <v>1059860</v>
      </c>
      <c r="W1169" t="s">
        <v>46</v>
      </c>
      <c r="Z1169">
        <v>68</v>
      </c>
      <c r="AA1169">
        <v>50</v>
      </c>
      <c r="AB1169">
        <v>60</v>
      </c>
      <c r="AC1169">
        <v>120</v>
      </c>
      <c r="AD1169">
        <v>95</v>
      </c>
      <c r="AE1169">
        <v>82</v>
      </c>
      <c r="AF1169">
        <v>475</v>
      </c>
      <c r="AG1169">
        <v>0</v>
      </c>
      <c r="AH1169">
        <v>0</v>
      </c>
      <c r="AI1169">
        <v>0</v>
      </c>
      <c r="AJ1169">
        <v>2</v>
      </c>
      <c r="AK1169">
        <v>0</v>
      </c>
      <c r="AL1169">
        <v>0</v>
      </c>
    </row>
    <row r="1170" spans="1:38" x14ac:dyDescent="0.25">
      <c r="A1170" t="s">
        <v>2733</v>
      </c>
      <c r="B1170" t="s">
        <v>2739</v>
      </c>
      <c r="C1170" s="1">
        <v>978</v>
      </c>
      <c r="D1170" s="1" t="s">
        <v>2738</v>
      </c>
      <c r="E1170">
        <v>9</v>
      </c>
      <c r="F1170">
        <v>0.3</v>
      </c>
      <c r="G1170">
        <v>8</v>
      </c>
      <c r="H1170" t="s">
        <v>61</v>
      </c>
      <c r="I1170" t="s">
        <v>76</v>
      </c>
      <c r="J1170" t="s">
        <v>2735</v>
      </c>
      <c r="L1170" t="s">
        <v>1092</v>
      </c>
      <c r="M1170" t="s">
        <v>106</v>
      </c>
      <c r="N1170">
        <v>50</v>
      </c>
      <c r="O1170">
        <v>50</v>
      </c>
      <c r="P1170">
        <v>0</v>
      </c>
      <c r="Q1170">
        <v>35</v>
      </c>
      <c r="R1170" t="s">
        <v>508</v>
      </c>
      <c r="T1170">
        <v>100</v>
      </c>
      <c r="U1170">
        <v>166</v>
      </c>
      <c r="V1170">
        <v>1059860</v>
      </c>
      <c r="W1170" t="s">
        <v>46</v>
      </c>
      <c r="Z1170">
        <v>68</v>
      </c>
      <c r="AA1170">
        <v>50</v>
      </c>
      <c r="AB1170">
        <v>60</v>
      </c>
      <c r="AC1170">
        <v>120</v>
      </c>
      <c r="AD1170">
        <v>95</v>
      </c>
      <c r="AE1170">
        <v>82</v>
      </c>
      <c r="AF1170">
        <v>475</v>
      </c>
      <c r="AG1170">
        <v>0</v>
      </c>
      <c r="AH1170">
        <v>0</v>
      </c>
      <c r="AI1170">
        <v>0</v>
      </c>
      <c r="AJ1170">
        <v>2</v>
      </c>
      <c r="AK1170">
        <v>0</v>
      </c>
      <c r="AL1170">
        <v>0</v>
      </c>
    </row>
    <row r="1171" spans="1:38" x14ac:dyDescent="0.25">
      <c r="A1171" t="s">
        <v>2741</v>
      </c>
      <c r="B1171" t="s">
        <v>2741</v>
      </c>
      <c r="C1171" s="1">
        <v>979</v>
      </c>
      <c r="D1171" s="1" t="s">
        <v>2740</v>
      </c>
      <c r="E1171">
        <v>9</v>
      </c>
      <c r="F1171">
        <v>1.2</v>
      </c>
      <c r="G1171">
        <v>56</v>
      </c>
      <c r="H1171" t="s">
        <v>279</v>
      </c>
      <c r="I1171" t="s">
        <v>419</v>
      </c>
      <c r="J1171" t="s">
        <v>280</v>
      </c>
      <c r="K1171" t="s">
        <v>221</v>
      </c>
      <c r="L1171" t="s">
        <v>282</v>
      </c>
      <c r="M1171" t="s">
        <v>318</v>
      </c>
      <c r="N1171">
        <v>50</v>
      </c>
      <c r="O1171">
        <v>50</v>
      </c>
      <c r="P1171">
        <v>0</v>
      </c>
      <c r="Q1171">
        <v>20</v>
      </c>
      <c r="R1171" t="s">
        <v>132</v>
      </c>
      <c r="T1171">
        <v>45</v>
      </c>
      <c r="U1171">
        <v>268</v>
      </c>
      <c r="V1171">
        <v>1000000</v>
      </c>
      <c r="W1171" t="s">
        <v>46</v>
      </c>
      <c r="Z1171">
        <v>110</v>
      </c>
      <c r="AA1171">
        <v>115</v>
      </c>
      <c r="AB1171">
        <v>80</v>
      </c>
      <c r="AC1171">
        <v>50</v>
      </c>
      <c r="AD1171">
        <v>90</v>
      </c>
      <c r="AE1171">
        <v>90</v>
      </c>
      <c r="AF1171">
        <v>535</v>
      </c>
      <c r="AG1171">
        <v>0</v>
      </c>
      <c r="AH1171">
        <v>3</v>
      </c>
      <c r="AI1171">
        <v>0</v>
      </c>
      <c r="AJ1171">
        <v>0</v>
      </c>
      <c r="AK1171">
        <v>0</v>
      </c>
      <c r="AL1171">
        <v>0</v>
      </c>
    </row>
    <row r="1172" spans="1:38" x14ac:dyDescent="0.25">
      <c r="A1172" t="s">
        <v>2743</v>
      </c>
      <c r="B1172" t="s">
        <v>2743</v>
      </c>
      <c r="C1172" s="1">
        <v>980</v>
      </c>
      <c r="D1172" s="1" t="s">
        <v>2742</v>
      </c>
      <c r="E1172">
        <v>9</v>
      </c>
      <c r="F1172">
        <v>1.8</v>
      </c>
      <c r="G1172">
        <v>223</v>
      </c>
      <c r="H1172" t="s">
        <v>41</v>
      </c>
      <c r="I1172" t="s">
        <v>132</v>
      </c>
      <c r="J1172" t="s">
        <v>180</v>
      </c>
      <c r="K1172" t="s">
        <v>299</v>
      </c>
      <c r="L1172" t="s">
        <v>202</v>
      </c>
      <c r="M1172" t="s">
        <v>103</v>
      </c>
      <c r="N1172">
        <v>50</v>
      </c>
      <c r="O1172">
        <v>50</v>
      </c>
      <c r="P1172">
        <v>0</v>
      </c>
      <c r="Q1172">
        <v>20</v>
      </c>
      <c r="R1172" t="s">
        <v>80</v>
      </c>
      <c r="S1172" t="s">
        <v>132</v>
      </c>
      <c r="T1172">
        <v>90</v>
      </c>
      <c r="U1172">
        <v>151</v>
      </c>
      <c r="V1172">
        <v>1000000</v>
      </c>
      <c r="W1172" t="s">
        <v>46</v>
      </c>
      <c r="Z1172">
        <v>130</v>
      </c>
      <c r="AA1172">
        <v>75</v>
      </c>
      <c r="AB1172">
        <v>60</v>
      </c>
      <c r="AC1172">
        <v>45</v>
      </c>
      <c r="AD1172">
        <v>100</v>
      </c>
      <c r="AE1172">
        <v>20</v>
      </c>
      <c r="AF1172">
        <v>430</v>
      </c>
      <c r="AG1172">
        <v>2</v>
      </c>
      <c r="AH1172">
        <v>0</v>
      </c>
      <c r="AI1172">
        <v>0</v>
      </c>
      <c r="AJ1172">
        <v>0</v>
      </c>
      <c r="AK1172">
        <v>0</v>
      </c>
      <c r="AL1172">
        <v>0</v>
      </c>
    </row>
    <row r="1173" spans="1:38" x14ac:dyDescent="0.25">
      <c r="A1173" t="s">
        <v>2745</v>
      </c>
      <c r="B1173" t="s">
        <v>2745</v>
      </c>
      <c r="C1173" s="1">
        <v>981</v>
      </c>
      <c r="D1173" s="1" t="s">
        <v>2744</v>
      </c>
      <c r="E1173">
        <v>9</v>
      </c>
      <c r="F1173">
        <v>3.2</v>
      </c>
      <c r="G1173">
        <v>160</v>
      </c>
      <c r="H1173" t="s">
        <v>116</v>
      </c>
      <c r="I1173" t="s">
        <v>162</v>
      </c>
      <c r="J1173" t="s">
        <v>541</v>
      </c>
      <c r="K1173" t="s">
        <v>2746</v>
      </c>
      <c r="L1173" t="s">
        <v>691</v>
      </c>
      <c r="M1173" t="s">
        <v>103</v>
      </c>
      <c r="N1173">
        <v>50</v>
      </c>
      <c r="O1173">
        <v>50</v>
      </c>
      <c r="P1173">
        <v>0</v>
      </c>
      <c r="Q1173">
        <v>20</v>
      </c>
      <c r="R1173" t="s">
        <v>132</v>
      </c>
      <c r="T1173">
        <v>45</v>
      </c>
      <c r="U1173">
        <v>260</v>
      </c>
      <c r="V1173">
        <v>1000000</v>
      </c>
      <c r="W1173" t="s">
        <v>46</v>
      </c>
      <c r="Z1173">
        <v>120</v>
      </c>
      <c r="AA1173">
        <v>90</v>
      </c>
      <c r="AB1173">
        <v>70</v>
      </c>
      <c r="AC1173">
        <v>110</v>
      </c>
      <c r="AD1173">
        <v>70</v>
      </c>
      <c r="AE1173">
        <v>60</v>
      </c>
      <c r="AF1173">
        <v>520</v>
      </c>
      <c r="AG1173">
        <v>3</v>
      </c>
      <c r="AH1173">
        <v>0</v>
      </c>
      <c r="AI1173">
        <v>0</v>
      </c>
      <c r="AJ1173">
        <v>0</v>
      </c>
      <c r="AK1173">
        <v>0</v>
      </c>
      <c r="AL1173">
        <v>0</v>
      </c>
    </row>
    <row r="1174" spans="1:38" x14ac:dyDescent="0.25">
      <c r="A1174" t="s">
        <v>2748</v>
      </c>
      <c r="B1174" t="s">
        <v>2749</v>
      </c>
      <c r="C1174" s="1">
        <v>982</v>
      </c>
      <c r="D1174" s="1" t="s">
        <v>2747</v>
      </c>
      <c r="E1174">
        <v>9</v>
      </c>
      <c r="F1174">
        <v>3.6</v>
      </c>
      <c r="G1174">
        <v>39.200000000000003</v>
      </c>
      <c r="H1174" t="s">
        <v>116</v>
      </c>
      <c r="J1174" t="s">
        <v>491</v>
      </c>
      <c r="K1174" t="s">
        <v>92</v>
      </c>
      <c r="L1174" t="s">
        <v>261</v>
      </c>
      <c r="M1174" t="s">
        <v>106</v>
      </c>
      <c r="N1174">
        <v>50</v>
      </c>
      <c r="O1174">
        <v>50</v>
      </c>
      <c r="P1174">
        <v>0</v>
      </c>
      <c r="Q1174">
        <v>20</v>
      </c>
      <c r="R1174" t="s">
        <v>132</v>
      </c>
      <c r="T1174">
        <v>45</v>
      </c>
      <c r="U1174">
        <v>182</v>
      </c>
      <c r="V1174">
        <v>1000000</v>
      </c>
      <c r="W1174" t="s">
        <v>46</v>
      </c>
      <c r="Z1174">
        <v>125</v>
      </c>
      <c r="AA1174">
        <v>100</v>
      </c>
      <c r="AB1174">
        <v>80</v>
      </c>
      <c r="AC1174">
        <v>85</v>
      </c>
      <c r="AD1174">
        <v>75</v>
      </c>
      <c r="AE1174">
        <v>55</v>
      </c>
      <c r="AF1174">
        <v>520</v>
      </c>
      <c r="AG1174">
        <v>2</v>
      </c>
      <c r="AH1174">
        <v>0</v>
      </c>
      <c r="AI1174">
        <v>0</v>
      </c>
      <c r="AJ1174">
        <v>0</v>
      </c>
      <c r="AK1174">
        <v>0</v>
      </c>
      <c r="AL1174">
        <v>0</v>
      </c>
    </row>
    <row r="1175" spans="1:38" x14ac:dyDescent="0.25">
      <c r="A1175" t="s">
        <v>2748</v>
      </c>
      <c r="B1175" t="s">
        <v>2751</v>
      </c>
      <c r="C1175" s="1">
        <v>982</v>
      </c>
      <c r="D1175" s="1" t="s">
        <v>2750</v>
      </c>
      <c r="E1175">
        <v>9</v>
      </c>
      <c r="F1175">
        <v>4.5</v>
      </c>
      <c r="G1175">
        <v>47.4</v>
      </c>
      <c r="H1175" t="s">
        <v>116</v>
      </c>
      <c r="J1175" t="s">
        <v>491</v>
      </c>
      <c r="K1175" t="s">
        <v>92</v>
      </c>
      <c r="L1175" t="s">
        <v>261</v>
      </c>
      <c r="M1175" t="s">
        <v>106</v>
      </c>
      <c r="N1175">
        <v>50</v>
      </c>
      <c r="O1175">
        <v>50</v>
      </c>
      <c r="P1175">
        <v>0</v>
      </c>
      <c r="Q1175">
        <v>20</v>
      </c>
      <c r="R1175" t="s">
        <v>132</v>
      </c>
      <c r="T1175">
        <v>45</v>
      </c>
      <c r="U1175">
        <v>182</v>
      </c>
      <c r="V1175">
        <v>1000000</v>
      </c>
      <c r="W1175" t="s">
        <v>46</v>
      </c>
      <c r="Z1175">
        <v>125</v>
      </c>
      <c r="AA1175">
        <v>100</v>
      </c>
      <c r="AB1175">
        <v>80</v>
      </c>
      <c r="AC1175">
        <v>85</v>
      </c>
      <c r="AD1175">
        <v>75</v>
      </c>
      <c r="AE1175">
        <v>55</v>
      </c>
      <c r="AF1175">
        <v>520</v>
      </c>
      <c r="AG1175">
        <v>2</v>
      </c>
      <c r="AH1175">
        <v>0</v>
      </c>
      <c r="AI1175">
        <v>0</v>
      </c>
      <c r="AJ1175">
        <v>0</v>
      </c>
      <c r="AK1175">
        <v>0</v>
      </c>
      <c r="AL1175">
        <v>0</v>
      </c>
    </row>
    <row r="1176" spans="1:38" x14ac:dyDescent="0.25">
      <c r="A1176" t="s">
        <v>2753</v>
      </c>
      <c r="B1176" t="s">
        <v>2753</v>
      </c>
      <c r="C1176" s="1">
        <v>983</v>
      </c>
      <c r="D1176" s="1" t="s">
        <v>2752</v>
      </c>
      <c r="E1176">
        <v>9</v>
      </c>
      <c r="F1176">
        <v>2</v>
      </c>
      <c r="G1176">
        <v>120</v>
      </c>
      <c r="H1176" t="s">
        <v>135</v>
      </c>
      <c r="I1176" t="s">
        <v>171</v>
      </c>
      <c r="J1176" t="s">
        <v>282</v>
      </c>
      <c r="K1176" t="s">
        <v>2754</v>
      </c>
      <c r="L1176" t="s">
        <v>581</v>
      </c>
      <c r="M1176" t="s">
        <v>70</v>
      </c>
      <c r="N1176">
        <v>50</v>
      </c>
      <c r="O1176">
        <v>50</v>
      </c>
      <c r="P1176">
        <v>0</v>
      </c>
      <c r="Q1176">
        <v>20</v>
      </c>
      <c r="R1176" t="s">
        <v>307</v>
      </c>
      <c r="T1176">
        <v>25</v>
      </c>
      <c r="U1176">
        <v>275</v>
      </c>
      <c r="V1176">
        <v>1000000</v>
      </c>
      <c r="W1176" t="s">
        <v>46</v>
      </c>
      <c r="Z1176">
        <v>100</v>
      </c>
      <c r="AA1176">
        <v>135</v>
      </c>
      <c r="AB1176">
        <v>120</v>
      </c>
      <c r="AC1176">
        <v>60</v>
      </c>
      <c r="AD1176">
        <v>85</v>
      </c>
      <c r="AE1176">
        <v>50</v>
      </c>
      <c r="AF1176">
        <v>550</v>
      </c>
      <c r="AG1176">
        <v>0</v>
      </c>
      <c r="AH1176">
        <v>3</v>
      </c>
      <c r="AI1176">
        <v>0</v>
      </c>
      <c r="AJ1176">
        <v>0</v>
      </c>
      <c r="AK1176">
        <v>0</v>
      </c>
      <c r="AL1176">
        <v>0</v>
      </c>
    </row>
    <row r="1177" spans="1:38" x14ac:dyDescent="0.25">
      <c r="A1177" t="s">
        <v>2756</v>
      </c>
      <c r="B1177" t="s">
        <v>2756</v>
      </c>
      <c r="C1177" s="1">
        <v>984</v>
      </c>
      <c r="D1177" s="1" t="s">
        <v>2755</v>
      </c>
      <c r="E1177">
        <v>9</v>
      </c>
      <c r="F1177">
        <v>2.2000000000000002</v>
      </c>
      <c r="G1177">
        <v>320</v>
      </c>
      <c r="H1177" t="s">
        <v>132</v>
      </c>
      <c r="I1177" t="s">
        <v>279</v>
      </c>
      <c r="J1177" t="s">
        <v>2757</v>
      </c>
      <c r="M1177" t="s">
        <v>131</v>
      </c>
      <c r="N1177">
        <v>0</v>
      </c>
      <c r="O1177">
        <v>0</v>
      </c>
      <c r="P1177">
        <v>100</v>
      </c>
      <c r="Q1177">
        <v>50</v>
      </c>
      <c r="R1177" t="s">
        <v>184</v>
      </c>
      <c r="T1177">
        <v>30</v>
      </c>
      <c r="U1177">
        <v>285</v>
      </c>
      <c r="V1177">
        <v>1250000</v>
      </c>
      <c r="W1177" t="s">
        <v>589</v>
      </c>
      <c r="Z1177">
        <v>115</v>
      </c>
      <c r="AA1177">
        <v>131</v>
      </c>
      <c r="AB1177">
        <v>131</v>
      </c>
      <c r="AC1177">
        <v>53</v>
      </c>
      <c r="AD1177">
        <v>53</v>
      </c>
      <c r="AE1177">
        <v>87</v>
      </c>
      <c r="AF1177">
        <v>570</v>
      </c>
      <c r="AG1177">
        <v>0</v>
      </c>
      <c r="AH1177">
        <v>3</v>
      </c>
      <c r="AI1177">
        <v>0</v>
      </c>
      <c r="AJ1177">
        <v>0</v>
      </c>
      <c r="AK1177">
        <v>0</v>
      </c>
      <c r="AL1177">
        <v>0</v>
      </c>
    </row>
    <row r="1178" spans="1:38" x14ac:dyDescent="0.25">
      <c r="A1178" t="s">
        <v>2759</v>
      </c>
      <c r="B1178" t="s">
        <v>2759</v>
      </c>
      <c r="C1178" s="1">
        <v>985</v>
      </c>
      <c r="D1178" s="1" t="s">
        <v>2758</v>
      </c>
      <c r="E1178">
        <v>9</v>
      </c>
      <c r="F1178">
        <v>1.2</v>
      </c>
      <c r="G1178">
        <v>8</v>
      </c>
      <c r="H1178" t="s">
        <v>157</v>
      </c>
      <c r="I1178" t="s">
        <v>162</v>
      </c>
      <c r="J1178" t="s">
        <v>2757</v>
      </c>
      <c r="M1178" t="s">
        <v>199</v>
      </c>
      <c r="N1178">
        <v>0</v>
      </c>
      <c r="O1178">
        <v>0</v>
      </c>
      <c r="P1178">
        <v>100</v>
      </c>
      <c r="Q1178">
        <v>50</v>
      </c>
      <c r="R1178" t="s">
        <v>184</v>
      </c>
      <c r="T1178">
        <v>50</v>
      </c>
      <c r="U1178">
        <v>285</v>
      </c>
      <c r="V1178">
        <v>1250000</v>
      </c>
      <c r="W1178" t="s">
        <v>589</v>
      </c>
      <c r="Z1178">
        <v>115</v>
      </c>
      <c r="AA1178">
        <v>65</v>
      </c>
      <c r="AB1178">
        <v>99</v>
      </c>
      <c r="AC1178">
        <v>65</v>
      </c>
      <c r="AD1178">
        <v>115</v>
      </c>
      <c r="AE1178">
        <v>111</v>
      </c>
      <c r="AF1178">
        <v>570</v>
      </c>
      <c r="AG1178">
        <v>3</v>
      </c>
      <c r="AH1178">
        <v>0</v>
      </c>
      <c r="AI1178">
        <v>0</v>
      </c>
      <c r="AJ1178">
        <v>0</v>
      </c>
      <c r="AK1178">
        <v>0</v>
      </c>
      <c r="AL1178">
        <v>0</v>
      </c>
    </row>
    <row r="1179" spans="1:38" x14ac:dyDescent="0.25">
      <c r="A1179" t="s">
        <v>2761</v>
      </c>
      <c r="B1179" t="s">
        <v>2761</v>
      </c>
      <c r="C1179" s="1">
        <v>986</v>
      </c>
      <c r="D1179" s="1" t="s">
        <v>2760</v>
      </c>
      <c r="E1179">
        <v>9</v>
      </c>
      <c r="F1179">
        <v>1.2</v>
      </c>
      <c r="G1179">
        <v>21</v>
      </c>
      <c r="H1179" t="s">
        <v>40</v>
      </c>
      <c r="I1179" t="s">
        <v>135</v>
      </c>
      <c r="J1179" t="s">
        <v>2757</v>
      </c>
      <c r="M1179" t="s">
        <v>318</v>
      </c>
      <c r="N1179">
        <v>0</v>
      </c>
      <c r="O1179">
        <v>0</v>
      </c>
      <c r="P1179">
        <v>100</v>
      </c>
      <c r="Q1179">
        <v>50</v>
      </c>
      <c r="R1179" t="s">
        <v>184</v>
      </c>
      <c r="T1179">
        <v>50</v>
      </c>
      <c r="U1179">
        <v>285</v>
      </c>
      <c r="V1179">
        <v>1250000</v>
      </c>
      <c r="W1179" t="s">
        <v>589</v>
      </c>
      <c r="Z1179">
        <v>111</v>
      </c>
      <c r="AA1179">
        <v>127</v>
      </c>
      <c r="AB1179">
        <v>99</v>
      </c>
      <c r="AC1179">
        <v>79</v>
      </c>
      <c r="AD1179">
        <v>99</v>
      </c>
      <c r="AE1179">
        <v>55</v>
      </c>
      <c r="AF1179">
        <v>570</v>
      </c>
      <c r="AG1179">
        <v>0</v>
      </c>
      <c r="AH1179">
        <v>3</v>
      </c>
      <c r="AI1179">
        <v>0</v>
      </c>
      <c r="AJ1179">
        <v>0</v>
      </c>
      <c r="AK1179">
        <v>0</v>
      </c>
      <c r="AL1179">
        <v>0</v>
      </c>
    </row>
    <row r="1180" spans="1:38" x14ac:dyDescent="0.25">
      <c r="A1180" t="s">
        <v>2763</v>
      </c>
      <c r="B1180" t="s">
        <v>2763</v>
      </c>
      <c r="C1180" s="1">
        <v>987</v>
      </c>
      <c r="D1180" s="1" t="s">
        <v>2762</v>
      </c>
      <c r="E1180">
        <v>9</v>
      </c>
      <c r="F1180">
        <v>1.4</v>
      </c>
      <c r="G1180">
        <v>4</v>
      </c>
      <c r="H1180" t="s">
        <v>419</v>
      </c>
      <c r="I1180" t="s">
        <v>157</v>
      </c>
      <c r="J1180" t="s">
        <v>2757</v>
      </c>
      <c r="M1180" t="s">
        <v>318</v>
      </c>
      <c r="N1180">
        <v>0</v>
      </c>
      <c r="O1180">
        <v>0</v>
      </c>
      <c r="P1180">
        <v>100</v>
      </c>
      <c r="Q1180">
        <v>50</v>
      </c>
      <c r="R1180" t="s">
        <v>184</v>
      </c>
      <c r="T1180">
        <v>30</v>
      </c>
      <c r="U1180">
        <v>285</v>
      </c>
      <c r="V1180">
        <v>1250000</v>
      </c>
      <c r="W1180" t="s">
        <v>589</v>
      </c>
      <c r="Z1180">
        <v>55</v>
      </c>
      <c r="AA1180">
        <v>55</v>
      </c>
      <c r="AB1180">
        <v>55</v>
      </c>
      <c r="AC1180">
        <v>135</v>
      </c>
      <c r="AD1180">
        <v>135</v>
      </c>
      <c r="AE1180">
        <v>135</v>
      </c>
      <c r="AF1180">
        <v>570</v>
      </c>
      <c r="AG1180">
        <v>0</v>
      </c>
      <c r="AH1180">
        <v>0</v>
      </c>
      <c r="AI1180">
        <v>0</v>
      </c>
      <c r="AJ1180">
        <v>1</v>
      </c>
      <c r="AK1180">
        <v>1</v>
      </c>
      <c r="AL1180">
        <v>1</v>
      </c>
    </row>
    <row r="1181" spans="1:38" x14ac:dyDescent="0.25">
      <c r="A1181" t="s">
        <v>2765</v>
      </c>
      <c r="B1181" t="s">
        <v>2765</v>
      </c>
      <c r="C1181" s="1">
        <v>988</v>
      </c>
      <c r="D1181" s="1" t="s">
        <v>2764</v>
      </c>
      <c r="E1181">
        <v>9</v>
      </c>
      <c r="F1181">
        <v>3.2</v>
      </c>
      <c r="G1181">
        <v>92</v>
      </c>
      <c r="H1181" t="s">
        <v>90</v>
      </c>
      <c r="I1181" t="s">
        <v>279</v>
      </c>
      <c r="J1181" t="s">
        <v>2757</v>
      </c>
      <c r="M1181" t="s">
        <v>60</v>
      </c>
      <c r="N1181">
        <v>0</v>
      </c>
      <c r="O1181">
        <v>0</v>
      </c>
      <c r="P1181">
        <v>100</v>
      </c>
      <c r="Q1181">
        <v>50</v>
      </c>
      <c r="R1181" t="s">
        <v>184</v>
      </c>
      <c r="T1181">
        <v>30</v>
      </c>
      <c r="U1181">
        <v>285</v>
      </c>
      <c r="V1181">
        <v>1250000</v>
      </c>
      <c r="W1181" t="s">
        <v>589</v>
      </c>
      <c r="Z1181">
        <v>85</v>
      </c>
      <c r="AA1181">
        <v>135</v>
      </c>
      <c r="AB1181">
        <v>79</v>
      </c>
      <c r="AC1181">
        <v>85</v>
      </c>
      <c r="AD1181">
        <v>105</v>
      </c>
      <c r="AE1181">
        <v>81</v>
      </c>
      <c r="AF1181">
        <v>570</v>
      </c>
      <c r="AG1181">
        <v>0</v>
      </c>
      <c r="AH1181">
        <v>3</v>
      </c>
      <c r="AI1181">
        <v>0</v>
      </c>
      <c r="AJ1181">
        <v>0</v>
      </c>
      <c r="AK1181">
        <v>0</v>
      </c>
      <c r="AL1181">
        <v>0</v>
      </c>
    </row>
    <row r="1182" spans="1:38" x14ac:dyDescent="0.25">
      <c r="A1182" t="s">
        <v>2767</v>
      </c>
      <c r="B1182" t="s">
        <v>2767</v>
      </c>
      <c r="C1182" s="1">
        <v>989</v>
      </c>
      <c r="D1182" s="1" t="s">
        <v>2766</v>
      </c>
      <c r="E1182">
        <v>9</v>
      </c>
      <c r="F1182">
        <v>2.2999999999999998</v>
      </c>
      <c r="G1182">
        <v>60</v>
      </c>
      <c r="H1182" t="s">
        <v>154</v>
      </c>
      <c r="I1182" t="s">
        <v>132</v>
      </c>
      <c r="J1182" t="s">
        <v>2757</v>
      </c>
      <c r="M1182" t="s">
        <v>318</v>
      </c>
      <c r="N1182">
        <v>0</v>
      </c>
      <c r="O1182">
        <v>0</v>
      </c>
      <c r="P1182">
        <v>100</v>
      </c>
      <c r="Q1182">
        <v>50</v>
      </c>
      <c r="R1182" t="s">
        <v>184</v>
      </c>
      <c r="T1182">
        <v>30</v>
      </c>
      <c r="U1182">
        <v>285</v>
      </c>
      <c r="V1182">
        <v>1250000</v>
      </c>
      <c r="W1182" t="s">
        <v>589</v>
      </c>
      <c r="Z1182">
        <v>85</v>
      </c>
      <c r="AA1182">
        <v>81</v>
      </c>
      <c r="AB1182">
        <v>97</v>
      </c>
      <c r="AC1182">
        <v>121</v>
      </c>
      <c r="AD1182">
        <v>85</v>
      </c>
      <c r="AE1182">
        <v>101</v>
      </c>
      <c r="AF1182">
        <v>570</v>
      </c>
      <c r="AG1182">
        <v>0</v>
      </c>
      <c r="AH1182">
        <v>0</v>
      </c>
      <c r="AI1182">
        <v>0</v>
      </c>
      <c r="AJ1182">
        <v>3</v>
      </c>
      <c r="AK1182">
        <v>0</v>
      </c>
      <c r="AL1182">
        <v>0</v>
      </c>
    </row>
    <row r="1183" spans="1:38" x14ac:dyDescent="0.25">
      <c r="A1183" t="s">
        <v>2769</v>
      </c>
      <c r="B1183" t="s">
        <v>2769</v>
      </c>
      <c r="C1183" s="1">
        <v>990</v>
      </c>
      <c r="D1183" s="1" t="s">
        <v>2768</v>
      </c>
      <c r="E1183">
        <v>9</v>
      </c>
      <c r="F1183">
        <v>0.9</v>
      </c>
      <c r="G1183">
        <v>240</v>
      </c>
      <c r="H1183" t="s">
        <v>132</v>
      </c>
      <c r="I1183" t="s">
        <v>171</v>
      </c>
      <c r="J1183" t="s">
        <v>2770</v>
      </c>
      <c r="M1183" t="s">
        <v>318</v>
      </c>
      <c r="N1183">
        <v>0</v>
      </c>
      <c r="O1183">
        <v>0</v>
      </c>
      <c r="P1183">
        <v>100</v>
      </c>
      <c r="Q1183">
        <v>50</v>
      </c>
      <c r="R1183" t="s">
        <v>184</v>
      </c>
      <c r="T1183">
        <v>30</v>
      </c>
      <c r="U1183">
        <v>285</v>
      </c>
      <c r="V1183">
        <v>1250000</v>
      </c>
      <c r="W1183" t="s">
        <v>589</v>
      </c>
      <c r="Z1183">
        <v>90</v>
      </c>
      <c r="AA1183">
        <v>112</v>
      </c>
      <c r="AB1183">
        <v>120</v>
      </c>
      <c r="AC1183">
        <v>72</v>
      </c>
      <c r="AD1183">
        <v>70</v>
      </c>
      <c r="AE1183">
        <v>106</v>
      </c>
      <c r="AF1183">
        <v>570</v>
      </c>
      <c r="AG1183">
        <v>0</v>
      </c>
      <c r="AH1183">
        <v>0</v>
      </c>
      <c r="AI1183">
        <v>3</v>
      </c>
      <c r="AJ1183">
        <v>0</v>
      </c>
      <c r="AK1183">
        <v>0</v>
      </c>
      <c r="AL1183">
        <v>0</v>
      </c>
    </row>
    <row r="1184" spans="1:38" x14ac:dyDescent="0.25">
      <c r="A1184" t="s">
        <v>2772</v>
      </c>
      <c r="B1184" t="s">
        <v>2772</v>
      </c>
      <c r="C1184" s="1">
        <v>991</v>
      </c>
      <c r="D1184" s="1" t="s">
        <v>2771</v>
      </c>
      <c r="E1184">
        <v>9</v>
      </c>
      <c r="F1184">
        <v>0.6</v>
      </c>
      <c r="G1184">
        <v>11</v>
      </c>
      <c r="H1184" t="s">
        <v>170</v>
      </c>
      <c r="I1184" t="s">
        <v>76</v>
      </c>
      <c r="J1184" t="s">
        <v>2770</v>
      </c>
      <c r="M1184" t="s">
        <v>60</v>
      </c>
      <c r="N1184">
        <v>0</v>
      </c>
      <c r="O1184">
        <v>0</v>
      </c>
      <c r="P1184">
        <v>100</v>
      </c>
      <c r="Q1184">
        <v>50</v>
      </c>
      <c r="R1184" t="s">
        <v>184</v>
      </c>
      <c r="T1184">
        <v>50</v>
      </c>
      <c r="U1184">
        <v>285</v>
      </c>
      <c r="V1184">
        <v>1250000</v>
      </c>
      <c r="W1184" t="s">
        <v>589</v>
      </c>
      <c r="Z1184">
        <v>56</v>
      </c>
      <c r="AA1184">
        <v>80</v>
      </c>
      <c r="AB1184">
        <v>114</v>
      </c>
      <c r="AC1184">
        <v>124</v>
      </c>
      <c r="AD1184">
        <v>60</v>
      </c>
      <c r="AE1184">
        <v>136</v>
      </c>
      <c r="AF1184">
        <v>570</v>
      </c>
      <c r="AG1184">
        <v>0</v>
      </c>
      <c r="AH1184">
        <v>0</v>
      </c>
      <c r="AI1184">
        <v>0</v>
      </c>
      <c r="AJ1184">
        <v>0</v>
      </c>
      <c r="AK1184">
        <v>0</v>
      </c>
      <c r="AL1184">
        <v>3</v>
      </c>
    </row>
    <row r="1185" spans="1:38" x14ac:dyDescent="0.25">
      <c r="A1185" t="s">
        <v>2774</v>
      </c>
      <c r="B1185" t="s">
        <v>2774</v>
      </c>
      <c r="C1185" s="1">
        <v>992</v>
      </c>
      <c r="D1185" s="1" t="s">
        <v>2773</v>
      </c>
      <c r="E1185">
        <v>9</v>
      </c>
      <c r="F1185">
        <v>1.8</v>
      </c>
      <c r="G1185">
        <v>380.7</v>
      </c>
      <c r="H1185" t="s">
        <v>279</v>
      </c>
      <c r="I1185" t="s">
        <v>154</v>
      </c>
      <c r="J1185" t="s">
        <v>2770</v>
      </c>
      <c r="M1185" t="s">
        <v>318</v>
      </c>
      <c r="N1185">
        <v>0</v>
      </c>
      <c r="O1185">
        <v>0</v>
      </c>
      <c r="P1185">
        <v>100</v>
      </c>
      <c r="Q1185">
        <v>50</v>
      </c>
      <c r="R1185" t="s">
        <v>184</v>
      </c>
      <c r="T1185">
        <v>50</v>
      </c>
      <c r="U1185">
        <v>285</v>
      </c>
      <c r="V1185">
        <v>1250000</v>
      </c>
      <c r="W1185" t="s">
        <v>589</v>
      </c>
      <c r="Z1185">
        <v>154</v>
      </c>
      <c r="AA1185">
        <v>140</v>
      </c>
      <c r="AB1185">
        <v>108</v>
      </c>
      <c r="AC1185">
        <v>50</v>
      </c>
      <c r="AD1185">
        <v>68</v>
      </c>
      <c r="AE1185">
        <v>50</v>
      </c>
      <c r="AF1185">
        <v>570</v>
      </c>
      <c r="AG1185">
        <v>0</v>
      </c>
      <c r="AH1185">
        <v>3</v>
      </c>
      <c r="AI1185">
        <v>0</v>
      </c>
      <c r="AJ1185">
        <v>0</v>
      </c>
      <c r="AK1185">
        <v>0</v>
      </c>
      <c r="AL1185">
        <v>0</v>
      </c>
    </row>
    <row r="1186" spans="1:38" x14ac:dyDescent="0.25">
      <c r="A1186" t="s">
        <v>2776</v>
      </c>
      <c r="B1186" t="s">
        <v>2776</v>
      </c>
      <c r="C1186" s="1">
        <v>993</v>
      </c>
      <c r="D1186" s="1" t="s">
        <v>2775</v>
      </c>
      <c r="E1186">
        <v>9</v>
      </c>
      <c r="F1186">
        <v>1.3</v>
      </c>
      <c r="G1186">
        <v>111</v>
      </c>
      <c r="H1186" t="s">
        <v>135</v>
      </c>
      <c r="I1186" t="s">
        <v>66</v>
      </c>
      <c r="J1186" t="s">
        <v>2770</v>
      </c>
      <c r="M1186" t="s">
        <v>79</v>
      </c>
      <c r="N1186">
        <v>0</v>
      </c>
      <c r="O1186">
        <v>0</v>
      </c>
      <c r="P1186">
        <v>100</v>
      </c>
      <c r="Q1186">
        <v>50</v>
      </c>
      <c r="R1186" t="s">
        <v>184</v>
      </c>
      <c r="T1186">
        <v>30</v>
      </c>
      <c r="U1186">
        <v>285</v>
      </c>
      <c r="V1186">
        <v>1250000</v>
      </c>
      <c r="W1186" t="s">
        <v>589</v>
      </c>
      <c r="Z1186">
        <v>94</v>
      </c>
      <c r="AA1186">
        <v>80</v>
      </c>
      <c r="AB1186">
        <v>86</v>
      </c>
      <c r="AC1186">
        <v>122</v>
      </c>
      <c r="AD1186">
        <v>80</v>
      </c>
      <c r="AE1186">
        <v>108</v>
      </c>
      <c r="AF1186">
        <v>570</v>
      </c>
      <c r="AG1186">
        <v>0</v>
      </c>
      <c r="AH1186">
        <v>0</v>
      </c>
      <c r="AI1186">
        <v>0</v>
      </c>
      <c r="AJ1186">
        <v>3</v>
      </c>
      <c r="AK1186">
        <v>0</v>
      </c>
      <c r="AL1186">
        <v>0</v>
      </c>
    </row>
    <row r="1187" spans="1:38" x14ac:dyDescent="0.25">
      <c r="A1187" t="s">
        <v>2778</v>
      </c>
      <c r="B1187" t="s">
        <v>2778</v>
      </c>
      <c r="C1187" s="1">
        <v>994</v>
      </c>
      <c r="D1187" s="1" t="s">
        <v>2777</v>
      </c>
      <c r="E1187">
        <v>9</v>
      </c>
      <c r="F1187">
        <v>1.2</v>
      </c>
      <c r="G1187">
        <v>36</v>
      </c>
      <c r="H1187" t="s">
        <v>57</v>
      </c>
      <c r="I1187" t="s">
        <v>41</v>
      </c>
      <c r="J1187" t="s">
        <v>2770</v>
      </c>
      <c r="M1187" t="s">
        <v>106</v>
      </c>
      <c r="N1187">
        <v>0</v>
      </c>
      <c r="O1187">
        <v>0</v>
      </c>
      <c r="P1187">
        <v>100</v>
      </c>
      <c r="Q1187">
        <v>50</v>
      </c>
      <c r="R1187" t="s">
        <v>184</v>
      </c>
      <c r="T1187">
        <v>30</v>
      </c>
      <c r="U1187">
        <v>285</v>
      </c>
      <c r="V1187">
        <v>1250000</v>
      </c>
      <c r="W1187" t="s">
        <v>589</v>
      </c>
      <c r="Z1187">
        <v>80</v>
      </c>
      <c r="AA1187">
        <v>70</v>
      </c>
      <c r="AB1187">
        <v>60</v>
      </c>
      <c r="AC1187">
        <v>140</v>
      </c>
      <c r="AD1187">
        <v>110</v>
      </c>
      <c r="AE1187">
        <v>110</v>
      </c>
      <c r="AF1187">
        <v>570</v>
      </c>
      <c r="AG1187">
        <v>0</v>
      </c>
      <c r="AH1187">
        <v>0</v>
      </c>
      <c r="AI1187">
        <v>0</v>
      </c>
      <c r="AJ1187">
        <v>3</v>
      </c>
      <c r="AK1187">
        <v>0</v>
      </c>
      <c r="AL1187">
        <v>0</v>
      </c>
    </row>
    <row r="1188" spans="1:38" x14ac:dyDescent="0.25">
      <c r="A1188" t="s">
        <v>2780</v>
      </c>
      <c r="B1188" t="s">
        <v>2780</v>
      </c>
      <c r="C1188" s="1">
        <v>995</v>
      </c>
      <c r="D1188" s="1" t="s">
        <v>2779</v>
      </c>
      <c r="E1188">
        <v>9</v>
      </c>
      <c r="F1188">
        <v>1.6</v>
      </c>
      <c r="G1188">
        <v>303</v>
      </c>
      <c r="H1188" t="s">
        <v>290</v>
      </c>
      <c r="I1188" t="s">
        <v>154</v>
      </c>
      <c r="J1188" t="s">
        <v>2770</v>
      </c>
      <c r="M1188" t="s">
        <v>44</v>
      </c>
      <c r="N1188">
        <v>0</v>
      </c>
      <c r="O1188">
        <v>0</v>
      </c>
      <c r="P1188">
        <v>100</v>
      </c>
      <c r="Q1188">
        <v>50</v>
      </c>
      <c r="R1188" t="s">
        <v>184</v>
      </c>
      <c r="T1188">
        <v>30</v>
      </c>
      <c r="U1188">
        <v>285</v>
      </c>
      <c r="V1188">
        <v>1250000</v>
      </c>
      <c r="W1188" t="s">
        <v>589</v>
      </c>
      <c r="Z1188">
        <v>100</v>
      </c>
      <c r="AA1188">
        <v>134</v>
      </c>
      <c r="AB1188">
        <v>110</v>
      </c>
      <c r="AC1188">
        <v>70</v>
      </c>
      <c r="AD1188">
        <v>84</v>
      </c>
      <c r="AE1188">
        <v>72</v>
      </c>
      <c r="AF1188">
        <v>570</v>
      </c>
      <c r="AG1188">
        <v>0</v>
      </c>
      <c r="AH1188">
        <v>3</v>
      </c>
      <c r="AI1188">
        <v>0</v>
      </c>
      <c r="AJ1188">
        <v>0</v>
      </c>
      <c r="AK1188">
        <v>0</v>
      </c>
      <c r="AL1188">
        <v>0</v>
      </c>
    </row>
    <row r="1189" spans="1:38" x14ac:dyDescent="0.25">
      <c r="A1189" t="s">
        <v>2782</v>
      </c>
      <c r="B1189" t="s">
        <v>2782</v>
      </c>
      <c r="C1189" s="1">
        <v>996</v>
      </c>
      <c r="D1189" s="1" t="s">
        <v>2781</v>
      </c>
      <c r="E1189">
        <v>9</v>
      </c>
      <c r="F1189">
        <v>0.5</v>
      </c>
      <c r="G1189">
        <v>17</v>
      </c>
      <c r="H1189" t="s">
        <v>61</v>
      </c>
      <c r="I1189" t="s">
        <v>170</v>
      </c>
      <c r="J1189" t="s">
        <v>2783</v>
      </c>
      <c r="L1189" t="s">
        <v>396</v>
      </c>
      <c r="M1189" t="s">
        <v>318</v>
      </c>
      <c r="N1189">
        <v>50</v>
      </c>
      <c r="O1189">
        <v>50</v>
      </c>
      <c r="P1189">
        <v>0</v>
      </c>
      <c r="Q1189">
        <v>40</v>
      </c>
      <c r="R1189" t="s">
        <v>61</v>
      </c>
      <c r="S1189" t="s">
        <v>339</v>
      </c>
      <c r="T1189">
        <v>45</v>
      </c>
      <c r="U1189">
        <v>64</v>
      </c>
      <c r="V1189">
        <v>1250000</v>
      </c>
      <c r="W1189" t="s">
        <v>46</v>
      </c>
      <c r="Z1189">
        <v>65</v>
      </c>
      <c r="AA1189">
        <v>75</v>
      </c>
      <c r="AB1189">
        <v>45</v>
      </c>
      <c r="AC1189">
        <v>35</v>
      </c>
      <c r="AD1189">
        <v>45</v>
      </c>
      <c r="AE1189">
        <v>55</v>
      </c>
      <c r="AF1189">
        <v>320</v>
      </c>
      <c r="AG1189">
        <v>0</v>
      </c>
      <c r="AH1189">
        <v>1</v>
      </c>
      <c r="AI1189">
        <v>0</v>
      </c>
      <c r="AJ1189">
        <v>0</v>
      </c>
      <c r="AK1189">
        <v>0</v>
      </c>
      <c r="AL1189">
        <v>0</v>
      </c>
    </row>
    <row r="1190" spans="1:38" x14ac:dyDescent="0.25">
      <c r="A1190" t="s">
        <v>2785</v>
      </c>
      <c r="B1190" t="s">
        <v>2785</v>
      </c>
      <c r="C1190" s="1">
        <v>997</v>
      </c>
      <c r="D1190" s="1" t="s">
        <v>2784</v>
      </c>
      <c r="E1190">
        <v>9</v>
      </c>
      <c r="F1190">
        <v>0.8</v>
      </c>
      <c r="G1190">
        <v>30</v>
      </c>
      <c r="H1190" t="s">
        <v>61</v>
      </c>
      <c r="I1190" t="s">
        <v>170</v>
      </c>
      <c r="J1190" t="s">
        <v>2783</v>
      </c>
      <c r="L1190" t="s">
        <v>396</v>
      </c>
      <c r="M1190" t="s">
        <v>318</v>
      </c>
      <c r="N1190">
        <v>50</v>
      </c>
      <c r="O1190">
        <v>50</v>
      </c>
      <c r="P1190">
        <v>0</v>
      </c>
      <c r="Q1190">
        <v>40</v>
      </c>
      <c r="R1190" t="s">
        <v>61</v>
      </c>
      <c r="S1190" t="s">
        <v>339</v>
      </c>
      <c r="T1190">
        <v>25</v>
      </c>
      <c r="U1190">
        <v>148</v>
      </c>
      <c r="V1190">
        <v>1250000</v>
      </c>
      <c r="W1190" t="s">
        <v>46</v>
      </c>
      <c r="Z1190">
        <v>90</v>
      </c>
      <c r="AA1190">
        <v>95</v>
      </c>
      <c r="AB1190">
        <v>66</v>
      </c>
      <c r="AC1190">
        <v>45</v>
      </c>
      <c r="AD1190">
        <v>65</v>
      </c>
      <c r="AE1190">
        <v>62</v>
      </c>
      <c r="AF1190">
        <v>423</v>
      </c>
      <c r="AG1190">
        <v>0</v>
      </c>
      <c r="AH1190">
        <v>2</v>
      </c>
      <c r="AI1190">
        <v>0</v>
      </c>
      <c r="AJ1190">
        <v>0</v>
      </c>
      <c r="AK1190">
        <v>0</v>
      </c>
      <c r="AL1190">
        <v>0</v>
      </c>
    </row>
    <row r="1191" spans="1:38" x14ac:dyDescent="0.25">
      <c r="A1191" t="s">
        <v>2787</v>
      </c>
      <c r="B1191" t="s">
        <v>2787</v>
      </c>
      <c r="C1191" s="1">
        <v>998</v>
      </c>
      <c r="D1191" s="1" t="s">
        <v>2786</v>
      </c>
      <c r="E1191">
        <v>9</v>
      </c>
      <c r="F1191">
        <v>2.1</v>
      </c>
      <c r="G1191">
        <v>210</v>
      </c>
      <c r="H1191" t="s">
        <v>61</v>
      </c>
      <c r="I1191" t="s">
        <v>170</v>
      </c>
      <c r="J1191" t="s">
        <v>2783</v>
      </c>
      <c r="L1191" t="s">
        <v>396</v>
      </c>
      <c r="M1191" t="s">
        <v>318</v>
      </c>
      <c r="N1191">
        <v>50</v>
      </c>
      <c r="O1191">
        <v>50</v>
      </c>
      <c r="P1191">
        <v>0</v>
      </c>
      <c r="Q1191">
        <v>40</v>
      </c>
      <c r="R1191" t="s">
        <v>61</v>
      </c>
      <c r="S1191" t="s">
        <v>339</v>
      </c>
      <c r="T1191">
        <v>10</v>
      </c>
      <c r="U1191">
        <v>300</v>
      </c>
      <c r="V1191">
        <v>1250000</v>
      </c>
      <c r="W1191" t="s">
        <v>46</v>
      </c>
      <c r="Z1191">
        <v>115</v>
      </c>
      <c r="AA1191">
        <v>145</v>
      </c>
      <c r="AB1191">
        <v>92</v>
      </c>
      <c r="AC1191">
        <v>75</v>
      </c>
      <c r="AD1191">
        <v>86</v>
      </c>
      <c r="AE1191">
        <v>87</v>
      </c>
      <c r="AF1191">
        <v>600</v>
      </c>
      <c r="AG1191">
        <v>0</v>
      </c>
      <c r="AH1191">
        <v>3</v>
      </c>
      <c r="AI1191">
        <v>0</v>
      </c>
      <c r="AJ1191">
        <v>0</v>
      </c>
      <c r="AK1191">
        <v>0</v>
      </c>
      <c r="AL1191">
        <v>0</v>
      </c>
    </row>
    <row r="1192" spans="1:38" x14ac:dyDescent="0.25">
      <c r="A1192" t="s">
        <v>2789</v>
      </c>
      <c r="B1192" t="s">
        <v>2790</v>
      </c>
      <c r="C1192" s="1">
        <v>999</v>
      </c>
      <c r="D1192" s="1" t="s">
        <v>2788</v>
      </c>
      <c r="E1192">
        <v>9</v>
      </c>
      <c r="F1192">
        <v>0.3</v>
      </c>
      <c r="G1192">
        <v>5</v>
      </c>
      <c r="H1192" t="s">
        <v>419</v>
      </c>
      <c r="J1192" t="s">
        <v>261</v>
      </c>
      <c r="M1192" t="s">
        <v>103</v>
      </c>
      <c r="N1192">
        <v>0</v>
      </c>
      <c r="O1192">
        <v>0</v>
      </c>
      <c r="P1192">
        <v>100</v>
      </c>
      <c r="Q1192">
        <v>50</v>
      </c>
      <c r="R1192" t="s">
        <v>184</v>
      </c>
      <c r="T1192">
        <v>45</v>
      </c>
      <c r="U1192">
        <v>60</v>
      </c>
      <c r="V1192">
        <v>1250000</v>
      </c>
      <c r="W1192" t="s">
        <v>46</v>
      </c>
      <c r="Z1192">
        <v>45</v>
      </c>
      <c r="AA1192">
        <v>30</v>
      </c>
      <c r="AB1192">
        <v>70</v>
      </c>
      <c r="AC1192">
        <v>75</v>
      </c>
      <c r="AD1192">
        <v>70</v>
      </c>
      <c r="AE1192">
        <v>10</v>
      </c>
      <c r="AF1192">
        <v>300</v>
      </c>
      <c r="AG1192">
        <v>0</v>
      </c>
      <c r="AH1192">
        <v>0</v>
      </c>
      <c r="AI1192">
        <v>0</v>
      </c>
      <c r="AJ1192">
        <v>1</v>
      </c>
      <c r="AK1192">
        <v>0</v>
      </c>
      <c r="AL1192">
        <v>0</v>
      </c>
    </row>
    <row r="1193" spans="1:38" x14ac:dyDescent="0.25">
      <c r="A1193" t="s">
        <v>2789</v>
      </c>
      <c r="B1193" t="s">
        <v>2792</v>
      </c>
      <c r="C1193" s="1">
        <v>999</v>
      </c>
      <c r="D1193" s="1" t="s">
        <v>2791</v>
      </c>
      <c r="E1193">
        <v>9</v>
      </c>
      <c r="F1193">
        <v>0.1</v>
      </c>
      <c r="G1193">
        <v>0.1</v>
      </c>
      <c r="H1193" t="s">
        <v>419</v>
      </c>
      <c r="J1193" t="s">
        <v>92</v>
      </c>
      <c r="M1193" t="s">
        <v>79</v>
      </c>
      <c r="N1193">
        <v>0</v>
      </c>
      <c r="O1193">
        <v>0</v>
      </c>
      <c r="P1193">
        <v>100</v>
      </c>
      <c r="Q1193">
        <v>50</v>
      </c>
      <c r="R1193" t="s">
        <v>184</v>
      </c>
      <c r="T1193">
        <v>45</v>
      </c>
      <c r="U1193">
        <v>60</v>
      </c>
      <c r="V1193">
        <v>1250000</v>
      </c>
      <c r="W1193" t="s">
        <v>46</v>
      </c>
      <c r="Z1193">
        <v>45</v>
      </c>
      <c r="AA1193">
        <v>30</v>
      </c>
      <c r="AB1193">
        <v>25</v>
      </c>
      <c r="AC1193">
        <v>75</v>
      </c>
      <c r="AD1193">
        <v>45</v>
      </c>
      <c r="AE1193">
        <v>80</v>
      </c>
      <c r="AF1193">
        <v>300</v>
      </c>
      <c r="AG1193">
        <v>0</v>
      </c>
      <c r="AH1193">
        <v>0</v>
      </c>
      <c r="AI1193">
        <v>0</v>
      </c>
      <c r="AJ1193">
        <v>1</v>
      </c>
      <c r="AK1193">
        <v>0</v>
      </c>
      <c r="AL1193">
        <v>0</v>
      </c>
    </row>
    <row r="1194" spans="1:38" x14ac:dyDescent="0.25">
      <c r="A1194" t="s">
        <v>2794</v>
      </c>
      <c r="B1194" t="s">
        <v>2794</v>
      </c>
      <c r="C1194" s="1">
        <v>1000</v>
      </c>
      <c r="D1194" s="1" t="s">
        <v>2793</v>
      </c>
      <c r="E1194">
        <v>9</v>
      </c>
      <c r="F1194">
        <v>1.2</v>
      </c>
      <c r="G1194">
        <v>30</v>
      </c>
      <c r="H1194" t="s">
        <v>171</v>
      </c>
      <c r="I1194" t="s">
        <v>419</v>
      </c>
      <c r="J1194" t="s">
        <v>2795</v>
      </c>
      <c r="M1194" t="s">
        <v>106</v>
      </c>
      <c r="N1194">
        <v>0</v>
      </c>
      <c r="O1194">
        <v>0</v>
      </c>
      <c r="P1194">
        <v>100</v>
      </c>
      <c r="Q1194">
        <v>50</v>
      </c>
      <c r="R1194" t="s">
        <v>184</v>
      </c>
      <c r="T1194">
        <v>45</v>
      </c>
      <c r="U1194">
        <v>275</v>
      </c>
      <c r="V1194">
        <v>1250000</v>
      </c>
      <c r="W1194" t="s">
        <v>46</v>
      </c>
      <c r="Z1194">
        <v>87</v>
      </c>
      <c r="AA1194">
        <v>60</v>
      </c>
      <c r="AB1194">
        <v>95</v>
      </c>
      <c r="AC1194">
        <v>133</v>
      </c>
      <c r="AD1194">
        <v>91</v>
      </c>
      <c r="AE1194">
        <v>84</v>
      </c>
      <c r="AF1194">
        <v>550</v>
      </c>
      <c r="AG1194">
        <v>0</v>
      </c>
      <c r="AH1194">
        <v>0</v>
      </c>
      <c r="AI1194">
        <v>0</v>
      </c>
      <c r="AJ1194">
        <v>2</v>
      </c>
      <c r="AK1194">
        <v>0</v>
      </c>
      <c r="AL1194">
        <v>0</v>
      </c>
    </row>
    <row r="1195" spans="1:38" x14ac:dyDescent="0.25">
      <c r="A1195" t="s">
        <v>2797</v>
      </c>
      <c r="B1195" t="s">
        <v>2797</v>
      </c>
      <c r="C1195" s="1">
        <v>1001</v>
      </c>
      <c r="D1195" s="1" t="s">
        <v>2796</v>
      </c>
      <c r="E1195">
        <v>9</v>
      </c>
      <c r="F1195">
        <v>1.5</v>
      </c>
      <c r="G1195">
        <v>74.2</v>
      </c>
      <c r="H1195" t="s">
        <v>135</v>
      </c>
      <c r="I1195" t="s">
        <v>40</v>
      </c>
      <c r="J1195" t="s">
        <v>2798</v>
      </c>
      <c r="M1195" t="s">
        <v>103</v>
      </c>
      <c r="N1195">
        <v>0</v>
      </c>
      <c r="O1195">
        <v>0</v>
      </c>
      <c r="P1195">
        <v>100</v>
      </c>
      <c r="Q1195">
        <v>50</v>
      </c>
      <c r="R1195" t="s">
        <v>184</v>
      </c>
      <c r="T1195">
        <v>6</v>
      </c>
      <c r="U1195">
        <v>285</v>
      </c>
      <c r="V1195">
        <v>1250000</v>
      </c>
      <c r="W1195" t="s">
        <v>589</v>
      </c>
      <c r="Z1195">
        <v>85</v>
      </c>
      <c r="AA1195">
        <v>85</v>
      </c>
      <c r="AB1195">
        <v>100</v>
      </c>
      <c r="AC1195">
        <v>95</v>
      </c>
      <c r="AD1195">
        <v>135</v>
      </c>
      <c r="AE1195">
        <v>70</v>
      </c>
      <c r="AF1195">
        <v>570</v>
      </c>
      <c r="AG1195">
        <v>0</v>
      </c>
      <c r="AH1195">
        <v>0</v>
      </c>
      <c r="AI1195">
        <v>0</v>
      </c>
      <c r="AJ1195">
        <v>0</v>
      </c>
      <c r="AK1195">
        <v>3</v>
      </c>
      <c r="AL1195">
        <v>0</v>
      </c>
    </row>
    <row r="1196" spans="1:38" x14ac:dyDescent="0.25">
      <c r="A1196" t="s">
        <v>2800</v>
      </c>
      <c r="B1196" t="s">
        <v>2800</v>
      </c>
      <c r="C1196" s="1">
        <v>1002</v>
      </c>
      <c r="D1196" s="1" t="s">
        <v>2799</v>
      </c>
      <c r="E1196">
        <v>9</v>
      </c>
      <c r="F1196">
        <v>1.9</v>
      </c>
      <c r="G1196">
        <v>152.19999999999999</v>
      </c>
      <c r="H1196" t="s">
        <v>135</v>
      </c>
      <c r="I1196" t="s">
        <v>170</v>
      </c>
      <c r="J1196" t="s">
        <v>2801</v>
      </c>
      <c r="M1196" t="s">
        <v>100</v>
      </c>
      <c r="N1196">
        <v>0</v>
      </c>
      <c r="O1196">
        <v>0</v>
      </c>
      <c r="P1196">
        <v>100</v>
      </c>
      <c r="Q1196">
        <v>50</v>
      </c>
      <c r="R1196" t="s">
        <v>184</v>
      </c>
      <c r="T1196">
        <v>6</v>
      </c>
      <c r="U1196">
        <v>285</v>
      </c>
      <c r="V1196">
        <v>1250000</v>
      </c>
      <c r="W1196" t="s">
        <v>589</v>
      </c>
      <c r="Z1196">
        <v>80</v>
      </c>
      <c r="AA1196">
        <v>120</v>
      </c>
      <c r="AB1196">
        <v>80</v>
      </c>
      <c r="AC1196">
        <v>90</v>
      </c>
      <c r="AD1196">
        <v>65</v>
      </c>
      <c r="AE1196">
        <v>135</v>
      </c>
      <c r="AF1196">
        <v>570</v>
      </c>
      <c r="AG1196">
        <v>0</v>
      </c>
      <c r="AH1196">
        <v>0</v>
      </c>
      <c r="AI1196">
        <v>0</v>
      </c>
      <c r="AJ1196">
        <v>0</v>
      </c>
      <c r="AK1196">
        <v>0</v>
      </c>
      <c r="AL1196">
        <v>3</v>
      </c>
    </row>
    <row r="1197" spans="1:38" x14ac:dyDescent="0.25">
      <c r="A1197" t="s">
        <v>2803</v>
      </c>
      <c r="B1197" t="s">
        <v>2803</v>
      </c>
      <c r="C1197" s="1">
        <v>1003</v>
      </c>
      <c r="D1197" s="1" t="s">
        <v>2802</v>
      </c>
      <c r="E1197">
        <v>9</v>
      </c>
      <c r="F1197">
        <v>2.7</v>
      </c>
      <c r="G1197">
        <v>699.7</v>
      </c>
      <c r="H1197" t="s">
        <v>135</v>
      </c>
      <c r="I1197" t="s">
        <v>132</v>
      </c>
      <c r="J1197" t="s">
        <v>2804</v>
      </c>
      <c r="M1197" t="s">
        <v>103</v>
      </c>
      <c r="N1197">
        <v>0</v>
      </c>
      <c r="O1197">
        <v>0</v>
      </c>
      <c r="P1197">
        <v>100</v>
      </c>
      <c r="Q1197">
        <v>50</v>
      </c>
      <c r="R1197" t="s">
        <v>184</v>
      </c>
      <c r="T1197">
        <v>6</v>
      </c>
      <c r="U1197">
        <v>285</v>
      </c>
      <c r="V1197">
        <v>1250000</v>
      </c>
      <c r="W1197" t="s">
        <v>589</v>
      </c>
      <c r="Z1197">
        <v>155</v>
      </c>
      <c r="AA1197">
        <v>110</v>
      </c>
      <c r="AB1197">
        <v>125</v>
      </c>
      <c r="AC1197">
        <v>55</v>
      </c>
      <c r="AD1197">
        <v>80</v>
      </c>
      <c r="AE1197">
        <v>45</v>
      </c>
      <c r="AF1197">
        <v>570</v>
      </c>
      <c r="AG1197">
        <v>0</v>
      </c>
      <c r="AH1197">
        <v>0</v>
      </c>
      <c r="AI1197">
        <v>3</v>
      </c>
      <c r="AJ1197">
        <v>0</v>
      </c>
      <c r="AK1197">
        <v>0</v>
      </c>
      <c r="AL1197">
        <v>0</v>
      </c>
    </row>
    <row r="1198" spans="1:38" x14ac:dyDescent="0.25">
      <c r="A1198" t="s">
        <v>2806</v>
      </c>
      <c r="B1198" t="s">
        <v>2806</v>
      </c>
      <c r="C1198" s="1">
        <v>1004</v>
      </c>
      <c r="D1198" s="1" t="s">
        <v>2805</v>
      </c>
      <c r="E1198">
        <v>9</v>
      </c>
      <c r="F1198">
        <v>0.4</v>
      </c>
      <c r="G1198">
        <v>4.9000000000000004</v>
      </c>
      <c r="H1198" t="s">
        <v>135</v>
      </c>
      <c r="I1198" t="s">
        <v>57</v>
      </c>
      <c r="J1198" t="s">
        <v>2807</v>
      </c>
      <c r="M1198" t="s">
        <v>60</v>
      </c>
      <c r="N1198">
        <v>0</v>
      </c>
      <c r="O1198">
        <v>0</v>
      </c>
      <c r="P1198">
        <v>100</v>
      </c>
      <c r="Q1198">
        <v>50</v>
      </c>
      <c r="R1198" t="s">
        <v>184</v>
      </c>
      <c r="T1198">
        <v>6</v>
      </c>
      <c r="U1198">
        <v>285</v>
      </c>
      <c r="V1198">
        <v>1250000</v>
      </c>
      <c r="W1198" t="s">
        <v>589</v>
      </c>
      <c r="Z1198">
        <v>55</v>
      </c>
      <c r="AA1198">
        <v>80</v>
      </c>
      <c r="AB1198">
        <v>80</v>
      </c>
      <c r="AC1198">
        <v>135</v>
      </c>
      <c r="AD1198">
        <v>120</v>
      </c>
      <c r="AE1198">
        <v>100</v>
      </c>
      <c r="AF1198">
        <v>570</v>
      </c>
      <c r="AG1198">
        <v>0</v>
      </c>
      <c r="AH1198">
        <v>0</v>
      </c>
      <c r="AI1198">
        <v>0</v>
      </c>
      <c r="AJ1198">
        <v>3</v>
      </c>
      <c r="AK1198">
        <v>0</v>
      </c>
      <c r="AL1198">
        <v>0</v>
      </c>
    </row>
    <row r="1199" spans="1:38" x14ac:dyDescent="0.25">
      <c r="A1199" t="s">
        <v>2809</v>
      </c>
      <c r="B1199" t="s">
        <v>2809</v>
      </c>
      <c r="C1199" s="1">
        <v>1005</v>
      </c>
      <c r="D1199" s="1" t="s">
        <v>2808</v>
      </c>
      <c r="E1199">
        <v>9</v>
      </c>
      <c r="F1199">
        <v>2</v>
      </c>
      <c r="G1199">
        <v>380</v>
      </c>
      <c r="H1199" t="s">
        <v>61</v>
      </c>
      <c r="I1199" t="s">
        <v>135</v>
      </c>
      <c r="J1199" t="s">
        <v>2757</v>
      </c>
      <c r="M1199" t="s">
        <v>44</v>
      </c>
      <c r="N1199">
        <v>0</v>
      </c>
      <c r="O1199">
        <v>0</v>
      </c>
      <c r="P1199">
        <v>100</v>
      </c>
      <c r="Q1199">
        <v>50</v>
      </c>
      <c r="R1199" t="s">
        <v>184</v>
      </c>
      <c r="T1199">
        <v>10</v>
      </c>
      <c r="U1199">
        <v>295</v>
      </c>
      <c r="V1199">
        <v>1250000</v>
      </c>
      <c r="W1199" t="s">
        <v>589</v>
      </c>
      <c r="Z1199">
        <v>105</v>
      </c>
      <c r="AA1199">
        <v>139</v>
      </c>
      <c r="AB1199">
        <v>71</v>
      </c>
      <c r="AC1199">
        <v>55</v>
      </c>
      <c r="AD1199">
        <v>101</v>
      </c>
      <c r="AE1199">
        <v>119</v>
      </c>
      <c r="AF1199">
        <v>590</v>
      </c>
      <c r="AG1199">
        <v>0</v>
      </c>
      <c r="AH1199">
        <v>3</v>
      </c>
      <c r="AI1199">
        <v>0</v>
      </c>
      <c r="AJ1199">
        <v>0</v>
      </c>
      <c r="AK1199">
        <v>0</v>
      </c>
      <c r="AL1199">
        <v>0</v>
      </c>
    </row>
    <row r="1200" spans="1:38" x14ac:dyDescent="0.25">
      <c r="A1200" t="s">
        <v>2811</v>
      </c>
      <c r="B1200" t="s">
        <v>2811</v>
      </c>
      <c r="C1200" s="1">
        <v>1006</v>
      </c>
      <c r="D1200" s="1" t="s">
        <v>2810</v>
      </c>
      <c r="E1200">
        <v>9</v>
      </c>
      <c r="F1200">
        <v>1.4</v>
      </c>
      <c r="G1200">
        <v>35</v>
      </c>
      <c r="H1200" t="s">
        <v>157</v>
      </c>
      <c r="I1200" t="s">
        <v>279</v>
      </c>
      <c r="J1200" t="s">
        <v>2770</v>
      </c>
      <c r="M1200" t="s">
        <v>100</v>
      </c>
      <c r="N1200">
        <v>0</v>
      </c>
      <c r="O1200">
        <v>0</v>
      </c>
      <c r="P1200">
        <v>100</v>
      </c>
      <c r="Q1200">
        <v>50</v>
      </c>
      <c r="R1200" t="s">
        <v>184</v>
      </c>
      <c r="T1200">
        <v>10</v>
      </c>
      <c r="U1200">
        <v>295</v>
      </c>
      <c r="V1200">
        <v>1250000</v>
      </c>
      <c r="W1200" t="s">
        <v>589</v>
      </c>
      <c r="Z1200">
        <v>74</v>
      </c>
      <c r="AA1200">
        <v>130</v>
      </c>
      <c r="AB1200">
        <v>90</v>
      </c>
      <c r="AC1200">
        <v>120</v>
      </c>
      <c r="AD1200">
        <v>60</v>
      </c>
      <c r="AE1200">
        <v>116</v>
      </c>
      <c r="AF1200">
        <v>590</v>
      </c>
      <c r="AG1200">
        <v>0</v>
      </c>
      <c r="AH1200">
        <v>3</v>
      </c>
      <c r="AI1200">
        <v>0</v>
      </c>
      <c r="AJ1200">
        <v>0</v>
      </c>
      <c r="AK1200">
        <v>0</v>
      </c>
      <c r="AL1200">
        <v>0</v>
      </c>
    </row>
    <row r="1201" spans="1:38" x14ac:dyDescent="0.25">
      <c r="A1201" t="s">
        <v>2813</v>
      </c>
      <c r="B1201" t="s">
        <v>2813</v>
      </c>
      <c r="C1201" s="1">
        <v>1007</v>
      </c>
      <c r="D1201" s="1" t="s">
        <v>2812</v>
      </c>
      <c r="E1201">
        <v>9</v>
      </c>
      <c r="F1201">
        <v>2.5</v>
      </c>
      <c r="G1201">
        <v>303</v>
      </c>
      <c r="H1201" t="s">
        <v>279</v>
      </c>
      <c r="I1201" t="s">
        <v>61</v>
      </c>
      <c r="J1201" t="s">
        <v>2814</v>
      </c>
      <c r="M1201" t="s">
        <v>60</v>
      </c>
      <c r="N1201">
        <v>0</v>
      </c>
      <c r="O1201">
        <v>0</v>
      </c>
      <c r="P1201">
        <v>100</v>
      </c>
      <c r="Q1201">
        <v>50</v>
      </c>
      <c r="R1201" t="s">
        <v>184</v>
      </c>
      <c r="T1201">
        <v>3</v>
      </c>
      <c r="U1201">
        <v>335</v>
      </c>
      <c r="V1201">
        <v>1250000</v>
      </c>
      <c r="W1201" t="s">
        <v>611</v>
      </c>
      <c r="Z1201">
        <v>100</v>
      </c>
      <c r="AA1201">
        <v>135</v>
      </c>
      <c r="AB1201">
        <v>115</v>
      </c>
      <c r="AC1201">
        <v>85</v>
      </c>
      <c r="AD1201">
        <v>100</v>
      </c>
      <c r="AE1201">
        <v>135</v>
      </c>
      <c r="AF1201">
        <v>670</v>
      </c>
      <c r="AG1201">
        <v>0</v>
      </c>
      <c r="AH1201">
        <v>3</v>
      </c>
      <c r="AI1201">
        <v>0</v>
      </c>
      <c r="AJ1201">
        <v>0</v>
      </c>
      <c r="AK1201">
        <v>0</v>
      </c>
      <c r="AL1201">
        <v>0</v>
      </c>
    </row>
    <row r="1202" spans="1:38" x14ac:dyDescent="0.25">
      <c r="A1202" t="s">
        <v>2816</v>
      </c>
      <c r="B1202" t="s">
        <v>2816</v>
      </c>
      <c r="C1202" s="1">
        <v>1008</v>
      </c>
      <c r="D1202" s="1" t="s">
        <v>2815</v>
      </c>
      <c r="E1202">
        <v>9</v>
      </c>
      <c r="F1202">
        <v>3.5</v>
      </c>
      <c r="G1202">
        <v>240</v>
      </c>
      <c r="H1202" t="s">
        <v>154</v>
      </c>
      <c r="I1202" t="s">
        <v>61</v>
      </c>
      <c r="J1202" t="s">
        <v>2817</v>
      </c>
      <c r="M1202" t="s">
        <v>79</v>
      </c>
      <c r="N1202">
        <v>0</v>
      </c>
      <c r="O1202">
        <v>0</v>
      </c>
      <c r="P1202">
        <v>100</v>
      </c>
      <c r="Q1202">
        <v>50</v>
      </c>
      <c r="R1202" t="s">
        <v>184</v>
      </c>
      <c r="T1202">
        <v>3</v>
      </c>
      <c r="U1202">
        <v>335</v>
      </c>
      <c r="V1202">
        <v>1250000</v>
      </c>
      <c r="W1202" t="s">
        <v>611</v>
      </c>
      <c r="Z1202">
        <v>100</v>
      </c>
      <c r="AA1202">
        <v>85</v>
      </c>
      <c r="AB1202">
        <v>100</v>
      </c>
      <c r="AC1202">
        <v>135</v>
      </c>
      <c r="AD1202">
        <v>115</v>
      </c>
      <c r="AE1202">
        <v>135</v>
      </c>
      <c r="AF1202">
        <v>670</v>
      </c>
      <c r="AG1202">
        <v>0</v>
      </c>
      <c r="AH1202">
        <v>0</v>
      </c>
      <c r="AI1202">
        <v>0</v>
      </c>
      <c r="AJ1202">
        <v>3</v>
      </c>
      <c r="AK1202">
        <v>0</v>
      </c>
      <c r="AL1202">
        <v>0</v>
      </c>
    </row>
    <row r="1203" spans="1:38" x14ac:dyDescent="0.25">
      <c r="A1203" t="s">
        <v>2819</v>
      </c>
      <c r="B1203" t="s">
        <v>2819</v>
      </c>
      <c r="C1203" s="1">
        <v>1009</v>
      </c>
      <c r="D1203" s="1" t="s">
        <v>2818</v>
      </c>
      <c r="E1203">
        <v>9</v>
      </c>
      <c r="F1203">
        <v>3.5</v>
      </c>
      <c r="G1203">
        <v>280</v>
      </c>
      <c r="H1203" t="s">
        <v>76</v>
      </c>
      <c r="I1203" t="s">
        <v>61</v>
      </c>
      <c r="J1203" t="s">
        <v>2757</v>
      </c>
      <c r="M1203" t="s">
        <v>79</v>
      </c>
      <c r="N1203">
        <v>0</v>
      </c>
      <c r="O1203">
        <v>0</v>
      </c>
      <c r="P1203">
        <v>100</v>
      </c>
      <c r="Q1203">
        <v>50</v>
      </c>
      <c r="R1203" t="s">
        <v>184</v>
      </c>
      <c r="T1203">
        <v>5</v>
      </c>
      <c r="U1203">
        <v>295</v>
      </c>
      <c r="V1203">
        <v>1250000</v>
      </c>
      <c r="W1203" t="s">
        <v>589</v>
      </c>
      <c r="Z1203">
        <v>99</v>
      </c>
      <c r="AA1203">
        <v>83</v>
      </c>
      <c r="AB1203">
        <v>91</v>
      </c>
      <c r="AC1203">
        <v>125</v>
      </c>
      <c r="AD1203">
        <v>83</v>
      </c>
      <c r="AE1203">
        <v>109</v>
      </c>
      <c r="AF1203">
        <v>590</v>
      </c>
      <c r="AG1203">
        <v>0</v>
      </c>
      <c r="AH1203">
        <v>0</v>
      </c>
      <c r="AI1203">
        <v>0</v>
      </c>
      <c r="AJ1203">
        <v>3</v>
      </c>
      <c r="AK1203">
        <v>0</v>
      </c>
      <c r="AL1203">
        <v>0</v>
      </c>
    </row>
    <row r="1204" spans="1:38" x14ac:dyDescent="0.25">
      <c r="A1204" t="s">
        <v>2821</v>
      </c>
      <c r="B1204" t="s">
        <v>2821</v>
      </c>
      <c r="C1204" s="1">
        <v>1010</v>
      </c>
      <c r="D1204" s="1" t="s">
        <v>2820</v>
      </c>
      <c r="E1204">
        <v>9</v>
      </c>
      <c r="F1204">
        <v>1.5</v>
      </c>
      <c r="G1204">
        <v>125</v>
      </c>
      <c r="H1204" t="s">
        <v>40</v>
      </c>
      <c r="I1204" t="s">
        <v>162</v>
      </c>
      <c r="J1204" t="s">
        <v>2770</v>
      </c>
      <c r="M1204" t="s">
        <v>44</v>
      </c>
      <c r="N1204">
        <v>0</v>
      </c>
      <c r="O1204">
        <v>0</v>
      </c>
      <c r="P1204">
        <v>100</v>
      </c>
      <c r="Q1204">
        <v>50</v>
      </c>
      <c r="R1204" t="s">
        <v>184</v>
      </c>
      <c r="T1204">
        <v>5</v>
      </c>
      <c r="U1204">
        <v>295</v>
      </c>
      <c r="V1204">
        <v>1250000</v>
      </c>
      <c r="W1204" t="s">
        <v>589</v>
      </c>
      <c r="Z1204">
        <v>90</v>
      </c>
      <c r="AA1204">
        <v>130</v>
      </c>
      <c r="AB1204">
        <v>88</v>
      </c>
      <c r="AC1204">
        <v>70</v>
      </c>
      <c r="AD1204">
        <v>108</v>
      </c>
      <c r="AE1204">
        <v>104</v>
      </c>
      <c r="AF1204">
        <v>590</v>
      </c>
      <c r="AG1204">
        <v>0</v>
      </c>
      <c r="AH1204">
        <v>3</v>
      </c>
      <c r="AI1204">
        <v>0</v>
      </c>
      <c r="AJ1204">
        <v>0</v>
      </c>
      <c r="AK1204">
        <v>0</v>
      </c>
      <c r="AL1204">
        <v>0</v>
      </c>
    </row>
  </sheetData>
  <conditionalFormatting sqref="H2:I1204">
    <cfRule type="containsText" dxfId="19" priority="35" operator="containsText" text="Psychic">
      <formula>NOT(ISERROR(SEARCH("Psychic",H2)))</formula>
    </cfRule>
    <cfRule type="containsText" dxfId="18" priority="36" operator="containsText" text="Fighting">
      <formula>NOT(ISERROR(SEARCH("Fighting",H2)))</formula>
    </cfRule>
    <cfRule type="containsText" dxfId="17" priority="37" operator="containsText" text="Flying">
      <formula>NOT(ISERROR(SEARCH("Flying",H2)))</formula>
    </cfRule>
    <cfRule type="containsText" dxfId="16" priority="38" operator="containsText" text="Ground">
      <formula>NOT(ISERROR(SEARCH("Ground",H2)))</formula>
    </cfRule>
    <cfRule type="containsText" dxfId="15" priority="39" operator="containsText" text="Fairy">
      <formula>NOT(ISERROR(SEARCH("Fairy",H2)))</formula>
    </cfRule>
    <cfRule type="containsText" dxfId="14" priority="40" operator="containsText" text="Poison">
      <formula>NOT(ISERROR(SEARCH("Poison",H2)))</formula>
    </cfRule>
    <cfRule type="containsText" dxfId="13" priority="41" operator="containsText" text="Rock">
      <formula>NOT(ISERROR(SEARCH("Rock",H2)))</formula>
    </cfRule>
    <cfRule type="containsText" dxfId="12" priority="42" operator="containsText" text="Ghost">
      <formula>NOT(ISERROR(SEARCH("Ghost",H2)))</formula>
    </cfRule>
    <cfRule type="containsText" dxfId="11" priority="43" operator="containsText" text="Steel">
      <formula>NOT(ISERROR(SEARCH("Steel",H2)))</formula>
    </cfRule>
    <cfRule type="containsText" dxfId="10" priority="44" operator="containsText" text="Dark">
      <formula>NOT(ISERROR(SEARCH("Dark",H2)))</formula>
    </cfRule>
    <cfRule type="containsText" dxfId="9" priority="45" operator="containsText" text="Electric">
      <formula>NOT(ISERROR(SEARCH("Electric",H2)))</formula>
    </cfRule>
    <cfRule type="containsText" dxfId="8" priority="46" operator="containsText" text="Ice">
      <formula>NOT(ISERROR(SEARCH("Ice",H2)))</formula>
    </cfRule>
    <cfRule type="containsText" dxfId="7" priority="47" operator="containsText" text="Dragon">
      <formula>NOT(ISERROR(SEARCH("Dragon",H2)))</formula>
    </cfRule>
    <cfRule type="containsText" dxfId="6" priority="48" operator="containsText" text="Bug">
      <formula>NOT(ISERROR(SEARCH("Bug",H2)))</formula>
    </cfRule>
    <cfRule type="containsText" dxfId="5" priority="49" operator="containsText" text="Normal">
      <formula>NOT(ISERROR(SEARCH("Normal",H2)))</formula>
    </cfRule>
    <cfRule type="containsText" dxfId="4" priority="50" operator="containsText" text="Water">
      <formula>NOT(ISERROR(SEARCH("Water",H2)))</formula>
    </cfRule>
    <cfRule type="containsText" dxfId="3" priority="51" operator="containsText" text="Fire">
      <formula>NOT(ISERROR(SEARCH("Fire",H2)))</formula>
    </cfRule>
    <cfRule type="containsText" dxfId="2" priority="53" operator="containsText" text="Grass">
      <formula>NOT(ISERROR(SEARCH("Grass",H2)))</formula>
    </cfRule>
  </conditionalFormatting>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C1CDF-11E3-40A3-98C5-266F47E4F46B}">
  <sheetPr codeName="Sheet3"/>
  <dimension ref="C4:D15"/>
  <sheetViews>
    <sheetView workbookViewId="0">
      <selection activeCell="D8" sqref="D8"/>
    </sheetView>
  </sheetViews>
  <sheetFormatPr defaultRowHeight="15" x14ac:dyDescent="0.25"/>
  <cols>
    <col min="3" max="3" width="18.42578125" customWidth="1"/>
    <col min="4" max="4" width="11.85546875" customWidth="1"/>
    <col min="5" max="5" width="10.7109375" customWidth="1"/>
  </cols>
  <sheetData>
    <row r="4" spans="3:4" x14ac:dyDescent="0.25">
      <c r="C4" t="s">
        <v>2831</v>
      </c>
      <c r="D4" t="s">
        <v>2832</v>
      </c>
    </row>
    <row r="7" spans="3:4" x14ac:dyDescent="0.25">
      <c r="C7" t="s">
        <v>2822</v>
      </c>
      <c r="D7" s="2" t="s">
        <v>1483</v>
      </c>
    </row>
    <row r="8" spans="3:4" x14ac:dyDescent="0.25">
      <c r="C8" t="s">
        <v>2823</v>
      </c>
      <c r="D8">
        <f>VLOOKUP(D7,'Pokedex + Conditional Format'!A2:AB1204,3,FALSE)</f>
        <v>493</v>
      </c>
    </row>
    <row r="9" spans="3:4" x14ac:dyDescent="0.25">
      <c r="C9" t="s">
        <v>2824</v>
      </c>
      <c r="D9" s="2" t="str">
        <f>VLOOKUP(D7,'Pokedex + Conditional Format'!A2:AB1204,4,FALSE)</f>
        <v>493_0</v>
      </c>
    </row>
    <row r="10" spans="3:4" x14ac:dyDescent="0.25">
      <c r="C10" t="s">
        <v>2825</v>
      </c>
      <c r="D10" s="2" t="str">
        <f>VLOOKUP(D7,'Pokedex + Conditional Format'!A2:AB1204,8,FALSE)</f>
        <v>Normal</v>
      </c>
    </row>
    <row r="11" spans="3:4" x14ac:dyDescent="0.25">
      <c r="C11" t="s">
        <v>2826</v>
      </c>
      <c r="D11" s="2">
        <f>VLOOKUP(D7,'Pokedex + Conditional Format'!A2:AB1204,9,FALSE)</f>
        <v>0</v>
      </c>
    </row>
    <row r="12" spans="3:4" x14ac:dyDescent="0.25">
      <c r="C12" t="s">
        <v>2827</v>
      </c>
      <c r="D12">
        <f>VLOOKUP(D7,'Pokedex + Conditional Format'!A2:AB1204,26,FALSE)</f>
        <v>120</v>
      </c>
    </row>
    <row r="13" spans="3:4" x14ac:dyDescent="0.25">
      <c r="C13" t="s">
        <v>2828</v>
      </c>
      <c r="D13">
        <f>VLOOKUP(D7,'Pokedex + Conditional Format'!A2:AB1204,27,FALSE)</f>
        <v>120</v>
      </c>
    </row>
    <row r="14" spans="3:4" x14ac:dyDescent="0.25">
      <c r="C14" t="s">
        <v>2829</v>
      </c>
      <c r="D14">
        <f>VLOOKUP(D7,'Pokedex + Conditional Format'!A2:AB1204,28,FALSE)</f>
        <v>120</v>
      </c>
    </row>
    <row r="15" spans="3:4" x14ac:dyDescent="0.25">
      <c r="C15" t="s">
        <v>2830</v>
      </c>
      <c r="D15" s="2" t="str">
        <f>VLOOKUP(D7,'Pokedex + Conditional Format'!A2:AB1204,23,FALSE)</f>
        <v>Mythical</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2DB69D-956C-4DFA-B6D9-3BDD65267429}">
  <dimension ref="B3:C9"/>
  <sheetViews>
    <sheetView workbookViewId="0">
      <selection activeCell="B3" sqref="B3"/>
    </sheetView>
  </sheetViews>
  <sheetFormatPr defaultRowHeight="15" x14ac:dyDescent="0.25"/>
  <cols>
    <col min="2" max="2" width="16.7109375" bestFit="1" customWidth="1"/>
    <col min="3" max="3" width="11.140625" customWidth="1"/>
  </cols>
  <sheetData>
    <row r="3" spans="2:3" x14ac:dyDescent="0.25">
      <c r="B3" s="13" t="s">
        <v>2843</v>
      </c>
      <c r="C3" s="14"/>
    </row>
    <row r="4" spans="2:3" x14ac:dyDescent="0.25">
      <c r="B4" s="14" t="s">
        <v>2844</v>
      </c>
      <c r="C4" s="15" t="s">
        <v>76</v>
      </c>
    </row>
    <row r="5" spans="2:3" x14ac:dyDescent="0.25">
      <c r="B5" s="14" t="s">
        <v>2845</v>
      </c>
      <c r="C5" s="15">
        <v>1</v>
      </c>
    </row>
    <row r="6" spans="2:3" x14ac:dyDescent="0.25">
      <c r="B6" s="14" t="s">
        <v>2846</v>
      </c>
      <c r="C6" s="15" t="s">
        <v>46</v>
      </c>
    </row>
    <row r="7" spans="2:3" x14ac:dyDescent="0.25">
      <c r="B7" s="14"/>
      <c r="C7" s="14"/>
    </row>
    <row r="8" spans="2:3" x14ac:dyDescent="0.25">
      <c r="B8" s="14"/>
      <c r="C8" s="14"/>
    </row>
    <row r="9" spans="2:3" x14ac:dyDescent="0.25">
      <c r="B9" s="14" t="s">
        <v>2847</v>
      </c>
      <c r="C9" s="15">
        <f>COUNTIFS('Pokedex + Conditional Format'!H:H, COUNTIFS!C4, 'Pokedex + Conditional Format'!E:E, COUNTIFS!C5, 'Pokedex + Conditional Format'!W:W, C6)</f>
        <v>31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5EF1C-3446-429C-B767-120600ACF07D}">
  <sheetPr codeName="Sheet2"/>
  <dimension ref="A1:G1206"/>
  <sheetViews>
    <sheetView topLeftCell="A1171" workbookViewId="0">
      <selection activeCell="A1206" sqref="A1206:G1206"/>
    </sheetView>
  </sheetViews>
  <sheetFormatPr defaultRowHeight="15" x14ac:dyDescent="0.25"/>
  <cols>
    <col min="2" max="2" width="14.7109375" customWidth="1"/>
    <col min="3" max="3" width="9" customWidth="1"/>
    <col min="7" max="7" width="10.5703125" customWidth="1"/>
  </cols>
  <sheetData>
    <row r="1" spans="1:7" x14ac:dyDescent="0.25">
      <c r="A1" t="s">
        <v>3</v>
      </c>
      <c r="B1" t="s">
        <v>1</v>
      </c>
      <c r="C1" t="s">
        <v>7</v>
      </c>
      <c r="D1" t="s">
        <v>8</v>
      </c>
      <c r="E1" t="s">
        <v>25</v>
      </c>
      <c r="F1" t="s">
        <v>26</v>
      </c>
      <c r="G1" t="s">
        <v>27</v>
      </c>
    </row>
    <row r="2" spans="1:7" x14ac:dyDescent="0.25">
      <c r="A2" t="s">
        <v>39</v>
      </c>
      <c r="B2" t="s">
        <v>38</v>
      </c>
      <c r="C2" t="s">
        <v>40</v>
      </c>
      <c r="D2" t="s">
        <v>41</v>
      </c>
      <c r="E2">
        <v>45</v>
      </c>
      <c r="F2">
        <v>49</v>
      </c>
      <c r="G2">
        <v>49</v>
      </c>
    </row>
    <row r="3" spans="1:7" x14ac:dyDescent="0.25">
      <c r="A3" t="s">
        <v>48</v>
      </c>
      <c r="B3" t="s">
        <v>47</v>
      </c>
      <c r="C3" t="s">
        <v>40</v>
      </c>
      <c r="D3" t="s">
        <v>41</v>
      </c>
      <c r="E3">
        <v>60</v>
      </c>
      <c r="F3">
        <v>62</v>
      </c>
      <c r="G3">
        <v>63</v>
      </c>
    </row>
    <row r="4" spans="1:7" x14ac:dyDescent="0.25">
      <c r="A4" t="s">
        <v>50</v>
      </c>
      <c r="B4" t="s">
        <v>49</v>
      </c>
      <c r="C4" t="s">
        <v>40</v>
      </c>
      <c r="D4" t="s">
        <v>41</v>
      </c>
      <c r="E4">
        <v>80</v>
      </c>
      <c r="F4">
        <v>82</v>
      </c>
      <c r="G4">
        <v>83</v>
      </c>
    </row>
    <row r="5" spans="1:7" x14ac:dyDescent="0.25">
      <c r="A5" t="s">
        <v>52</v>
      </c>
      <c r="B5" t="s">
        <v>51</v>
      </c>
      <c r="C5" t="s">
        <v>40</v>
      </c>
      <c r="D5" t="s">
        <v>41</v>
      </c>
      <c r="E5">
        <v>80</v>
      </c>
      <c r="F5">
        <v>100</v>
      </c>
      <c r="G5">
        <v>123</v>
      </c>
    </row>
    <row r="6" spans="1:7" x14ac:dyDescent="0.25">
      <c r="A6" t="s">
        <v>56</v>
      </c>
      <c r="B6" t="s">
        <v>55</v>
      </c>
      <c r="C6" t="s">
        <v>57</v>
      </c>
      <c r="E6">
        <v>39</v>
      </c>
      <c r="F6">
        <v>52</v>
      </c>
      <c r="G6">
        <v>43</v>
      </c>
    </row>
    <row r="7" spans="1:7" x14ac:dyDescent="0.25">
      <c r="A7" t="s">
        <v>63</v>
      </c>
      <c r="B7" t="s">
        <v>62</v>
      </c>
      <c r="C7" t="s">
        <v>57</v>
      </c>
      <c r="E7">
        <v>58</v>
      </c>
      <c r="F7">
        <v>64</v>
      </c>
      <c r="G7">
        <v>58</v>
      </c>
    </row>
    <row r="8" spans="1:7" x14ac:dyDescent="0.25">
      <c r="A8" t="s">
        <v>65</v>
      </c>
      <c r="B8" t="s">
        <v>64</v>
      </c>
      <c r="C8" t="s">
        <v>57</v>
      </c>
      <c r="D8" t="s">
        <v>66</v>
      </c>
      <c r="E8">
        <v>78</v>
      </c>
      <c r="F8">
        <v>84</v>
      </c>
      <c r="G8">
        <v>78</v>
      </c>
    </row>
    <row r="9" spans="1:7" x14ac:dyDescent="0.25">
      <c r="A9" t="s">
        <v>68</v>
      </c>
      <c r="B9" t="s">
        <v>67</v>
      </c>
      <c r="C9" t="s">
        <v>57</v>
      </c>
      <c r="D9" t="s">
        <v>61</v>
      </c>
      <c r="E9">
        <v>78</v>
      </c>
      <c r="F9">
        <v>130</v>
      </c>
      <c r="G9">
        <v>111</v>
      </c>
    </row>
    <row r="10" spans="1:7" x14ac:dyDescent="0.25">
      <c r="A10" t="s">
        <v>72</v>
      </c>
      <c r="B10" t="s">
        <v>71</v>
      </c>
      <c r="C10" t="s">
        <v>57</v>
      </c>
      <c r="D10" t="s">
        <v>66</v>
      </c>
      <c r="E10">
        <v>78</v>
      </c>
      <c r="F10">
        <v>104</v>
      </c>
      <c r="G10">
        <v>78</v>
      </c>
    </row>
    <row r="11" spans="1:7" x14ac:dyDescent="0.25">
      <c r="A11" t="s">
        <v>75</v>
      </c>
      <c r="B11" t="s">
        <v>74</v>
      </c>
      <c r="C11" t="s">
        <v>76</v>
      </c>
      <c r="E11">
        <v>44</v>
      </c>
      <c r="F11">
        <v>48</v>
      </c>
      <c r="G11">
        <v>65</v>
      </c>
    </row>
    <row r="12" spans="1:7" x14ac:dyDescent="0.25">
      <c r="A12" t="s">
        <v>82</v>
      </c>
      <c r="B12" t="s">
        <v>81</v>
      </c>
      <c r="C12" t="s">
        <v>76</v>
      </c>
      <c r="E12">
        <v>59</v>
      </c>
      <c r="F12">
        <v>63</v>
      </c>
      <c r="G12">
        <v>80</v>
      </c>
    </row>
    <row r="13" spans="1:7" x14ac:dyDescent="0.25">
      <c r="A13" t="s">
        <v>84</v>
      </c>
      <c r="B13" t="s">
        <v>83</v>
      </c>
      <c r="C13" t="s">
        <v>76</v>
      </c>
      <c r="E13">
        <v>79</v>
      </c>
      <c r="F13">
        <v>83</v>
      </c>
      <c r="G13">
        <v>100</v>
      </c>
    </row>
    <row r="14" spans="1:7" x14ac:dyDescent="0.25">
      <c r="A14" t="s">
        <v>86</v>
      </c>
      <c r="B14" t="s">
        <v>85</v>
      </c>
      <c r="C14" t="s">
        <v>76</v>
      </c>
      <c r="E14">
        <v>79</v>
      </c>
      <c r="F14">
        <v>103</v>
      </c>
      <c r="G14">
        <v>120</v>
      </c>
    </row>
    <row r="15" spans="1:7" x14ac:dyDescent="0.25">
      <c r="A15" t="s">
        <v>89</v>
      </c>
      <c r="B15" t="s">
        <v>88</v>
      </c>
      <c r="C15" t="s">
        <v>90</v>
      </c>
      <c r="E15">
        <v>45</v>
      </c>
      <c r="F15">
        <v>30</v>
      </c>
      <c r="G15">
        <v>35</v>
      </c>
    </row>
    <row r="16" spans="1:7" x14ac:dyDescent="0.25">
      <c r="A16" t="s">
        <v>94</v>
      </c>
      <c r="B16" t="s">
        <v>93</v>
      </c>
      <c r="C16" t="s">
        <v>90</v>
      </c>
      <c r="E16">
        <v>50</v>
      </c>
      <c r="F16">
        <v>20</v>
      </c>
      <c r="G16">
        <v>55</v>
      </c>
    </row>
    <row r="17" spans="1:7" x14ac:dyDescent="0.25">
      <c r="A17" t="s">
        <v>97</v>
      </c>
      <c r="B17" t="s">
        <v>96</v>
      </c>
      <c r="C17" t="s">
        <v>90</v>
      </c>
      <c r="D17" t="s">
        <v>66</v>
      </c>
      <c r="E17">
        <v>60</v>
      </c>
      <c r="F17">
        <v>45</v>
      </c>
      <c r="G17">
        <v>50</v>
      </c>
    </row>
    <row r="18" spans="1:7" x14ac:dyDescent="0.25">
      <c r="A18" t="s">
        <v>102</v>
      </c>
      <c r="B18" t="s">
        <v>101</v>
      </c>
      <c r="C18" t="s">
        <v>90</v>
      </c>
      <c r="D18" t="s">
        <v>41</v>
      </c>
      <c r="E18">
        <v>40</v>
      </c>
      <c r="F18">
        <v>35</v>
      </c>
      <c r="G18">
        <v>30</v>
      </c>
    </row>
    <row r="19" spans="1:7" x14ac:dyDescent="0.25">
      <c r="A19" t="s">
        <v>105</v>
      </c>
      <c r="B19" t="s">
        <v>104</v>
      </c>
      <c r="C19" t="s">
        <v>90</v>
      </c>
      <c r="D19" t="s">
        <v>41</v>
      </c>
      <c r="E19">
        <v>45</v>
      </c>
      <c r="F19">
        <v>25</v>
      </c>
      <c r="G19">
        <v>50</v>
      </c>
    </row>
    <row r="20" spans="1:7" x14ac:dyDescent="0.25">
      <c r="A20" t="s">
        <v>108</v>
      </c>
      <c r="B20" t="s">
        <v>107</v>
      </c>
      <c r="C20" t="s">
        <v>90</v>
      </c>
      <c r="D20" t="s">
        <v>41</v>
      </c>
      <c r="E20">
        <v>65</v>
      </c>
      <c r="F20">
        <v>90</v>
      </c>
      <c r="G20">
        <v>40</v>
      </c>
    </row>
    <row r="21" spans="1:7" x14ac:dyDescent="0.25">
      <c r="A21" t="s">
        <v>112</v>
      </c>
      <c r="B21" t="s">
        <v>111</v>
      </c>
      <c r="C21" t="s">
        <v>90</v>
      </c>
      <c r="D21" t="s">
        <v>41</v>
      </c>
      <c r="E21">
        <v>65</v>
      </c>
      <c r="F21">
        <v>150</v>
      </c>
      <c r="G21">
        <v>40</v>
      </c>
    </row>
    <row r="22" spans="1:7" x14ac:dyDescent="0.25">
      <c r="A22" t="s">
        <v>115</v>
      </c>
      <c r="B22" t="s">
        <v>114</v>
      </c>
      <c r="C22" t="s">
        <v>116</v>
      </c>
      <c r="D22" t="s">
        <v>66</v>
      </c>
      <c r="E22">
        <v>40</v>
      </c>
      <c r="F22">
        <v>45</v>
      </c>
      <c r="G22">
        <v>40</v>
      </c>
    </row>
    <row r="23" spans="1:7" x14ac:dyDescent="0.25">
      <c r="A23" t="s">
        <v>121</v>
      </c>
      <c r="B23" t="s">
        <v>120</v>
      </c>
      <c r="C23" t="s">
        <v>116</v>
      </c>
      <c r="D23" t="s">
        <v>66</v>
      </c>
      <c r="E23">
        <v>63</v>
      </c>
      <c r="F23">
        <v>60</v>
      </c>
      <c r="G23">
        <v>55</v>
      </c>
    </row>
    <row r="24" spans="1:7" x14ac:dyDescent="0.25">
      <c r="A24" t="s">
        <v>123</v>
      </c>
      <c r="B24" t="s">
        <v>122</v>
      </c>
      <c r="C24" t="s">
        <v>116</v>
      </c>
      <c r="D24" t="s">
        <v>66</v>
      </c>
      <c r="E24">
        <v>83</v>
      </c>
      <c r="F24">
        <v>80</v>
      </c>
      <c r="G24">
        <v>75</v>
      </c>
    </row>
    <row r="25" spans="1:7" x14ac:dyDescent="0.25">
      <c r="A25" t="s">
        <v>125</v>
      </c>
      <c r="B25" t="s">
        <v>124</v>
      </c>
      <c r="C25" t="s">
        <v>116</v>
      </c>
      <c r="D25" t="s">
        <v>66</v>
      </c>
      <c r="E25">
        <v>83</v>
      </c>
      <c r="F25">
        <v>80</v>
      </c>
      <c r="G25">
        <v>80</v>
      </c>
    </row>
    <row r="26" spans="1:7" x14ac:dyDescent="0.25">
      <c r="A26" t="s">
        <v>128</v>
      </c>
      <c r="B26" t="s">
        <v>127</v>
      </c>
      <c r="C26" t="s">
        <v>116</v>
      </c>
      <c r="E26">
        <v>30</v>
      </c>
      <c r="F26">
        <v>56</v>
      </c>
      <c r="G26">
        <v>35</v>
      </c>
    </row>
    <row r="27" spans="1:7" x14ac:dyDescent="0.25">
      <c r="A27" t="s">
        <v>134</v>
      </c>
      <c r="B27" t="s">
        <v>133</v>
      </c>
      <c r="C27" t="s">
        <v>135</v>
      </c>
      <c r="D27" t="s">
        <v>116</v>
      </c>
      <c r="E27">
        <v>30</v>
      </c>
      <c r="F27">
        <v>56</v>
      </c>
      <c r="G27">
        <v>35</v>
      </c>
    </row>
    <row r="28" spans="1:7" x14ac:dyDescent="0.25">
      <c r="A28" t="s">
        <v>139</v>
      </c>
      <c r="B28" t="s">
        <v>138</v>
      </c>
      <c r="C28" t="s">
        <v>116</v>
      </c>
      <c r="E28">
        <v>55</v>
      </c>
      <c r="F28">
        <v>81</v>
      </c>
      <c r="G28">
        <v>60</v>
      </c>
    </row>
    <row r="29" spans="1:7" x14ac:dyDescent="0.25">
      <c r="A29" t="s">
        <v>141</v>
      </c>
      <c r="B29" t="s">
        <v>140</v>
      </c>
      <c r="C29" t="s">
        <v>135</v>
      </c>
      <c r="D29" t="s">
        <v>116</v>
      </c>
      <c r="E29">
        <v>75</v>
      </c>
      <c r="F29">
        <v>71</v>
      </c>
      <c r="G29">
        <v>70</v>
      </c>
    </row>
    <row r="30" spans="1:7" x14ac:dyDescent="0.25">
      <c r="A30" t="s">
        <v>143</v>
      </c>
      <c r="B30" t="s">
        <v>142</v>
      </c>
      <c r="C30" t="s">
        <v>116</v>
      </c>
      <c r="D30" t="s">
        <v>66</v>
      </c>
      <c r="E30">
        <v>40</v>
      </c>
      <c r="F30">
        <v>60</v>
      </c>
      <c r="G30">
        <v>30</v>
      </c>
    </row>
    <row r="31" spans="1:7" x14ac:dyDescent="0.25">
      <c r="A31" t="s">
        <v>145</v>
      </c>
      <c r="B31" t="s">
        <v>144</v>
      </c>
      <c r="C31" t="s">
        <v>116</v>
      </c>
      <c r="D31" t="s">
        <v>66</v>
      </c>
      <c r="E31">
        <v>65</v>
      </c>
      <c r="F31">
        <v>90</v>
      </c>
      <c r="G31">
        <v>65</v>
      </c>
    </row>
    <row r="32" spans="1:7" x14ac:dyDescent="0.25">
      <c r="A32" t="s">
        <v>147</v>
      </c>
      <c r="B32" t="s">
        <v>146</v>
      </c>
      <c r="C32" t="s">
        <v>41</v>
      </c>
      <c r="E32">
        <v>35</v>
      </c>
      <c r="F32">
        <v>60</v>
      </c>
      <c r="G32">
        <v>44</v>
      </c>
    </row>
    <row r="33" spans="1:7" x14ac:dyDescent="0.25">
      <c r="A33" t="s">
        <v>151</v>
      </c>
      <c r="B33" t="s">
        <v>150</v>
      </c>
      <c r="C33" t="s">
        <v>41</v>
      </c>
      <c r="E33">
        <v>60</v>
      </c>
      <c r="F33">
        <v>95</v>
      </c>
      <c r="G33">
        <v>69</v>
      </c>
    </row>
    <row r="34" spans="1:7" x14ac:dyDescent="0.25">
      <c r="A34" t="s">
        <v>153</v>
      </c>
      <c r="B34" t="s">
        <v>152</v>
      </c>
      <c r="C34" t="s">
        <v>154</v>
      </c>
      <c r="E34">
        <v>35</v>
      </c>
      <c r="F34">
        <v>55</v>
      </c>
      <c r="G34">
        <v>40</v>
      </c>
    </row>
    <row r="35" spans="1:7" x14ac:dyDescent="0.25">
      <c r="A35" t="s">
        <v>159</v>
      </c>
      <c r="B35" t="s">
        <v>158</v>
      </c>
      <c r="C35" t="s">
        <v>154</v>
      </c>
      <c r="E35">
        <v>60</v>
      </c>
      <c r="F35">
        <v>90</v>
      </c>
      <c r="G35">
        <v>55</v>
      </c>
    </row>
    <row r="36" spans="1:7" x14ac:dyDescent="0.25">
      <c r="A36" t="s">
        <v>161</v>
      </c>
      <c r="B36" t="s">
        <v>160</v>
      </c>
      <c r="C36" t="s">
        <v>154</v>
      </c>
      <c r="D36" t="s">
        <v>162</v>
      </c>
      <c r="E36">
        <v>60</v>
      </c>
      <c r="F36">
        <v>85</v>
      </c>
      <c r="G36">
        <v>50</v>
      </c>
    </row>
    <row r="37" spans="1:7" x14ac:dyDescent="0.25">
      <c r="A37" t="s">
        <v>165</v>
      </c>
      <c r="B37" t="s">
        <v>164</v>
      </c>
      <c r="C37" t="s">
        <v>132</v>
      </c>
      <c r="E37">
        <v>50</v>
      </c>
      <c r="F37">
        <v>75</v>
      </c>
      <c r="G37">
        <v>85</v>
      </c>
    </row>
    <row r="38" spans="1:7" x14ac:dyDescent="0.25">
      <c r="A38" t="s">
        <v>169</v>
      </c>
      <c r="B38" t="s">
        <v>168</v>
      </c>
      <c r="C38" t="s">
        <v>170</v>
      </c>
      <c r="D38" t="s">
        <v>171</v>
      </c>
      <c r="E38">
        <v>50</v>
      </c>
      <c r="F38">
        <v>75</v>
      </c>
      <c r="G38">
        <v>90</v>
      </c>
    </row>
    <row r="39" spans="1:7" x14ac:dyDescent="0.25">
      <c r="A39" t="s">
        <v>175</v>
      </c>
      <c r="B39" t="s">
        <v>174</v>
      </c>
      <c r="C39" t="s">
        <v>132</v>
      </c>
      <c r="E39">
        <v>75</v>
      </c>
      <c r="F39">
        <v>100</v>
      </c>
      <c r="G39">
        <v>110</v>
      </c>
    </row>
    <row r="40" spans="1:7" x14ac:dyDescent="0.25">
      <c r="A40" t="s">
        <v>177</v>
      </c>
      <c r="B40" t="s">
        <v>176</v>
      </c>
      <c r="C40" t="s">
        <v>170</v>
      </c>
      <c r="D40" t="s">
        <v>171</v>
      </c>
      <c r="E40">
        <v>75</v>
      </c>
      <c r="F40">
        <v>100</v>
      </c>
      <c r="G40">
        <v>120</v>
      </c>
    </row>
    <row r="41" spans="1:7" x14ac:dyDescent="0.25">
      <c r="A41" t="s">
        <v>179</v>
      </c>
      <c r="B41" t="s">
        <v>178</v>
      </c>
      <c r="C41" t="s">
        <v>41</v>
      </c>
      <c r="E41">
        <v>55</v>
      </c>
      <c r="F41">
        <v>47</v>
      </c>
      <c r="G41">
        <v>52</v>
      </c>
    </row>
    <row r="42" spans="1:7" x14ac:dyDescent="0.25">
      <c r="A42" t="s">
        <v>183</v>
      </c>
      <c r="B42" t="s">
        <v>182</v>
      </c>
      <c r="C42" t="s">
        <v>41</v>
      </c>
      <c r="E42">
        <v>70</v>
      </c>
      <c r="F42">
        <v>62</v>
      </c>
      <c r="G42">
        <v>67</v>
      </c>
    </row>
    <row r="43" spans="1:7" x14ac:dyDescent="0.25">
      <c r="A43" t="s">
        <v>186</v>
      </c>
      <c r="B43" t="s">
        <v>185</v>
      </c>
      <c r="C43" t="s">
        <v>41</v>
      </c>
      <c r="D43" t="s">
        <v>132</v>
      </c>
      <c r="E43">
        <v>90</v>
      </c>
      <c r="F43">
        <v>92</v>
      </c>
      <c r="G43">
        <v>87</v>
      </c>
    </row>
    <row r="44" spans="1:7" x14ac:dyDescent="0.25">
      <c r="A44" t="s">
        <v>189</v>
      </c>
      <c r="B44" t="s">
        <v>188</v>
      </c>
      <c r="C44" t="s">
        <v>41</v>
      </c>
      <c r="E44">
        <v>46</v>
      </c>
      <c r="F44">
        <v>57</v>
      </c>
      <c r="G44">
        <v>40</v>
      </c>
    </row>
    <row r="45" spans="1:7" x14ac:dyDescent="0.25">
      <c r="A45" t="s">
        <v>191</v>
      </c>
      <c r="B45" t="s">
        <v>190</v>
      </c>
      <c r="C45" t="s">
        <v>41</v>
      </c>
      <c r="E45">
        <v>61</v>
      </c>
      <c r="F45">
        <v>72</v>
      </c>
      <c r="G45">
        <v>57</v>
      </c>
    </row>
    <row r="46" spans="1:7" x14ac:dyDescent="0.25">
      <c r="A46" t="s">
        <v>193</v>
      </c>
      <c r="B46" t="s">
        <v>192</v>
      </c>
      <c r="C46" t="s">
        <v>41</v>
      </c>
      <c r="D46" t="s">
        <v>132</v>
      </c>
      <c r="E46">
        <v>81</v>
      </c>
      <c r="F46">
        <v>102</v>
      </c>
      <c r="G46">
        <v>77</v>
      </c>
    </row>
    <row r="47" spans="1:7" x14ac:dyDescent="0.25">
      <c r="A47" t="s">
        <v>195</v>
      </c>
      <c r="B47" t="s">
        <v>194</v>
      </c>
      <c r="C47" t="s">
        <v>157</v>
      </c>
      <c r="E47">
        <v>70</v>
      </c>
      <c r="F47">
        <v>45</v>
      </c>
      <c r="G47">
        <v>48</v>
      </c>
    </row>
    <row r="48" spans="1:7" x14ac:dyDescent="0.25">
      <c r="A48" t="s">
        <v>201</v>
      </c>
      <c r="B48" t="s">
        <v>200</v>
      </c>
      <c r="C48" t="s">
        <v>157</v>
      </c>
      <c r="E48">
        <v>95</v>
      </c>
      <c r="F48">
        <v>70</v>
      </c>
      <c r="G48">
        <v>73</v>
      </c>
    </row>
    <row r="49" spans="1:7" x14ac:dyDescent="0.25">
      <c r="A49" t="s">
        <v>204</v>
      </c>
      <c r="B49" t="s">
        <v>203</v>
      </c>
      <c r="C49" t="s">
        <v>57</v>
      </c>
      <c r="E49">
        <v>38</v>
      </c>
      <c r="F49">
        <v>41</v>
      </c>
      <c r="G49">
        <v>40</v>
      </c>
    </row>
    <row r="50" spans="1:7" x14ac:dyDescent="0.25">
      <c r="A50" t="s">
        <v>207</v>
      </c>
      <c r="B50" t="s">
        <v>206</v>
      </c>
      <c r="C50" t="s">
        <v>170</v>
      </c>
      <c r="E50">
        <v>38</v>
      </c>
      <c r="F50">
        <v>41</v>
      </c>
      <c r="G50">
        <v>40</v>
      </c>
    </row>
    <row r="51" spans="1:7" x14ac:dyDescent="0.25">
      <c r="A51" t="s">
        <v>210</v>
      </c>
      <c r="B51" t="s">
        <v>209</v>
      </c>
      <c r="C51" t="s">
        <v>57</v>
      </c>
      <c r="E51">
        <v>73</v>
      </c>
      <c r="F51">
        <v>76</v>
      </c>
      <c r="G51">
        <v>75</v>
      </c>
    </row>
    <row r="52" spans="1:7" x14ac:dyDescent="0.25">
      <c r="A52" t="s">
        <v>212</v>
      </c>
      <c r="B52" t="s">
        <v>211</v>
      </c>
      <c r="C52" t="s">
        <v>170</v>
      </c>
      <c r="D52" t="s">
        <v>157</v>
      </c>
      <c r="E52">
        <v>73</v>
      </c>
      <c r="F52">
        <v>67</v>
      </c>
      <c r="G52">
        <v>75</v>
      </c>
    </row>
    <row r="53" spans="1:7" x14ac:dyDescent="0.25">
      <c r="A53" t="s">
        <v>214</v>
      </c>
      <c r="B53" t="s">
        <v>213</v>
      </c>
      <c r="C53" t="s">
        <v>116</v>
      </c>
      <c r="D53" t="s">
        <v>157</v>
      </c>
      <c r="E53">
        <v>115</v>
      </c>
      <c r="F53">
        <v>45</v>
      </c>
      <c r="G53">
        <v>20</v>
      </c>
    </row>
    <row r="54" spans="1:7" x14ac:dyDescent="0.25">
      <c r="A54" t="s">
        <v>217</v>
      </c>
      <c r="B54" t="s">
        <v>216</v>
      </c>
      <c r="C54" t="s">
        <v>116</v>
      </c>
      <c r="D54" t="s">
        <v>157</v>
      </c>
      <c r="E54">
        <v>140</v>
      </c>
      <c r="F54">
        <v>70</v>
      </c>
      <c r="G54">
        <v>45</v>
      </c>
    </row>
    <row r="55" spans="1:7" x14ac:dyDescent="0.25">
      <c r="A55" t="s">
        <v>220</v>
      </c>
      <c r="B55" t="s">
        <v>219</v>
      </c>
      <c r="C55" t="s">
        <v>41</v>
      </c>
      <c r="D55" t="s">
        <v>66</v>
      </c>
      <c r="E55">
        <v>40</v>
      </c>
      <c r="F55">
        <v>45</v>
      </c>
      <c r="G55">
        <v>35</v>
      </c>
    </row>
    <row r="56" spans="1:7" x14ac:dyDescent="0.25">
      <c r="A56" t="s">
        <v>224</v>
      </c>
      <c r="B56" t="s">
        <v>223</v>
      </c>
      <c r="C56" t="s">
        <v>41</v>
      </c>
      <c r="D56" t="s">
        <v>66</v>
      </c>
      <c r="E56">
        <v>75</v>
      </c>
      <c r="F56">
        <v>80</v>
      </c>
      <c r="G56">
        <v>70</v>
      </c>
    </row>
    <row r="57" spans="1:7" x14ac:dyDescent="0.25">
      <c r="A57" t="s">
        <v>226</v>
      </c>
      <c r="B57" t="s">
        <v>225</v>
      </c>
      <c r="C57" t="s">
        <v>40</v>
      </c>
      <c r="D57" t="s">
        <v>41</v>
      </c>
      <c r="E57">
        <v>45</v>
      </c>
      <c r="F57">
        <v>50</v>
      </c>
      <c r="G57">
        <v>55</v>
      </c>
    </row>
    <row r="58" spans="1:7" x14ac:dyDescent="0.25">
      <c r="A58" t="s">
        <v>228</v>
      </c>
      <c r="B58" t="s">
        <v>227</v>
      </c>
      <c r="C58" t="s">
        <v>40</v>
      </c>
      <c r="D58" t="s">
        <v>41</v>
      </c>
      <c r="E58">
        <v>60</v>
      </c>
      <c r="F58">
        <v>65</v>
      </c>
      <c r="G58">
        <v>70</v>
      </c>
    </row>
    <row r="59" spans="1:7" x14ac:dyDescent="0.25">
      <c r="A59" t="s">
        <v>231</v>
      </c>
      <c r="B59" t="s">
        <v>230</v>
      </c>
      <c r="C59" t="s">
        <v>40</v>
      </c>
      <c r="D59" t="s">
        <v>41</v>
      </c>
      <c r="E59">
        <v>75</v>
      </c>
      <c r="F59">
        <v>80</v>
      </c>
      <c r="G59">
        <v>85</v>
      </c>
    </row>
    <row r="60" spans="1:7" x14ac:dyDescent="0.25">
      <c r="A60" t="s">
        <v>234</v>
      </c>
      <c r="B60" t="s">
        <v>233</v>
      </c>
      <c r="C60" t="s">
        <v>90</v>
      </c>
      <c r="D60" t="s">
        <v>40</v>
      </c>
      <c r="E60">
        <v>35</v>
      </c>
      <c r="F60">
        <v>70</v>
      </c>
      <c r="G60">
        <v>55</v>
      </c>
    </row>
    <row r="61" spans="1:7" x14ac:dyDescent="0.25">
      <c r="A61" t="s">
        <v>238</v>
      </c>
      <c r="B61" t="s">
        <v>237</v>
      </c>
      <c r="C61" t="s">
        <v>90</v>
      </c>
      <c r="D61" t="s">
        <v>40</v>
      </c>
      <c r="E61">
        <v>60</v>
      </c>
      <c r="F61">
        <v>95</v>
      </c>
      <c r="G61">
        <v>80</v>
      </c>
    </row>
    <row r="62" spans="1:7" x14ac:dyDescent="0.25">
      <c r="A62" t="s">
        <v>240</v>
      </c>
      <c r="B62" t="s">
        <v>239</v>
      </c>
      <c r="C62" t="s">
        <v>90</v>
      </c>
      <c r="D62" t="s">
        <v>41</v>
      </c>
      <c r="E62">
        <v>60</v>
      </c>
      <c r="F62">
        <v>55</v>
      </c>
      <c r="G62">
        <v>50</v>
      </c>
    </row>
    <row r="63" spans="1:7" x14ac:dyDescent="0.25">
      <c r="A63" t="s">
        <v>242</v>
      </c>
      <c r="B63" t="s">
        <v>241</v>
      </c>
      <c r="C63" t="s">
        <v>90</v>
      </c>
      <c r="D63" t="s">
        <v>41</v>
      </c>
      <c r="E63">
        <v>70</v>
      </c>
      <c r="F63">
        <v>65</v>
      </c>
      <c r="G63">
        <v>60</v>
      </c>
    </row>
    <row r="64" spans="1:7" x14ac:dyDescent="0.25">
      <c r="A64" t="s">
        <v>245</v>
      </c>
      <c r="B64" t="s">
        <v>244</v>
      </c>
      <c r="C64" t="s">
        <v>132</v>
      </c>
      <c r="E64">
        <v>10</v>
      </c>
      <c r="F64">
        <v>55</v>
      </c>
      <c r="G64">
        <v>25</v>
      </c>
    </row>
    <row r="65" spans="1:7" x14ac:dyDescent="0.25">
      <c r="A65" t="s">
        <v>249</v>
      </c>
      <c r="B65" t="s">
        <v>248</v>
      </c>
      <c r="C65" t="s">
        <v>132</v>
      </c>
      <c r="D65" t="s">
        <v>171</v>
      </c>
      <c r="E65">
        <v>10</v>
      </c>
      <c r="F65">
        <v>55</v>
      </c>
      <c r="G65">
        <v>30</v>
      </c>
    </row>
    <row r="66" spans="1:7" x14ac:dyDescent="0.25">
      <c r="A66" t="s">
        <v>252</v>
      </c>
      <c r="B66" t="s">
        <v>251</v>
      </c>
      <c r="C66" t="s">
        <v>132</v>
      </c>
      <c r="E66">
        <v>35</v>
      </c>
      <c r="F66">
        <v>100</v>
      </c>
      <c r="G66">
        <v>50</v>
      </c>
    </row>
    <row r="67" spans="1:7" x14ac:dyDescent="0.25">
      <c r="A67" t="s">
        <v>254</v>
      </c>
      <c r="B67" t="s">
        <v>253</v>
      </c>
      <c r="C67" t="s">
        <v>132</v>
      </c>
      <c r="D67" t="s">
        <v>171</v>
      </c>
      <c r="E67">
        <v>35</v>
      </c>
      <c r="F67">
        <v>100</v>
      </c>
      <c r="G67">
        <v>60</v>
      </c>
    </row>
    <row r="68" spans="1:7" x14ac:dyDescent="0.25">
      <c r="A68" t="s">
        <v>256</v>
      </c>
      <c r="B68" t="s">
        <v>255</v>
      </c>
      <c r="C68" t="s">
        <v>116</v>
      </c>
      <c r="E68">
        <v>40</v>
      </c>
      <c r="F68">
        <v>45</v>
      </c>
      <c r="G68">
        <v>35</v>
      </c>
    </row>
    <row r="69" spans="1:7" x14ac:dyDescent="0.25">
      <c r="A69" t="s">
        <v>260</v>
      </c>
      <c r="B69" t="s">
        <v>259</v>
      </c>
      <c r="C69" t="s">
        <v>135</v>
      </c>
      <c r="E69">
        <v>40</v>
      </c>
      <c r="F69">
        <v>35</v>
      </c>
      <c r="G69">
        <v>35</v>
      </c>
    </row>
    <row r="70" spans="1:7" x14ac:dyDescent="0.25">
      <c r="A70" t="s">
        <v>263</v>
      </c>
      <c r="B70" t="s">
        <v>262</v>
      </c>
      <c r="C70" t="s">
        <v>171</v>
      </c>
      <c r="E70">
        <v>50</v>
      </c>
      <c r="F70">
        <v>65</v>
      </c>
      <c r="G70">
        <v>55</v>
      </c>
    </row>
    <row r="71" spans="1:7" x14ac:dyDescent="0.25">
      <c r="A71" t="s">
        <v>266</v>
      </c>
      <c r="B71" t="s">
        <v>265</v>
      </c>
      <c r="C71" t="s">
        <v>116</v>
      </c>
      <c r="E71">
        <v>65</v>
      </c>
      <c r="F71">
        <v>70</v>
      </c>
      <c r="G71">
        <v>60</v>
      </c>
    </row>
    <row r="72" spans="1:7" x14ac:dyDescent="0.25">
      <c r="A72" t="s">
        <v>269</v>
      </c>
      <c r="B72" t="s">
        <v>268</v>
      </c>
      <c r="C72" t="s">
        <v>135</v>
      </c>
      <c r="E72">
        <v>65</v>
      </c>
      <c r="F72">
        <v>60</v>
      </c>
      <c r="G72">
        <v>60</v>
      </c>
    </row>
    <row r="73" spans="1:7" x14ac:dyDescent="0.25">
      <c r="A73" t="s">
        <v>272</v>
      </c>
      <c r="B73" t="s">
        <v>271</v>
      </c>
      <c r="C73" t="s">
        <v>76</v>
      </c>
      <c r="E73">
        <v>50</v>
      </c>
      <c r="F73">
        <v>52</v>
      </c>
      <c r="G73">
        <v>48</v>
      </c>
    </row>
    <row r="74" spans="1:7" x14ac:dyDescent="0.25">
      <c r="A74" t="s">
        <v>276</v>
      </c>
      <c r="B74" t="s">
        <v>275</v>
      </c>
      <c r="C74" t="s">
        <v>76</v>
      </c>
      <c r="E74">
        <v>80</v>
      </c>
      <c r="F74">
        <v>82</v>
      </c>
      <c r="G74">
        <v>78</v>
      </c>
    </row>
    <row r="75" spans="1:7" x14ac:dyDescent="0.25">
      <c r="A75" t="s">
        <v>278</v>
      </c>
      <c r="B75" t="s">
        <v>277</v>
      </c>
      <c r="C75" t="s">
        <v>279</v>
      </c>
      <c r="E75">
        <v>40</v>
      </c>
      <c r="F75">
        <v>80</v>
      </c>
      <c r="G75">
        <v>35</v>
      </c>
    </row>
    <row r="76" spans="1:7" x14ac:dyDescent="0.25">
      <c r="A76" t="s">
        <v>284</v>
      </c>
      <c r="B76" t="s">
        <v>283</v>
      </c>
      <c r="C76" t="s">
        <v>279</v>
      </c>
      <c r="E76">
        <v>65</v>
      </c>
      <c r="F76">
        <v>105</v>
      </c>
      <c r="G76">
        <v>60</v>
      </c>
    </row>
    <row r="77" spans="1:7" x14ac:dyDescent="0.25">
      <c r="A77" t="s">
        <v>286</v>
      </c>
      <c r="B77" t="s">
        <v>285</v>
      </c>
      <c r="C77" t="s">
        <v>57</v>
      </c>
      <c r="E77">
        <v>55</v>
      </c>
      <c r="F77">
        <v>70</v>
      </c>
      <c r="G77">
        <v>45</v>
      </c>
    </row>
    <row r="78" spans="1:7" x14ac:dyDescent="0.25">
      <c r="A78" t="s">
        <v>289</v>
      </c>
      <c r="B78" t="s">
        <v>288</v>
      </c>
      <c r="C78" t="s">
        <v>57</v>
      </c>
      <c r="D78" t="s">
        <v>290</v>
      </c>
      <c r="E78">
        <v>60</v>
      </c>
      <c r="F78">
        <v>75</v>
      </c>
      <c r="G78">
        <v>45</v>
      </c>
    </row>
    <row r="79" spans="1:7" x14ac:dyDescent="0.25">
      <c r="A79" t="s">
        <v>294</v>
      </c>
      <c r="B79" t="s">
        <v>293</v>
      </c>
      <c r="C79" t="s">
        <v>57</v>
      </c>
      <c r="E79">
        <v>90</v>
      </c>
      <c r="F79">
        <v>110</v>
      </c>
      <c r="G79">
        <v>80</v>
      </c>
    </row>
    <row r="80" spans="1:7" x14ac:dyDescent="0.25">
      <c r="A80" t="s">
        <v>296</v>
      </c>
      <c r="B80" t="s">
        <v>295</v>
      </c>
      <c r="C80" t="s">
        <v>57</v>
      </c>
      <c r="D80" t="s">
        <v>290</v>
      </c>
      <c r="E80">
        <v>95</v>
      </c>
      <c r="F80">
        <v>115</v>
      </c>
      <c r="G80">
        <v>80</v>
      </c>
    </row>
    <row r="81" spans="1:7" x14ac:dyDescent="0.25">
      <c r="A81" t="s">
        <v>298</v>
      </c>
      <c r="B81" t="s">
        <v>297</v>
      </c>
      <c r="C81" t="s">
        <v>76</v>
      </c>
      <c r="E81">
        <v>40</v>
      </c>
      <c r="F81">
        <v>50</v>
      </c>
      <c r="G81">
        <v>40</v>
      </c>
    </row>
    <row r="82" spans="1:7" x14ac:dyDescent="0.25">
      <c r="A82" t="s">
        <v>301</v>
      </c>
      <c r="B82" t="s">
        <v>300</v>
      </c>
      <c r="C82" t="s">
        <v>76</v>
      </c>
      <c r="E82">
        <v>65</v>
      </c>
      <c r="F82">
        <v>65</v>
      </c>
      <c r="G82">
        <v>65</v>
      </c>
    </row>
    <row r="83" spans="1:7" x14ac:dyDescent="0.25">
      <c r="A83" t="s">
        <v>303</v>
      </c>
      <c r="B83" t="s">
        <v>302</v>
      </c>
      <c r="C83" t="s">
        <v>76</v>
      </c>
      <c r="D83" t="s">
        <v>279</v>
      </c>
      <c r="E83">
        <v>90</v>
      </c>
      <c r="F83">
        <v>95</v>
      </c>
      <c r="G83">
        <v>95</v>
      </c>
    </row>
    <row r="84" spans="1:7" x14ac:dyDescent="0.25">
      <c r="A84" t="s">
        <v>305</v>
      </c>
      <c r="B84" t="s">
        <v>304</v>
      </c>
      <c r="C84" t="s">
        <v>162</v>
      </c>
      <c r="E84">
        <v>25</v>
      </c>
      <c r="F84">
        <v>20</v>
      </c>
      <c r="G84">
        <v>15</v>
      </c>
    </row>
    <row r="85" spans="1:7" x14ac:dyDescent="0.25">
      <c r="A85" t="s">
        <v>309</v>
      </c>
      <c r="B85" t="s">
        <v>308</v>
      </c>
      <c r="C85" t="s">
        <v>162</v>
      </c>
      <c r="E85">
        <v>40</v>
      </c>
      <c r="F85">
        <v>35</v>
      </c>
      <c r="G85">
        <v>30</v>
      </c>
    </row>
    <row r="86" spans="1:7" x14ac:dyDescent="0.25">
      <c r="A86" t="s">
        <v>311</v>
      </c>
      <c r="B86" t="s">
        <v>310</v>
      </c>
      <c r="C86" t="s">
        <v>162</v>
      </c>
      <c r="E86">
        <v>55</v>
      </c>
      <c r="F86">
        <v>50</v>
      </c>
      <c r="G86">
        <v>45</v>
      </c>
    </row>
    <row r="87" spans="1:7" x14ac:dyDescent="0.25">
      <c r="A87" t="s">
        <v>313</v>
      </c>
      <c r="B87" t="s">
        <v>312</v>
      </c>
      <c r="C87" t="s">
        <v>162</v>
      </c>
      <c r="E87">
        <v>55</v>
      </c>
      <c r="F87">
        <v>50</v>
      </c>
      <c r="G87">
        <v>65</v>
      </c>
    </row>
    <row r="88" spans="1:7" x14ac:dyDescent="0.25">
      <c r="A88" t="s">
        <v>316</v>
      </c>
      <c r="B88" t="s">
        <v>315</v>
      </c>
      <c r="C88" t="s">
        <v>279</v>
      </c>
      <c r="E88">
        <v>70</v>
      </c>
      <c r="F88">
        <v>80</v>
      </c>
      <c r="G88">
        <v>50</v>
      </c>
    </row>
    <row r="89" spans="1:7" x14ac:dyDescent="0.25">
      <c r="A89" t="s">
        <v>320</v>
      </c>
      <c r="B89" t="s">
        <v>319</v>
      </c>
      <c r="C89" t="s">
        <v>279</v>
      </c>
      <c r="E89">
        <v>80</v>
      </c>
      <c r="F89">
        <v>100</v>
      </c>
      <c r="G89">
        <v>70</v>
      </c>
    </row>
    <row r="90" spans="1:7" x14ac:dyDescent="0.25">
      <c r="A90" t="s">
        <v>322</v>
      </c>
      <c r="B90" t="s">
        <v>321</v>
      </c>
      <c r="C90" t="s">
        <v>279</v>
      </c>
      <c r="E90">
        <v>90</v>
      </c>
      <c r="F90">
        <v>130</v>
      </c>
      <c r="G90">
        <v>80</v>
      </c>
    </row>
    <row r="91" spans="1:7" x14ac:dyDescent="0.25">
      <c r="A91" t="s">
        <v>324</v>
      </c>
      <c r="B91" t="s">
        <v>323</v>
      </c>
      <c r="C91" t="s">
        <v>40</v>
      </c>
      <c r="D91" t="s">
        <v>41</v>
      </c>
      <c r="E91">
        <v>50</v>
      </c>
      <c r="F91">
        <v>75</v>
      </c>
      <c r="G91">
        <v>35</v>
      </c>
    </row>
    <row r="92" spans="1:7" x14ac:dyDescent="0.25">
      <c r="A92" t="s">
        <v>326</v>
      </c>
      <c r="B92" t="s">
        <v>325</v>
      </c>
      <c r="C92" t="s">
        <v>40</v>
      </c>
      <c r="D92" t="s">
        <v>41</v>
      </c>
      <c r="E92">
        <v>65</v>
      </c>
      <c r="F92">
        <v>90</v>
      </c>
      <c r="G92">
        <v>50</v>
      </c>
    </row>
    <row r="93" spans="1:7" x14ac:dyDescent="0.25">
      <c r="A93" t="s">
        <v>328</v>
      </c>
      <c r="B93" t="s">
        <v>327</v>
      </c>
      <c r="C93" t="s">
        <v>40</v>
      </c>
      <c r="D93" t="s">
        <v>41</v>
      </c>
      <c r="E93">
        <v>80</v>
      </c>
      <c r="F93">
        <v>105</v>
      </c>
      <c r="G93">
        <v>65</v>
      </c>
    </row>
    <row r="94" spans="1:7" x14ac:dyDescent="0.25">
      <c r="A94" t="s">
        <v>330</v>
      </c>
      <c r="B94" t="s">
        <v>329</v>
      </c>
      <c r="C94" t="s">
        <v>76</v>
      </c>
      <c r="D94" t="s">
        <v>41</v>
      </c>
      <c r="E94">
        <v>40</v>
      </c>
      <c r="F94">
        <v>40</v>
      </c>
      <c r="G94">
        <v>35</v>
      </c>
    </row>
    <row r="95" spans="1:7" x14ac:dyDescent="0.25">
      <c r="A95" t="s">
        <v>335</v>
      </c>
      <c r="B95" t="s">
        <v>334</v>
      </c>
      <c r="C95" t="s">
        <v>76</v>
      </c>
      <c r="D95" t="s">
        <v>41</v>
      </c>
      <c r="E95">
        <v>80</v>
      </c>
      <c r="F95">
        <v>70</v>
      </c>
      <c r="G95">
        <v>65</v>
      </c>
    </row>
    <row r="96" spans="1:7" x14ac:dyDescent="0.25">
      <c r="A96" t="s">
        <v>337</v>
      </c>
      <c r="B96" t="s">
        <v>336</v>
      </c>
      <c r="C96" t="s">
        <v>290</v>
      </c>
      <c r="D96" t="s">
        <v>132</v>
      </c>
      <c r="E96">
        <v>40</v>
      </c>
      <c r="F96">
        <v>80</v>
      </c>
      <c r="G96">
        <v>100</v>
      </c>
    </row>
    <row r="97" spans="1:7" x14ac:dyDescent="0.25">
      <c r="A97" t="s">
        <v>341</v>
      </c>
      <c r="B97" t="s">
        <v>340</v>
      </c>
      <c r="C97" t="s">
        <v>290</v>
      </c>
      <c r="D97" t="s">
        <v>154</v>
      </c>
      <c r="E97">
        <v>40</v>
      </c>
      <c r="F97">
        <v>80</v>
      </c>
      <c r="G97">
        <v>100</v>
      </c>
    </row>
    <row r="98" spans="1:7" x14ac:dyDescent="0.25">
      <c r="A98" t="s">
        <v>345</v>
      </c>
      <c r="B98" t="s">
        <v>344</v>
      </c>
      <c r="C98" t="s">
        <v>290</v>
      </c>
      <c r="D98" t="s">
        <v>132</v>
      </c>
      <c r="E98">
        <v>55</v>
      </c>
      <c r="F98">
        <v>95</v>
      </c>
      <c r="G98">
        <v>115</v>
      </c>
    </row>
    <row r="99" spans="1:7" x14ac:dyDescent="0.25">
      <c r="A99" t="s">
        <v>347</v>
      </c>
      <c r="B99" t="s">
        <v>346</v>
      </c>
      <c r="C99" t="s">
        <v>290</v>
      </c>
      <c r="D99" t="s">
        <v>154</v>
      </c>
      <c r="E99">
        <v>55</v>
      </c>
      <c r="F99">
        <v>95</v>
      </c>
      <c r="G99">
        <v>115</v>
      </c>
    </row>
    <row r="100" spans="1:7" x14ac:dyDescent="0.25">
      <c r="A100" t="s">
        <v>349</v>
      </c>
      <c r="B100" t="s">
        <v>348</v>
      </c>
      <c r="C100" t="s">
        <v>290</v>
      </c>
      <c r="D100" t="s">
        <v>132</v>
      </c>
      <c r="E100">
        <v>80</v>
      </c>
      <c r="F100">
        <v>120</v>
      </c>
      <c r="G100">
        <v>130</v>
      </c>
    </row>
    <row r="101" spans="1:7" x14ac:dyDescent="0.25">
      <c r="A101" t="s">
        <v>351</v>
      </c>
      <c r="B101" t="s">
        <v>350</v>
      </c>
      <c r="C101" t="s">
        <v>290</v>
      </c>
      <c r="D101" t="s">
        <v>154</v>
      </c>
      <c r="E101">
        <v>80</v>
      </c>
      <c r="F101">
        <v>120</v>
      </c>
      <c r="G101">
        <v>130</v>
      </c>
    </row>
    <row r="102" spans="1:7" x14ac:dyDescent="0.25">
      <c r="A102" t="s">
        <v>353</v>
      </c>
      <c r="B102" t="s">
        <v>352</v>
      </c>
      <c r="C102" t="s">
        <v>57</v>
      </c>
      <c r="E102">
        <v>50</v>
      </c>
      <c r="F102">
        <v>85</v>
      </c>
      <c r="G102">
        <v>55</v>
      </c>
    </row>
    <row r="103" spans="1:7" x14ac:dyDescent="0.25">
      <c r="A103" t="s">
        <v>356</v>
      </c>
      <c r="B103" t="s">
        <v>355</v>
      </c>
      <c r="C103" t="s">
        <v>162</v>
      </c>
      <c r="E103">
        <v>50</v>
      </c>
      <c r="F103">
        <v>85</v>
      </c>
      <c r="G103">
        <v>55</v>
      </c>
    </row>
    <row r="104" spans="1:7" x14ac:dyDescent="0.25">
      <c r="A104" t="s">
        <v>360</v>
      </c>
      <c r="B104" t="s">
        <v>359</v>
      </c>
      <c r="C104" t="s">
        <v>57</v>
      </c>
      <c r="E104">
        <v>65</v>
      </c>
      <c r="F104">
        <v>100</v>
      </c>
      <c r="G104">
        <v>70</v>
      </c>
    </row>
    <row r="105" spans="1:7" x14ac:dyDescent="0.25">
      <c r="A105" t="s">
        <v>362</v>
      </c>
      <c r="B105" t="s">
        <v>361</v>
      </c>
      <c r="C105" t="s">
        <v>162</v>
      </c>
      <c r="D105" t="s">
        <v>157</v>
      </c>
      <c r="E105">
        <v>65</v>
      </c>
      <c r="F105">
        <v>100</v>
      </c>
      <c r="G105">
        <v>70</v>
      </c>
    </row>
    <row r="106" spans="1:7" x14ac:dyDescent="0.25">
      <c r="A106" t="s">
        <v>364</v>
      </c>
      <c r="B106" t="s">
        <v>363</v>
      </c>
      <c r="C106" t="s">
        <v>76</v>
      </c>
      <c r="D106" t="s">
        <v>162</v>
      </c>
      <c r="E106">
        <v>90</v>
      </c>
      <c r="F106">
        <v>65</v>
      </c>
      <c r="G106">
        <v>65</v>
      </c>
    </row>
    <row r="107" spans="1:7" x14ac:dyDescent="0.25">
      <c r="A107" t="s">
        <v>369</v>
      </c>
      <c r="B107" t="s">
        <v>368</v>
      </c>
      <c r="C107" t="s">
        <v>162</v>
      </c>
      <c r="E107">
        <v>90</v>
      </c>
      <c r="F107">
        <v>65</v>
      </c>
      <c r="G107">
        <v>65</v>
      </c>
    </row>
    <row r="108" spans="1:7" x14ac:dyDescent="0.25">
      <c r="A108" t="s">
        <v>371</v>
      </c>
      <c r="B108" t="s">
        <v>370</v>
      </c>
      <c r="C108" t="s">
        <v>76</v>
      </c>
      <c r="D108" t="s">
        <v>162</v>
      </c>
      <c r="E108">
        <v>95</v>
      </c>
      <c r="F108">
        <v>75</v>
      </c>
      <c r="G108">
        <v>110</v>
      </c>
    </row>
    <row r="109" spans="1:7" x14ac:dyDescent="0.25">
      <c r="A109" t="s">
        <v>373</v>
      </c>
      <c r="B109" t="s">
        <v>372</v>
      </c>
      <c r="C109" t="s">
        <v>41</v>
      </c>
      <c r="D109" t="s">
        <v>162</v>
      </c>
      <c r="E109">
        <v>95</v>
      </c>
      <c r="F109">
        <v>100</v>
      </c>
      <c r="G109">
        <v>95</v>
      </c>
    </row>
    <row r="110" spans="1:7" x14ac:dyDescent="0.25">
      <c r="A110" t="s">
        <v>376</v>
      </c>
      <c r="B110" t="s">
        <v>375</v>
      </c>
      <c r="C110" t="s">
        <v>76</v>
      </c>
      <c r="D110" t="s">
        <v>162</v>
      </c>
      <c r="E110">
        <v>95</v>
      </c>
      <c r="F110">
        <v>75</v>
      </c>
      <c r="G110">
        <v>180</v>
      </c>
    </row>
    <row r="111" spans="1:7" x14ac:dyDescent="0.25">
      <c r="A111" t="s">
        <v>379</v>
      </c>
      <c r="B111" t="s">
        <v>378</v>
      </c>
      <c r="C111" t="s">
        <v>154</v>
      </c>
      <c r="D111" t="s">
        <v>171</v>
      </c>
      <c r="E111">
        <v>25</v>
      </c>
      <c r="F111">
        <v>35</v>
      </c>
      <c r="G111">
        <v>70</v>
      </c>
    </row>
    <row r="112" spans="1:7" x14ac:dyDescent="0.25">
      <c r="A112" t="s">
        <v>382</v>
      </c>
      <c r="B112" t="s">
        <v>381</v>
      </c>
      <c r="C112" t="s">
        <v>154</v>
      </c>
      <c r="D112" t="s">
        <v>171</v>
      </c>
      <c r="E112">
        <v>50</v>
      </c>
      <c r="F112">
        <v>60</v>
      </c>
      <c r="G112">
        <v>95</v>
      </c>
    </row>
    <row r="113" spans="1:7" x14ac:dyDescent="0.25">
      <c r="A113" t="s">
        <v>384</v>
      </c>
      <c r="B113" t="s">
        <v>383</v>
      </c>
      <c r="C113" t="s">
        <v>116</v>
      </c>
      <c r="D113" t="s">
        <v>66</v>
      </c>
      <c r="E113">
        <v>52</v>
      </c>
      <c r="F113">
        <v>90</v>
      </c>
      <c r="G113">
        <v>55</v>
      </c>
    </row>
    <row r="114" spans="1:7" x14ac:dyDescent="0.25">
      <c r="A114" t="s">
        <v>386</v>
      </c>
      <c r="B114" t="s">
        <v>385</v>
      </c>
      <c r="C114" t="s">
        <v>279</v>
      </c>
      <c r="E114">
        <v>52</v>
      </c>
      <c r="F114">
        <v>95</v>
      </c>
      <c r="G114">
        <v>55</v>
      </c>
    </row>
    <row r="115" spans="1:7" x14ac:dyDescent="0.25">
      <c r="A115" t="s">
        <v>389</v>
      </c>
      <c r="B115" t="s">
        <v>388</v>
      </c>
      <c r="C115" t="s">
        <v>116</v>
      </c>
      <c r="D115" t="s">
        <v>66</v>
      </c>
      <c r="E115">
        <v>35</v>
      </c>
      <c r="F115">
        <v>85</v>
      </c>
      <c r="G115">
        <v>45</v>
      </c>
    </row>
    <row r="116" spans="1:7" x14ac:dyDescent="0.25">
      <c r="A116" t="s">
        <v>392</v>
      </c>
      <c r="B116" t="s">
        <v>391</v>
      </c>
      <c r="C116" t="s">
        <v>116</v>
      </c>
      <c r="D116" t="s">
        <v>66</v>
      </c>
      <c r="E116">
        <v>60</v>
      </c>
      <c r="F116">
        <v>110</v>
      </c>
      <c r="G116">
        <v>70</v>
      </c>
    </row>
    <row r="117" spans="1:7" x14ac:dyDescent="0.25">
      <c r="A117" t="s">
        <v>394</v>
      </c>
      <c r="B117" t="s">
        <v>393</v>
      </c>
      <c r="C117" t="s">
        <v>76</v>
      </c>
      <c r="E117">
        <v>65</v>
      </c>
      <c r="F117">
        <v>45</v>
      </c>
      <c r="G117">
        <v>55</v>
      </c>
    </row>
    <row r="118" spans="1:7" x14ac:dyDescent="0.25">
      <c r="A118" t="s">
        <v>398</v>
      </c>
      <c r="B118" t="s">
        <v>397</v>
      </c>
      <c r="C118" t="s">
        <v>76</v>
      </c>
      <c r="D118" t="s">
        <v>170</v>
      </c>
      <c r="E118">
        <v>90</v>
      </c>
      <c r="F118">
        <v>70</v>
      </c>
      <c r="G118">
        <v>80</v>
      </c>
    </row>
    <row r="119" spans="1:7" x14ac:dyDescent="0.25">
      <c r="A119" t="s">
        <v>400</v>
      </c>
      <c r="B119" t="s">
        <v>399</v>
      </c>
      <c r="C119" t="s">
        <v>41</v>
      </c>
      <c r="E119">
        <v>80</v>
      </c>
      <c r="F119">
        <v>80</v>
      </c>
      <c r="G119">
        <v>50</v>
      </c>
    </row>
    <row r="120" spans="1:7" x14ac:dyDescent="0.25">
      <c r="A120" t="s">
        <v>405</v>
      </c>
      <c r="B120" t="s">
        <v>404</v>
      </c>
      <c r="C120" t="s">
        <v>41</v>
      </c>
      <c r="D120" t="s">
        <v>135</v>
      </c>
      <c r="E120">
        <v>80</v>
      </c>
      <c r="F120">
        <v>80</v>
      </c>
      <c r="G120">
        <v>50</v>
      </c>
    </row>
    <row r="121" spans="1:7" x14ac:dyDescent="0.25">
      <c r="A121" t="s">
        <v>408</v>
      </c>
      <c r="B121" t="s">
        <v>407</v>
      </c>
      <c r="C121" t="s">
        <v>41</v>
      </c>
      <c r="E121">
        <v>105</v>
      </c>
      <c r="F121">
        <v>105</v>
      </c>
      <c r="G121">
        <v>75</v>
      </c>
    </row>
    <row r="122" spans="1:7" x14ac:dyDescent="0.25">
      <c r="A122" t="s">
        <v>410</v>
      </c>
      <c r="B122" t="s">
        <v>409</v>
      </c>
      <c r="C122" t="s">
        <v>41</v>
      </c>
      <c r="D122" t="s">
        <v>135</v>
      </c>
      <c r="E122">
        <v>105</v>
      </c>
      <c r="F122">
        <v>105</v>
      </c>
      <c r="G122">
        <v>75</v>
      </c>
    </row>
    <row r="123" spans="1:7" x14ac:dyDescent="0.25">
      <c r="A123" t="s">
        <v>412</v>
      </c>
      <c r="B123" t="s">
        <v>411</v>
      </c>
      <c r="C123" t="s">
        <v>76</v>
      </c>
      <c r="E123">
        <v>30</v>
      </c>
      <c r="F123">
        <v>65</v>
      </c>
      <c r="G123">
        <v>100</v>
      </c>
    </row>
    <row r="124" spans="1:7" x14ac:dyDescent="0.25">
      <c r="A124" t="s">
        <v>416</v>
      </c>
      <c r="B124" t="s">
        <v>415</v>
      </c>
      <c r="C124" t="s">
        <v>76</v>
      </c>
      <c r="D124" t="s">
        <v>170</v>
      </c>
      <c r="E124">
        <v>50</v>
      </c>
      <c r="F124">
        <v>95</v>
      </c>
      <c r="G124">
        <v>180</v>
      </c>
    </row>
    <row r="125" spans="1:7" x14ac:dyDescent="0.25">
      <c r="A125" t="s">
        <v>418</v>
      </c>
      <c r="B125" t="s">
        <v>417</v>
      </c>
      <c r="C125" t="s">
        <v>419</v>
      </c>
      <c r="D125" t="s">
        <v>41</v>
      </c>
      <c r="E125">
        <v>30</v>
      </c>
      <c r="F125">
        <v>35</v>
      </c>
      <c r="G125">
        <v>30</v>
      </c>
    </row>
    <row r="126" spans="1:7" x14ac:dyDescent="0.25">
      <c r="A126" t="s">
        <v>422</v>
      </c>
      <c r="B126" t="s">
        <v>421</v>
      </c>
      <c r="C126" t="s">
        <v>419</v>
      </c>
      <c r="D126" t="s">
        <v>41</v>
      </c>
      <c r="E126">
        <v>45</v>
      </c>
      <c r="F126">
        <v>50</v>
      </c>
      <c r="G126">
        <v>45</v>
      </c>
    </row>
    <row r="127" spans="1:7" x14ac:dyDescent="0.25">
      <c r="A127" t="s">
        <v>424</v>
      </c>
      <c r="B127" t="s">
        <v>423</v>
      </c>
      <c r="C127" t="s">
        <v>419</v>
      </c>
      <c r="D127" t="s">
        <v>41</v>
      </c>
      <c r="E127">
        <v>60</v>
      </c>
      <c r="F127">
        <v>65</v>
      </c>
      <c r="G127">
        <v>60</v>
      </c>
    </row>
    <row r="128" spans="1:7" x14ac:dyDescent="0.25">
      <c r="A128" t="s">
        <v>427</v>
      </c>
      <c r="B128" t="s">
        <v>426</v>
      </c>
      <c r="C128" t="s">
        <v>419</v>
      </c>
      <c r="D128" t="s">
        <v>41</v>
      </c>
      <c r="E128">
        <v>60</v>
      </c>
      <c r="F128">
        <v>65</v>
      </c>
      <c r="G128">
        <v>80</v>
      </c>
    </row>
    <row r="129" spans="1:7" x14ac:dyDescent="0.25">
      <c r="A129" t="s">
        <v>430</v>
      </c>
      <c r="B129" t="s">
        <v>429</v>
      </c>
      <c r="C129" t="s">
        <v>290</v>
      </c>
      <c r="D129" t="s">
        <v>132</v>
      </c>
      <c r="E129">
        <v>35</v>
      </c>
      <c r="F129">
        <v>45</v>
      </c>
      <c r="G129">
        <v>160</v>
      </c>
    </row>
    <row r="130" spans="1:7" x14ac:dyDescent="0.25">
      <c r="A130" t="s">
        <v>433</v>
      </c>
      <c r="B130" t="s">
        <v>432</v>
      </c>
      <c r="C130" t="s">
        <v>162</v>
      </c>
      <c r="E130">
        <v>60</v>
      </c>
      <c r="F130">
        <v>48</v>
      </c>
      <c r="G130">
        <v>45</v>
      </c>
    </row>
    <row r="131" spans="1:7" x14ac:dyDescent="0.25">
      <c r="A131" t="s">
        <v>437</v>
      </c>
      <c r="B131" t="s">
        <v>436</v>
      </c>
      <c r="C131" t="s">
        <v>162</v>
      </c>
      <c r="E131">
        <v>85</v>
      </c>
      <c r="F131">
        <v>73</v>
      </c>
      <c r="G131">
        <v>70</v>
      </c>
    </row>
    <row r="132" spans="1:7" x14ac:dyDescent="0.25">
      <c r="A132" t="s">
        <v>439</v>
      </c>
      <c r="B132" t="s">
        <v>438</v>
      </c>
      <c r="C132" t="s">
        <v>76</v>
      </c>
      <c r="E132">
        <v>30</v>
      </c>
      <c r="F132">
        <v>105</v>
      </c>
      <c r="G132">
        <v>90</v>
      </c>
    </row>
    <row r="133" spans="1:7" x14ac:dyDescent="0.25">
      <c r="A133" t="s">
        <v>442</v>
      </c>
      <c r="B133" t="s">
        <v>441</v>
      </c>
      <c r="C133" t="s">
        <v>76</v>
      </c>
      <c r="E133">
        <v>55</v>
      </c>
      <c r="F133">
        <v>130</v>
      </c>
      <c r="G133">
        <v>115</v>
      </c>
    </row>
    <row r="134" spans="1:7" x14ac:dyDescent="0.25">
      <c r="A134" t="s">
        <v>444</v>
      </c>
      <c r="B134" t="s">
        <v>443</v>
      </c>
      <c r="C134" t="s">
        <v>154</v>
      </c>
      <c r="E134">
        <v>40</v>
      </c>
      <c r="F134">
        <v>30</v>
      </c>
      <c r="G134">
        <v>50</v>
      </c>
    </row>
    <row r="135" spans="1:7" x14ac:dyDescent="0.25">
      <c r="A135" t="s">
        <v>448</v>
      </c>
      <c r="B135" t="s">
        <v>447</v>
      </c>
      <c r="C135" t="s">
        <v>154</v>
      </c>
      <c r="D135" t="s">
        <v>40</v>
      </c>
      <c r="E135">
        <v>40</v>
      </c>
      <c r="F135">
        <v>30</v>
      </c>
      <c r="G135">
        <v>50</v>
      </c>
    </row>
    <row r="136" spans="1:7" x14ac:dyDescent="0.25">
      <c r="A136" t="s">
        <v>450</v>
      </c>
      <c r="B136" t="s">
        <v>449</v>
      </c>
      <c r="C136" t="s">
        <v>154</v>
      </c>
      <c r="E136">
        <v>60</v>
      </c>
      <c r="F136">
        <v>50</v>
      </c>
      <c r="G136">
        <v>70</v>
      </c>
    </row>
    <row r="137" spans="1:7" x14ac:dyDescent="0.25">
      <c r="A137" t="s">
        <v>452</v>
      </c>
      <c r="B137" t="s">
        <v>451</v>
      </c>
      <c r="C137" t="s">
        <v>154</v>
      </c>
      <c r="D137" t="s">
        <v>40</v>
      </c>
      <c r="E137">
        <v>60</v>
      </c>
      <c r="F137">
        <v>50</v>
      </c>
      <c r="G137">
        <v>70</v>
      </c>
    </row>
    <row r="138" spans="1:7" x14ac:dyDescent="0.25">
      <c r="A138" t="s">
        <v>454</v>
      </c>
      <c r="B138" t="s">
        <v>453</v>
      </c>
      <c r="C138" t="s">
        <v>40</v>
      </c>
      <c r="D138" t="s">
        <v>162</v>
      </c>
      <c r="E138">
        <v>60</v>
      </c>
      <c r="F138">
        <v>40</v>
      </c>
      <c r="G138">
        <v>80</v>
      </c>
    </row>
    <row r="139" spans="1:7" x14ac:dyDescent="0.25">
      <c r="A139" t="s">
        <v>457</v>
      </c>
      <c r="B139" t="s">
        <v>456</v>
      </c>
      <c r="C139" t="s">
        <v>40</v>
      </c>
      <c r="D139" t="s">
        <v>162</v>
      </c>
      <c r="E139">
        <v>95</v>
      </c>
      <c r="F139">
        <v>95</v>
      </c>
      <c r="G139">
        <v>85</v>
      </c>
    </row>
    <row r="140" spans="1:7" x14ac:dyDescent="0.25">
      <c r="A140" t="s">
        <v>459</v>
      </c>
      <c r="B140" t="s">
        <v>458</v>
      </c>
      <c r="C140" t="s">
        <v>40</v>
      </c>
      <c r="D140" t="s">
        <v>61</v>
      </c>
      <c r="E140">
        <v>95</v>
      </c>
      <c r="F140">
        <v>105</v>
      </c>
      <c r="G140">
        <v>85</v>
      </c>
    </row>
    <row r="141" spans="1:7" x14ac:dyDescent="0.25">
      <c r="A141" t="s">
        <v>461</v>
      </c>
      <c r="B141" t="s">
        <v>460</v>
      </c>
      <c r="C141" t="s">
        <v>132</v>
      </c>
      <c r="E141">
        <v>50</v>
      </c>
      <c r="F141">
        <v>50</v>
      </c>
      <c r="G141">
        <v>95</v>
      </c>
    </row>
    <row r="142" spans="1:7" x14ac:dyDescent="0.25">
      <c r="A142" t="s">
        <v>464</v>
      </c>
      <c r="B142" t="s">
        <v>463</v>
      </c>
      <c r="C142" t="s">
        <v>132</v>
      </c>
      <c r="E142">
        <v>60</v>
      </c>
      <c r="F142">
        <v>80</v>
      </c>
      <c r="G142">
        <v>110</v>
      </c>
    </row>
    <row r="143" spans="1:7" x14ac:dyDescent="0.25">
      <c r="A143" t="s">
        <v>466</v>
      </c>
      <c r="B143" t="s">
        <v>465</v>
      </c>
      <c r="C143" t="s">
        <v>57</v>
      </c>
      <c r="D143" t="s">
        <v>419</v>
      </c>
      <c r="E143">
        <v>60</v>
      </c>
      <c r="F143">
        <v>80</v>
      </c>
      <c r="G143">
        <v>110</v>
      </c>
    </row>
    <row r="144" spans="1:7" x14ac:dyDescent="0.25">
      <c r="A144" t="s">
        <v>468</v>
      </c>
      <c r="B144" t="s">
        <v>467</v>
      </c>
      <c r="C144" t="s">
        <v>279</v>
      </c>
      <c r="E144">
        <v>50</v>
      </c>
      <c r="F144">
        <v>120</v>
      </c>
      <c r="G144">
        <v>53</v>
      </c>
    </row>
    <row r="145" spans="1:7" x14ac:dyDescent="0.25">
      <c r="A145" t="s">
        <v>472</v>
      </c>
      <c r="B145" t="s">
        <v>471</v>
      </c>
      <c r="C145" t="s">
        <v>279</v>
      </c>
      <c r="E145">
        <v>50</v>
      </c>
      <c r="F145">
        <v>105</v>
      </c>
      <c r="G145">
        <v>79</v>
      </c>
    </row>
    <row r="146" spans="1:7" x14ac:dyDescent="0.25">
      <c r="A146" t="s">
        <v>475</v>
      </c>
      <c r="B146" t="s">
        <v>474</v>
      </c>
      <c r="C146" t="s">
        <v>116</v>
      </c>
      <c r="E146">
        <v>90</v>
      </c>
      <c r="F146">
        <v>55</v>
      </c>
      <c r="G146">
        <v>75</v>
      </c>
    </row>
    <row r="147" spans="1:7" x14ac:dyDescent="0.25">
      <c r="A147" t="s">
        <v>477</v>
      </c>
      <c r="B147" t="s">
        <v>476</v>
      </c>
      <c r="C147" t="s">
        <v>41</v>
      </c>
      <c r="E147">
        <v>40</v>
      </c>
      <c r="F147">
        <v>65</v>
      </c>
      <c r="G147">
        <v>95</v>
      </c>
    </row>
    <row r="148" spans="1:7" x14ac:dyDescent="0.25">
      <c r="A148" t="s">
        <v>480</v>
      </c>
      <c r="B148" t="s">
        <v>479</v>
      </c>
      <c r="C148" t="s">
        <v>41</v>
      </c>
      <c r="E148">
        <v>65</v>
      </c>
      <c r="F148">
        <v>90</v>
      </c>
      <c r="G148">
        <v>120</v>
      </c>
    </row>
    <row r="149" spans="1:7" x14ac:dyDescent="0.25">
      <c r="A149" t="s">
        <v>482</v>
      </c>
      <c r="B149" t="s">
        <v>481</v>
      </c>
      <c r="C149" t="s">
        <v>41</v>
      </c>
      <c r="D149" t="s">
        <v>157</v>
      </c>
      <c r="E149">
        <v>65</v>
      </c>
      <c r="F149">
        <v>90</v>
      </c>
      <c r="G149">
        <v>120</v>
      </c>
    </row>
    <row r="150" spans="1:7" x14ac:dyDescent="0.25">
      <c r="A150" t="s">
        <v>485</v>
      </c>
      <c r="B150" t="s">
        <v>484</v>
      </c>
      <c r="C150" t="s">
        <v>132</v>
      </c>
      <c r="D150" t="s">
        <v>290</v>
      </c>
      <c r="E150">
        <v>80</v>
      </c>
      <c r="F150">
        <v>85</v>
      </c>
      <c r="G150">
        <v>95</v>
      </c>
    </row>
    <row r="151" spans="1:7" x14ac:dyDescent="0.25">
      <c r="A151" t="s">
        <v>487</v>
      </c>
      <c r="B151" t="s">
        <v>486</v>
      </c>
      <c r="C151" t="s">
        <v>132</v>
      </c>
      <c r="D151" t="s">
        <v>290</v>
      </c>
      <c r="E151">
        <v>105</v>
      </c>
      <c r="F151">
        <v>130</v>
      </c>
      <c r="G151">
        <v>120</v>
      </c>
    </row>
    <row r="152" spans="1:7" x14ac:dyDescent="0.25">
      <c r="A152" t="s">
        <v>489</v>
      </c>
      <c r="B152" t="s">
        <v>488</v>
      </c>
      <c r="C152" t="s">
        <v>116</v>
      </c>
      <c r="E152">
        <v>250</v>
      </c>
      <c r="F152">
        <v>5</v>
      </c>
      <c r="G152">
        <v>5</v>
      </c>
    </row>
    <row r="153" spans="1:7" x14ac:dyDescent="0.25">
      <c r="A153" t="s">
        <v>494</v>
      </c>
      <c r="B153" t="s">
        <v>493</v>
      </c>
      <c r="C153" t="s">
        <v>40</v>
      </c>
      <c r="E153">
        <v>65</v>
      </c>
      <c r="F153">
        <v>55</v>
      </c>
      <c r="G153">
        <v>115</v>
      </c>
    </row>
    <row r="154" spans="1:7" x14ac:dyDescent="0.25">
      <c r="A154" t="s">
        <v>497</v>
      </c>
      <c r="B154" t="s">
        <v>496</v>
      </c>
      <c r="C154" t="s">
        <v>116</v>
      </c>
      <c r="E154">
        <v>105</v>
      </c>
      <c r="F154">
        <v>95</v>
      </c>
      <c r="G154">
        <v>80</v>
      </c>
    </row>
    <row r="155" spans="1:7" x14ac:dyDescent="0.25">
      <c r="A155" t="s">
        <v>499</v>
      </c>
      <c r="B155" t="s">
        <v>498</v>
      </c>
      <c r="C155" t="s">
        <v>116</v>
      </c>
      <c r="E155">
        <v>105</v>
      </c>
      <c r="F155">
        <v>125</v>
      </c>
      <c r="G155">
        <v>100</v>
      </c>
    </row>
    <row r="156" spans="1:7" x14ac:dyDescent="0.25">
      <c r="A156" t="s">
        <v>502</v>
      </c>
      <c r="B156" t="s">
        <v>501</v>
      </c>
      <c r="C156" t="s">
        <v>76</v>
      </c>
      <c r="E156">
        <v>30</v>
      </c>
      <c r="F156">
        <v>40</v>
      </c>
      <c r="G156">
        <v>70</v>
      </c>
    </row>
    <row r="157" spans="1:7" x14ac:dyDescent="0.25">
      <c r="A157" t="s">
        <v>504</v>
      </c>
      <c r="B157" t="s">
        <v>503</v>
      </c>
      <c r="C157" t="s">
        <v>76</v>
      </c>
      <c r="E157">
        <v>55</v>
      </c>
      <c r="F157">
        <v>65</v>
      </c>
      <c r="G157">
        <v>95</v>
      </c>
    </row>
    <row r="158" spans="1:7" x14ac:dyDescent="0.25">
      <c r="A158" t="s">
        <v>506</v>
      </c>
      <c r="B158" t="s">
        <v>505</v>
      </c>
      <c r="C158" t="s">
        <v>76</v>
      </c>
      <c r="E158">
        <v>45</v>
      </c>
      <c r="F158">
        <v>67</v>
      </c>
      <c r="G158">
        <v>60</v>
      </c>
    </row>
    <row r="159" spans="1:7" x14ac:dyDescent="0.25">
      <c r="A159" t="s">
        <v>510</v>
      </c>
      <c r="B159" t="s">
        <v>509</v>
      </c>
      <c r="C159" t="s">
        <v>76</v>
      </c>
      <c r="E159">
        <v>80</v>
      </c>
      <c r="F159">
        <v>92</v>
      </c>
      <c r="G159">
        <v>65</v>
      </c>
    </row>
    <row r="160" spans="1:7" x14ac:dyDescent="0.25">
      <c r="A160" t="s">
        <v>512</v>
      </c>
      <c r="B160" t="s">
        <v>511</v>
      </c>
      <c r="C160" t="s">
        <v>76</v>
      </c>
      <c r="E160">
        <v>30</v>
      </c>
      <c r="F160">
        <v>45</v>
      </c>
      <c r="G160">
        <v>55</v>
      </c>
    </row>
    <row r="161" spans="1:7" x14ac:dyDescent="0.25">
      <c r="A161" t="s">
        <v>515</v>
      </c>
      <c r="B161" t="s">
        <v>514</v>
      </c>
      <c r="C161" t="s">
        <v>76</v>
      </c>
      <c r="D161" t="s">
        <v>162</v>
      </c>
      <c r="E161">
        <v>60</v>
      </c>
      <c r="F161">
        <v>75</v>
      </c>
      <c r="G161">
        <v>85</v>
      </c>
    </row>
    <row r="162" spans="1:7" x14ac:dyDescent="0.25">
      <c r="A162" t="s">
        <v>517</v>
      </c>
      <c r="B162" t="s">
        <v>516</v>
      </c>
      <c r="C162" t="s">
        <v>162</v>
      </c>
      <c r="D162" t="s">
        <v>157</v>
      </c>
      <c r="E162">
        <v>40</v>
      </c>
      <c r="F162">
        <v>45</v>
      </c>
      <c r="G162">
        <v>65</v>
      </c>
    </row>
    <row r="163" spans="1:7" x14ac:dyDescent="0.25">
      <c r="A163" t="s">
        <v>520</v>
      </c>
      <c r="B163" t="s">
        <v>519</v>
      </c>
      <c r="C163" t="s">
        <v>170</v>
      </c>
      <c r="D163" t="s">
        <v>162</v>
      </c>
      <c r="E163">
        <v>50</v>
      </c>
      <c r="F163">
        <v>65</v>
      </c>
      <c r="G163">
        <v>65</v>
      </c>
    </row>
    <row r="164" spans="1:7" x14ac:dyDescent="0.25">
      <c r="A164" t="s">
        <v>523</v>
      </c>
      <c r="B164" t="s">
        <v>522</v>
      </c>
      <c r="C164" t="s">
        <v>90</v>
      </c>
      <c r="D164" t="s">
        <v>66</v>
      </c>
      <c r="E164">
        <v>70</v>
      </c>
      <c r="F164">
        <v>110</v>
      </c>
      <c r="G164">
        <v>80</v>
      </c>
    </row>
    <row r="165" spans="1:7" x14ac:dyDescent="0.25">
      <c r="A165" t="s">
        <v>525</v>
      </c>
      <c r="B165" t="s">
        <v>524</v>
      </c>
      <c r="C165" t="s">
        <v>170</v>
      </c>
      <c r="D165" t="s">
        <v>162</v>
      </c>
      <c r="E165">
        <v>65</v>
      </c>
      <c r="F165">
        <v>50</v>
      </c>
      <c r="G165">
        <v>35</v>
      </c>
    </row>
    <row r="166" spans="1:7" x14ac:dyDescent="0.25">
      <c r="A166" t="s">
        <v>527</v>
      </c>
      <c r="B166" t="s">
        <v>526</v>
      </c>
      <c r="C166" t="s">
        <v>154</v>
      </c>
      <c r="E166">
        <v>65</v>
      </c>
      <c r="F166">
        <v>83</v>
      </c>
      <c r="G166">
        <v>57</v>
      </c>
    </row>
    <row r="167" spans="1:7" x14ac:dyDescent="0.25">
      <c r="A167" t="s">
        <v>529</v>
      </c>
      <c r="B167" t="s">
        <v>528</v>
      </c>
      <c r="C167" t="s">
        <v>57</v>
      </c>
      <c r="E167">
        <v>65</v>
      </c>
      <c r="F167">
        <v>95</v>
      </c>
      <c r="G167">
        <v>57</v>
      </c>
    </row>
    <row r="168" spans="1:7" x14ac:dyDescent="0.25">
      <c r="A168" t="s">
        <v>531</v>
      </c>
      <c r="B168" t="s">
        <v>530</v>
      </c>
      <c r="C168" t="s">
        <v>90</v>
      </c>
      <c r="E168">
        <v>65</v>
      </c>
      <c r="F168">
        <v>125</v>
      </c>
      <c r="G168">
        <v>100</v>
      </c>
    </row>
    <row r="169" spans="1:7" x14ac:dyDescent="0.25">
      <c r="A169" t="s">
        <v>535</v>
      </c>
      <c r="B169" t="s">
        <v>534</v>
      </c>
      <c r="C169" t="s">
        <v>90</v>
      </c>
      <c r="D169" t="s">
        <v>66</v>
      </c>
      <c r="E169">
        <v>65</v>
      </c>
      <c r="F169">
        <v>155</v>
      </c>
      <c r="G169">
        <v>120</v>
      </c>
    </row>
    <row r="170" spans="1:7" x14ac:dyDescent="0.25">
      <c r="A170" t="s">
        <v>538</v>
      </c>
      <c r="B170" t="s">
        <v>537</v>
      </c>
      <c r="C170" t="s">
        <v>116</v>
      </c>
      <c r="E170">
        <v>75</v>
      </c>
      <c r="F170">
        <v>100</v>
      </c>
      <c r="G170">
        <v>95</v>
      </c>
    </row>
    <row r="171" spans="1:7" x14ac:dyDescent="0.25">
      <c r="A171" t="s">
        <v>540</v>
      </c>
      <c r="B171" t="s">
        <v>539</v>
      </c>
      <c r="C171" t="s">
        <v>279</v>
      </c>
      <c r="E171">
        <v>75</v>
      </c>
      <c r="F171">
        <v>110</v>
      </c>
      <c r="G171">
        <v>105</v>
      </c>
    </row>
    <row r="172" spans="1:7" x14ac:dyDescent="0.25">
      <c r="A172" t="s">
        <v>543</v>
      </c>
      <c r="B172" t="s">
        <v>542</v>
      </c>
      <c r="C172" t="s">
        <v>279</v>
      </c>
      <c r="D172" t="s">
        <v>57</v>
      </c>
      <c r="E172">
        <v>75</v>
      </c>
      <c r="F172">
        <v>110</v>
      </c>
      <c r="G172">
        <v>105</v>
      </c>
    </row>
    <row r="173" spans="1:7" x14ac:dyDescent="0.25">
      <c r="A173" t="s">
        <v>546</v>
      </c>
      <c r="B173" t="s">
        <v>545</v>
      </c>
      <c r="C173" t="s">
        <v>279</v>
      </c>
      <c r="D173" t="s">
        <v>76</v>
      </c>
      <c r="E173">
        <v>75</v>
      </c>
      <c r="F173">
        <v>110</v>
      </c>
      <c r="G173">
        <v>105</v>
      </c>
    </row>
    <row r="174" spans="1:7" x14ac:dyDescent="0.25">
      <c r="A174" t="s">
        <v>548</v>
      </c>
      <c r="B174" t="s">
        <v>547</v>
      </c>
      <c r="C174" t="s">
        <v>76</v>
      </c>
      <c r="E174">
        <v>20</v>
      </c>
      <c r="F174">
        <v>10</v>
      </c>
      <c r="G174">
        <v>55</v>
      </c>
    </row>
    <row r="175" spans="1:7" x14ac:dyDescent="0.25">
      <c r="A175" t="s">
        <v>550</v>
      </c>
      <c r="B175" t="s">
        <v>549</v>
      </c>
      <c r="C175" t="s">
        <v>76</v>
      </c>
      <c r="D175" t="s">
        <v>66</v>
      </c>
      <c r="E175">
        <v>95</v>
      </c>
      <c r="F175">
        <v>125</v>
      </c>
      <c r="G175">
        <v>79</v>
      </c>
    </row>
    <row r="176" spans="1:7" x14ac:dyDescent="0.25">
      <c r="A176" t="s">
        <v>552</v>
      </c>
      <c r="B176" t="s">
        <v>551</v>
      </c>
      <c r="C176" t="s">
        <v>76</v>
      </c>
      <c r="D176" t="s">
        <v>135</v>
      </c>
      <c r="E176">
        <v>95</v>
      </c>
      <c r="F176">
        <v>155</v>
      </c>
      <c r="G176">
        <v>109</v>
      </c>
    </row>
    <row r="177" spans="1:7" x14ac:dyDescent="0.25">
      <c r="A177" t="s">
        <v>554</v>
      </c>
      <c r="B177" t="s">
        <v>553</v>
      </c>
      <c r="C177" t="s">
        <v>76</v>
      </c>
      <c r="D177" t="s">
        <v>170</v>
      </c>
      <c r="E177">
        <v>130</v>
      </c>
      <c r="F177">
        <v>85</v>
      </c>
      <c r="G177">
        <v>80</v>
      </c>
    </row>
    <row r="178" spans="1:7" x14ac:dyDescent="0.25">
      <c r="A178" t="s">
        <v>556</v>
      </c>
      <c r="B178" t="s">
        <v>555</v>
      </c>
      <c r="C178" t="s">
        <v>116</v>
      </c>
      <c r="E178">
        <v>48</v>
      </c>
      <c r="F178">
        <v>48</v>
      </c>
      <c r="G178">
        <v>48</v>
      </c>
    </row>
    <row r="179" spans="1:7" x14ac:dyDescent="0.25">
      <c r="A179" t="s">
        <v>559</v>
      </c>
      <c r="B179" t="s">
        <v>558</v>
      </c>
      <c r="C179" t="s">
        <v>116</v>
      </c>
      <c r="E179">
        <v>55</v>
      </c>
      <c r="F179">
        <v>55</v>
      </c>
      <c r="G179">
        <v>50</v>
      </c>
    </row>
    <row r="180" spans="1:7" x14ac:dyDescent="0.25">
      <c r="A180" t="s">
        <v>561</v>
      </c>
      <c r="B180" t="s">
        <v>560</v>
      </c>
      <c r="C180" t="s">
        <v>76</v>
      </c>
      <c r="E180">
        <v>130</v>
      </c>
      <c r="F180">
        <v>65</v>
      </c>
      <c r="G180">
        <v>60</v>
      </c>
    </row>
    <row r="181" spans="1:7" x14ac:dyDescent="0.25">
      <c r="A181" t="s">
        <v>563</v>
      </c>
      <c r="B181" t="s">
        <v>562</v>
      </c>
      <c r="C181" t="s">
        <v>154</v>
      </c>
      <c r="E181">
        <v>65</v>
      </c>
      <c r="F181">
        <v>65</v>
      </c>
      <c r="G181">
        <v>60</v>
      </c>
    </row>
    <row r="182" spans="1:7" x14ac:dyDescent="0.25">
      <c r="A182" t="s">
        <v>567</v>
      </c>
      <c r="B182" t="s">
        <v>566</v>
      </c>
      <c r="C182" t="s">
        <v>57</v>
      </c>
      <c r="E182">
        <v>65</v>
      </c>
      <c r="F182">
        <v>130</v>
      </c>
      <c r="G182">
        <v>60</v>
      </c>
    </row>
    <row r="183" spans="1:7" x14ac:dyDescent="0.25">
      <c r="A183" t="s">
        <v>569</v>
      </c>
      <c r="B183" t="s">
        <v>568</v>
      </c>
      <c r="C183" t="s">
        <v>116</v>
      </c>
      <c r="E183">
        <v>65</v>
      </c>
      <c r="F183">
        <v>60</v>
      </c>
      <c r="G183">
        <v>70</v>
      </c>
    </row>
    <row r="184" spans="1:7" x14ac:dyDescent="0.25">
      <c r="A184" t="s">
        <v>572</v>
      </c>
      <c r="B184" t="s">
        <v>571</v>
      </c>
      <c r="C184" t="s">
        <v>290</v>
      </c>
      <c r="D184" t="s">
        <v>76</v>
      </c>
      <c r="E184">
        <v>35</v>
      </c>
      <c r="F184">
        <v>40</v>
      </c>
      <c r="G184">
        <v>100</v>
      </c>
    </row>
    <row r="185" spans="1:7" x14ac:dyDescent="0.25">
      <c r="A185" t="s">
        <v>574</v>
      </c>
      <c r="B185" t="s">
        <v>573</v>
      </c>
      <c r="C185" t="s">
        <v>290</v>
      </c>
      <c r="D185" t="s">
        <v>76</v>
      </c>
      <c r="E185">
        <v>70</v>
      </c>
      <c r="F185">
        <v>60</v>
      </c>
      <c r="G185">
        <v>125</v>
      </c>
    </row>
    <row r="186" spans="1:7" x14ac:dyDescent="0.25">
      <c r="A186" t="s">
        <v>576</v>
      </c>
      <c r="B186" t="s">
        <v>575</v>
      </c>
      <c r="C186" t="s">
        <v>290</v>
      </c>
      <c r="D186" t="s">
        <v>76</v>
      </c>
      <c r="E186">
        <v>30</v>
      </c>
      <c r="F186">
        <v>80</v>
      </c>
      <c r="G186">
        <v>90</v>
      </c>
    </row>
    <row r="187" spans="1:7" x14ac:dyDescent="0.25">
      <c r="A187" t="s">
        <v>578</v>
      </c>
      <c r="B187" t="s">
        <v>577</v>
      </c>
      <c r="C187" t="s">
        <v>290</v>
      </c>
      <c r="D187" t="s">
        <v>76</v>
      </c>
      <c r="E187">
        <v>60</v>
      </c>
      <c r="F187">
        <v>115</v>
      </c>
      <c r="G187">
        <v>105</v>
      </c>
    </row>
    <row r="188" spans="1:7" x14ac:dyDescent="0.25">
      <c r="A188" t="s">
        <v>580</v>
      </c>
      <c r="B188" t="s">
        <v>579</v>
      </c>
      <c r="C188" t="s">
        <v>290</v>
      </c>
      <c r="D188" t="s">
        <v>66</v>
      </c>
      <c r="E188">
        <v>80</v>
      </c>
      <c r="F188">
        <v>105</v>
      </c>
      <c r="G188">
        <v>65</v>
      </c>
    </row>
    <row r="189" spans="1:7" x14ac:dyDescent="0.25">
      <c r="A189" t="s">
        <v>583</v>
      </c>
      <c r="B189" t="s">
        <v>582</v>
      </c>
      <c r="C189" t="s">
        <v>290</v>
      </c>
      <c r="D189" t="s">
        <v>66</v>
      </c>
      <c r="E189">
        <v>80</v>
      </c>
      <c r="F189">
        <v>135</v>
      </c>
      <c r="G189">
        <v>85</v>
      </c>
    </row>
    <row r="190" spans="1:7" x14ac:dyDescent="0.25">
      <c r="A190" t="s">
        <v>585</v>
      </c>
      <c r="B190" t="s">
        <v>584</v>
      </c>
      <c r="C190" t="s">
        <v>116</v>
      </c>
      <c r="E190">
        <v>160</v>
      </c>
      <c r="F190">
        <v>110</v>
      </c>
      <c r="G190">
        <v>65</v>
      </c>
    </row>
    <row r="191" spans="1:7" x14ac:dyDescent="0.25">
      <c r="A191" t="s">
        <v>588</v>
      </c>
      <c r="B191" t="s">
        <v>587</v>
      </c>
      <c r="C191" t="s">
        <v>170</v>
      </c>
      <c r="D191" t="s">
        <v>66</v>
      </c>
      <c r="E191">
        <v>90</v>
      </c>
      <c r="F191">
        <v>85</v>
      </c>
      <c r="G191">
        <v>100</v>
      </c>
    </row>
    <row r="192" spans="1:7" x14ac:dyDescent="0.25">
      <c r="A192" t="s">
        <v>591</v>
      </c>
      <c r="B192" t="s">
        <v>590</v>
      </c>
      <c r="C192" t="s">
        <v>162</v>
      </c>
      <c r="D192" t="s">
        <v>66</v>
      </c>
      <c r="E192">
        <v>90</v>
      </c>
      <c r="F192">
        <v>85</v>
      </c>
      <c r="G192">
        <v>85</v>
      </c>
    </row>
    <row r="193" spans="1:7" x14ac:dyDescent="0.25">
      <c r="A193" t="s">
        <v>593</v>
      </c>
      <c r="B193" t="s">
        <v>592</v>
      </c>
      <c r="C193" t="s">
        <v>154</v>
      </c>
      <c r="D193" t="s">
        <v>66</v>
      </c>
      <c r="E193">
        <v>90</v>
      </c>
      <c r="F193">
        <v>90</v>
      </c>
      <c r="G193">
        <v>85</v>
      </c>
    </row>
    <row r="194" spans="1:7" x14ac:dyDescent="0.25">
      <c r="A194" t="s">
        <v>595</v>
      </c>
      <c r="B194" t="s">
        <v>594</v>
      </c>
      <c r="C194" t="s">
        <v>279</v>
      </c>
      <c r="D194" t="s">
        <v>66</v>
      </c>
      <c r="E194">
        <v>90</v>
      </c>
      <c r="F194">
        <v>125</v>
      </c>
      <c r="G194">
        <v>90</v>
      </c>
    </row>
    <row r="195" spans="1:7" x14ac:dyDescent="0.25">
      <c r="A195" t="s">
        <v>597</v>
      </c>
      <c r="B195" t="s">
        <v>596</v>
      </c>
      <c r="C195" t="s">
        <v>57</v>
      </c>
      <c r="D195" t="s">
        <v>66</v>
      </c>
      <c r="E195">
        <v>90</v>
      </c>
      <c r="F195">
        <v>100</v>
      </c>
      <c r="G195">
        <v>90</v>
      </c>
    </row>
    <row r="196" spans="1:7" x14ac:dyDescent="0.25">
      <c r="A196" t="s">
        <v>599</v>
      </c>
      <c r="B196" t="s">
        <v>598</v>
      </c>
      <c r="C196" t="s">
        <v>135</v>
      </c>
      <c r="D196" t="s">
        <v>66</v>
      </c>
      <c r="E196">
        <v>90</v>
      </c>
      <c r="F196">
        <v>85</v>
      </c>
      <c r="G196">
        <v>90</v>
      </c>
    </row>
    <row r="197" spans="1:7" x14ac:dyDescent="0.25">
      <c r="A197" t="s">
        <v>602</v>
      </c>
      <c r="B197" t="s">
        <v>601</v>
      </c>
      <c r="C197" t="s">
        <v>61</v>
      </c>
      <c r="E197">
        <v>41</v>
      </c>
      <c r="F197">
        <v>64</v>
      </c>
      <c r="G197">
        <v>45</v>
      </c>
    </row>
    <row r="198" spans="1:7" x14ac:dyDescent="0.25">
      <c r="A198" t="s">
        <v>605</v>
      </c>
      <c r="B198" t="s">
        <v>604</v>
      </c>
      <c r="C198" t="s">
        <v>61</v>
      </c>
      <c r="E198">
        <v>61</v>
      </c>
      <c r="F198">
        <v>84</v>
      </c>
      <c r="G198">
        <v>65</v>
      </c>
    </row>
    <row r="199" spans="1:7" x14ac:dyDescent="0.25">
      <c r="A199" t="s">
        <v>607</v>
      </c>
      <c r="B199" t="s">
        <v>606</v>
      </c>
      <c r="C199" t="s">
        <v>61</v>
      </c>
      <c r="D199" t="s">
        <v>66</v>
      </c>
      <c r="E199">
        <v>91</v>
      </c>
      <c r="F199">
        <v>134</v>
      </c>
      <c r="G199">
        <v>95</v>
      </c>
    </row>
    <row r="200" spans="1:7" x14ac:dyDescent="0.25">
      <c r="A200" t="s">
        <v>610</v>
      </c>
      <c r="B200" t="s">
        <v>609</v>
      </c>
      <c r="C200" t="s">
        <v>162</v>
      </c>
      <c r="E200">
        <v>106</v>
      </c>
      <c r="F200">
        <v>110</v>
      </c>
      <c r="G200">
        <v>90</v>
      </c>
    </row>
    <row r="201" spans="1:7" x14ac:dyDescent="0.25">
      <c r="A201" t="s">
        <v>613</v>
      </c>
      <c r="B201" t="s">
        <v>612</v>
      </c>
      <c r="C201" t="s">
        <v>162</v>
      </c>
      <c r="D201" t="s">
        <v>279</v>
      </c>
      <c r="E201">
        <v>106</v>
      </c>
      <c r="F201">
        <v>190</v>
      </c>
      <c r="G201">
        <v>100</v>
      </c>
    </row>
    <row r="202" spans="1:7" x14ac:dyDescent="0.25">
      <c r="A202" t="s">
        <v>615</v>
      </c>
      <c r="B202" t="s">
        <v>614</v>
      </c>
      <c r="C202" t="s">
        <v>162</v>
      </c>
      <c r="E202">
        <v>106</v>
      </c>
      <c r="F202">
        <v>150</v>
      </c>
      <c r="G202">
        <v>70</v>
      </c>
    </row>
    <row r="203" spans="1:7" x14ac:dyDescent="0.25">
      <c r="A203" t="s">
        <v>617</v>
      </c>
      <c r="B203" t="s">
        <v>616</v>
      </c>
      <c r="C203" t="s">
        <v>162</v>
      </c>
      <c r="E203">
        <v>100</v>
      </c>
      <c r="F203">
        <v>100</v>
      </c>
      <c r="G203">
        <v>100</v>
      </c>
    </row>
    <row r="204" spans="1:7" x14ac:dyDescent="0.25">
      <c r="A204" t="s">
        <v>620</v>
      </c>
      <c r="B204" t="s">
        <v>619</v>
      </c>
      <c r="C204" t="s">
        <v>40</v>
      </c>
      <c r="E204">
        <v>45</v>
      </c>
      <c r="F204">
        <v>49</v>
      </c>
      <c r="G204">
        <v>65</v>
      </c>
    </row>
    <row r="205" spans="1:7" x14ac:dyDescent="0.25">
      <c r="A205" t="s">
        <v>622</v>
      </c>
      <c r="B205" t="s">
        <v>621</v>
      </c>
      <c r="C205" t="s">
        <v>40</v>
      </c>
      <c r="E205">
        <v>60</v>
      </c>
      <c r="F205">
        <v>62</v>
      </c>
      <c r="G205">
        <v>80</v>
      </c>
    </row>
    <row r="206" spans="1:7" x14ac:dyDescent="0.25">
      <c r="A206" t="s">
        <v>624</v>
      </c>
      <c r="B206" t="s">
        <v>623</v>
      </c>
      <c r="C206" t="s">
        <v>40</v>
      </c>
      <c r="E206">
        <v>80</v>
      </c>
      <c r="F206">
        <v>82</v>
      </c>
      <c r="G206">
        <v>100</v>
      </c>
    </row>
    <row r="207" spans="1:7" x14ac:dyDescent="0.25">
      <c r="A207" t="s">
        <v>626</v>
      </c>
      <c r="B207" t="s">
        <v>625</v>
      </c>
      <c r="C207" t="s">
        <v>57</v>
      </c>
      <c r="E207">
        <v>39</v>
      </c>
      <c r="F207">
        <v>52</v>
      </c>
      <c r="G207">
        <v>43</v>
      </c>
    </row>
    <row r="208" spans="1:7" x14ac:dyDescent="0.25">
      <c r="A208" t="s">
        <v>628</v>
      </c>
      <c r="B208" t="s">
        <v>627</v>
      </c>
      <c r="C208" t="s">
        <v>57</v>
      </c>
      <c r="E208">
        <v>58</v>
      </c>
      <c r="F208">
        <v>64</v>
      </c>
      <c r="G208">
        <v>58</v>
      </c>
    </row>
    <row r="209" spans="1:7" x14ac:dyDescent="0.25">
      <c r="A209" t="s">
        <v>630</v>
      </c>
      <c r="B209" t="s">
        <v>629</v>
      </c>
      <c r="C209" t="s">
        <v>57</v>
      </c>
      <c r="E209">
        <v>78</v>
      </c>
      <c r="F209">
        <v>84</v>
      </c>
      <c r="G209">
        <v>78</v>
      </c>
    </row>
    <row r="210" spans="1:7" x14ac:dyDescent="0.25">
      <c r="A210" t="s">
        <v>632</v>
      </c>
      <c r="B210" t="s">
        <v>631</v>
      </c>
      <c r="C210" t="s">
        <v>57</v>
      </c>
      <c r="D210" t="s">
        <v>419</v>
      </c>
      <c r="E210">
        <v>73</v>
      </c>
      <c r="F210">
        <v>84</v>
      </c>
      <c r="G210">
        <v>78</v>
      </c>
    </row>
    <row r="211" spans="1:7" x14ac:dyDescent="0.25">
      <c r="A211" t="s">
        <v>634</v>
      </c>
      <c r="B211" t="s">
        <v>633</v>
      </c>
      <c r="C211" t="s">
        <v>76</v>
      </c>
      <c r="E211">
        <v>50</v>
      </c>
      <c r="F211">
        <v>65</v>
      </c>
      <c r="G211">
        <v>64</v>
      </c>
    </row>
    <row r="212" spans="1:7" x14ac:dyDescent="0.25">
      <c r="A212" t="s">
        <v>636</v>
      </c>
      <c r="B212" t="s">
        <v>635</v>
      </c>
      <c r="C212" t="s">
        <v>76</v>
      </c>
      <c r="E212">
        <v>65</v>
      </c>
      <c r="F212">
        <v>80</v>
      </c>
      <c r="G212">
        <v>80</v>
      </c>
    </row>
    <row r="213" spans="1:7" x14ac:dyDescent="0.25">
      <c r="A213" t="s">
        <v>638</v>
      </c>
      <c r="B213" t="s">
        <v>637</v>
      </c>
      <c r="C213" t="s">
        <v>76</v>
      </c>
      <c r="E213">
        <v>85</v>
      </c>
      <c r="F213">
        <v>105</v>
      </c>
      <c r="G213">
        <v>100</v>
      </c>
    </row>
    <row r="214" spans="1:7" x14ac:dyDescent="0.25">
      <c r="A214" t="s">
        <v>640</v>
      </c>
      <c r="B214" t="s">
        <v>639</v>
      </c>
      <c r="C214" t="s">
        <v>116</v>
      </c>
      <c r="E214">
        <v>35</v>
      </c>
      <c r="F214">
        <v>46</v>
      </c>
      <c r="G214">
        <v>34</v>
      </c>
    </row>
    <row r="215" spans="1:7" x14ac:dyDescent="0.25">
      <c r="A215" t="s">
        <v>642</v>
      </c>
      <c r="B215" t="s">
        <v>641</v>
      </c>
      <c r="C215" t="s">
        <v>116</v>
      </c>
      <c r="E215">
        <v>85</v>
      </c>
      <c r="F215">
        <v>76</v>
      </c>
      <c r="G215">
        <v>64</v>
      </c>
    </row>
    <row r="216" spans="1:7" x14ac:dyDescent="0.25">
      <c r="A216" t="s">
        <v>644</v>
      </c>
      <c r="B216" t="s">
        <v>643</v>
      </c>
      <c r="C216" t="s">
        <v>116</v>
      </c>
      <c r="D216" t="s">
        <v>66</v>
      </c>
      <c r="E216">
        <v>60</v>
      </c>
      <c r="F216">
        <v>30</v>
      </c>
      <c r="G216">
        <v>30</v>
      </c>
    </row>
    <row r="217" spans="1:7" x14ac:dyDescent="0.25">
      <c r="A217" t="s">
        <v>646</v>
      </c>
      <c r="B217" t="s">
        <v>645</v>
      </c>
      <c r="C217" t="s">
        <v>116</v>
      </c>
      <c r="D217" t="s">
        <v>66</v>
      </c>
      <c r="E217">
        <v>100</v>
      </c>
      <c r="F217">
        <v>50</v>
      </c>
      <c r="G217">
        <v>50</v>
      </c>
    </row>
    <row r="218" spans="1:7" x14ac:dyDescent="0.25">
      <c r="A218" t="s">
        <v>648</v>
      </c>
      <c r="B218" t="s">
        <v>647</v>
      </c>
      <c r="C218" t="s">
        <v>90</v>
      </c>
      <c r="D218" t="s">
        <v>66</v>
      </c>
      <c r="E218">
        <v>40</v>
      </c>
      <c r="F218">
        <v>20</v>
      </c>
      <c r="G218">
        <v>30</v>
      </c>
    </row>
    <row r="219" spans="1:7" x14ac:dyDescent="0.25">
      <c r="A219" t="s">
        <v>650</v>
      </c>
      <c r="B219" t="s">
        <v>649</v>
      </c>
      <c r="C219" t="s">
        <v>90</v>
      </c>
      <c r="D219" t="s">
        <v>66</v>
      </c>
      <c r="E219">
        <v>55</v>
      </c>
      <c r="F219">
        <v>35</v>
      </c>
      <c r="G219">
        <v>50</v>
      </c>
    </row>
    <row r="220" spans="1:7" x14ac:dyDescent="0.25">
      <c r="A220" t="s">
        <v>652</v>
      </c>
      <c r="B220" t="s">
        <v>651</v>
      </c>
      <c r="C220" t="s">
        <v>90</v>
      </c>
      <c r="D220" t="s">
        <v>41</v>
      </c>
      <c r="E220">
        <v>40</v>
      </c>
      <c r="F220">
        <v>60</v>
      </c>
      <c r="G220">
        <v>40</v>
      </c>
    </row>
    <row r="221" spans="1:7" x14ac:dyDescent="0.25">
      <c r="A221" t="s">
        <v>654</v>
      </c>
      <c r="B221" t="s">
        <v>653</v>
      </c>
      <c r="C221" t="s">
        <v>90</v>
      </c>
      <c r="D221" t="s">
        <v>41</v>
      </c>
      <c r="E221">
        <v>70</v>
      </c>
      <c r="F221">
        <v>90</v>
      </c>
      <c r="G221">
        <v>70</v>
      </c>
    </row>
    <row r="222" spans="1:7" x14ac:dyDescent="0.25">
      <c r="A222" t="s">
        <v>656</v>
      </c>
      <c r="B222" t="s">
        <v>655</v>
      </c>
      <c r="C222" t="s">
        <v>41</v>
      </c>
      <c r="D222" t="s">
        <v>66</v>
      </c>
      <c r="E222">
        <v>85</v>
      </c>
      <c r="F222">
        <v>90</v>
      </c>
      <c r="G222">
        <v>80</v>
      </c>
    </row>
    <row r="223" spans="1:7" x14ac:dyDescent="0.25">
      <c r="A223" t="s">
        <v>658</v>
      </c>
      <c r="B223" t="s">
        <v>657</v>
      </c>
      <c r="C223" t="s">
        <v>76</v>
      </c>
      <c r="D223" t="s">
        <v>154</v>
      </c>
      <c r="E223">
        <v>75</v>
      </c>
      <c r="F223">
        <v>38</v>
      </c>
      <c r="G223">
        <v>38</v>
      </c>
    </row>
    <row r="224" spans="1:7" x14ac:dyDescent="0.25">
      <c r="A224" t="s">
        <v>660</v>
      </c>
      <c r="B224" t="s">
        <v>659</v>
      </c>
      <c r="C224" t="s">
        <v>76</v>
      </c>
      <c r="D224" t="s">
        <v>154</v>
      </c>
      <c r="E224">
        <v>125</v>
      </c>
      <c r="F224">
        <v>58</v>
      </c>
      <c r="G224">
        <v>58</v>
      </c>
    </row>
    <row r="225" spans="1:7" x14ac:dyDescent="0.25">
      <c r="A225" t="s">
        <v>662</v>
      </c>
      <c r="B225" t="s">
        <v>661</v>
      </c>
      <c r="C225" t="s">
        <v>154</v>
      </c>
      <c r="E225">
        <v>20</v>
      </c>
      <c r="F225">
        <v>40</v>
      </c>
      <c r="G225">
        <v>15</v>
      </c>
    </row>
    <row r="226" spans="1:7" x14ac:dyDescent="0.25">
      <c r="A226" t="s">
        <v>664</v>
      </c>
      <c r="B226" t="s">
        <v>663</v>
      </c>
      <c r="C226" t="s">
        <v>157</v>
      </c>
      <c r="E226">
        <v>50</v>
      </c>
      <c r="F226">
        <v>25</v>
      </c>
      <c r="G226">
        <v>28</v>
      </c>
    </row>
    <row r="227" spans="1:7" x14ac:dyDescent="0.25">
      <c r="A227" t="s">
        <v>666</v>
      </c>
      <c r="B227" t="s">
        <v>665</v>
      </c>
      <c r="C227" t="s">
        <v>116</v>
      </c>
      <c r="D227" t="s">
        <v>157</v>
      </c>
      <c r="E227">
        <v>90</v>
      </c>
      <c r="F227">
        <v>30</v>
      </c>
      <c r="G227">
        <v>15</v>
      </c>
    </row>
    <row r="228" spans="1:7" x14ac:dyDescent="0.25">
      <c r="A228" t="s">
        <v>668</v>
      </c>
      <c r="B228" t="s">
        <v>667</v>
      </c>
      <c r="C228" t="s">
        <v>157</v>
      </c>
      <c r="E228">
        <v>35</v>
      </c>
      <c r="F228">
        <v>20</v>
      </c>
      <c r="G228">
        <v>65</v>
      </c>
    </row>
    <row r="229" spans="1:7" x14ac:dyDescent="0.25">
      <c r="A229" t="s">
        <v>671</v>
      </c>
      <c r="B229" t="s">
        <v>670</v>
      </c>
      <c r="C229" t="s">
        <v>157</v>
      </c>
      <c r="D229" t="s">
        <v>66</v>
      </c>
      <c r="E229">
        <v>55</v>
      </c>
      <c r="F229">
        <v>40</v>
      </c>
      <c r="G229">
        <v>85</v>
      </c>
    </row>
    <row r="230" spans="1:7" x14ac:dyDescent="0.25">
      <c r="A230" t="s">
        <v>673</v>
      </c>
      <c r="B230" t="s">
        <v>672</v>
      </c>
      <c r="C230" t="s">
        <v>162</v>
      </c>
      <c r="D230" t="s">
        <v>66</v>
      </c>
      <c r="E230">
        <v>40</v>
      </c>
      <c r="F230">
        <v>50</v>
      </c>
      <c r="G230">
        <v>45</v>
      </c>
    </row>
    <row r="231" spans="1:7" x14ac:dyDescent="0.25">
      <c r="A231" t="s">
        <v>676</v>
      </c>
      <c r="B231" t="s">
        <v>675</v>
      </c>
      <c r="C231" t="s">
        <v>162</v>
      </c>
      <c r="D231" t="s">
        <v>66</v>
      </c>
      <c r="E231">
        <v>65</v>
      </c>
      <c r="F231">
        <v>75</v>
      </c>
      <c r="G231">
        <v>70</v>
      </c>
    </row>
    <row r="232" spans="1:7" x14ac:dyDescent="0.25">
      <c r="A232" t="s">
        <v>678</v>
      </c>
      <c r="B232" t="s">
        <v>677</v>
      </c>
      <c r="C232" t="s">
        <v>154</v>
      </c>
      <c r="E232">
        <v>55</v>
      </c>
      <c r="F232">
        <v>40</v>
      </c>
      <c r="G232">
        <v>40</v>
      </c>
    </row>
    <row r="233" spans="1:7" x14ac:dyDescent="0.25">
      <c r="A233" t="s">
        <v>681</v>
      </c>
      <c r="B233" t="s">
        <v>680</v>
      </c>
      <c r="C233" t="s">
        <v>154</v>
      </c>
      <c r="E233">
        <v>70</v>
      </c>
      <c r="F233">
        <v>55</v>
      </c>
      <c r="G233">
        <v>55</v>
      </c>
    </row>
    <row r="234" spans="1:7" x14ac:dyDescent="0.25">
      <c r="A234" t="s">
        <v>683</v>
      </c>
      <c r="B234" t="s">
        <v>682</v>
      </c>
      <c r="C234" t="s">
        <v>154</v>
      </c>
      <c r="E234">
        <v>90</v>
      </c>
      <c r="F234">
        <v>75</v>
      </c>
      <c r="G234">
        <v>85</v>
      </c>
    </row>
    <row r="235" spans="1:7" x14ac:dyDescent="0.25">
      <c r="A235" t="s">
        <v>685</v>
      </c>
      <c r="B235" t="s">
        <v>684</v>
      </c>
      <c r="C235" t="s">
        <v>154</v>
      </c>
      <c r="D235" t="s">
        <v>61</v>
      </c>
      <c r="E235">
        <v>90</v>
      </c>
      <c r="F235">
        <v>95</v>
      </c>
      <c r="G235">
        <v>105</v>
      </c>
    </row>
    <row r="236" spans="1:7" x14ac:dyDescent="0.25">
      <c r="A236" t="s">
        <v>687</v>
      </c>
      <c r="B236" t="s">
        <v>686</v>
      </c>
      <c r="C236" t="s">
        <v>40</v>
      </c>
      <c r="E236">
        <v>75</v>
      </c>
      <c r="F236">
        <v>80</v>
      </c>
      <c r="G236">
        <v>95</v>
      </c>
    </row>
    <row r="237" spans="1:7" x14ac:dyDescent="0.25">
      <c r="A237" t="s">
        <v>689</v>
      </c>
      <c r="B237" t="s">
        <v>688</v>
      </c>
      <c r="C237" t="s">
        <v>76</v>
      </c>
      <c r="D237" t="s">
        <v>157</v>
      </c>
      <c r="E237">
        <v>70</v>
      </c>
      <c r="F237">
        <v>20</v>
      </c>
      <c r="G237">
        <v>50</v>
      </c>
    </row>
    <row r="238" spans="1:7" x14ac:dyDescent="0.25">
      <c r="A238" t="s">
        <v>693</v>
      </c>
      <c r="B238" t="s">
        <v>692</v>
      </c>
      <c r="C238" t="s">
        <v>76</v>
      </c>
      <c r="D238" t="s">
        <v>157</v>
      </c>
      <c r="E238">
        <v>100</v>
      </c>
      <c r="F238">
        <v>50</v>
      </c>
      <c r="G238">
        <v>80</v>
      </c>
    </row>
    <row r="239" spans="1:7" x14ac:dyDescent="0.25">
      <c r="A239" t="s">
        <v>695</v>
      </c>
      <c r="B239" t="s">
        <v>694</v>
      </c>
      <c r="C239" t="s">
        <v>290</v>
      </c>
      <c r="E239">
        <v>70</v>
      </c>
      <c r="F239">
        <v>100</v>
      </c>
      <c r="G239">
        <v>115</v>
      </c>
    </row>
    <row r="240" spans="1:7" x14ac:dyDescent="0.25">
      <c r="A240" t="s">
        <v>697</v>
      </c>
      <c r="B240" t="s">
        <v>696</v>
      </c>
      <c r="C240" t="s">
        <v>76</v>
      </c>
      <c r="E240">
        <v>90</v>
      </c>
      <c r="F240">
        <v>75</v>
      </c>
      <c r="G240">
        <v>75</v>
      </c>
    </row>
    <row r="241" spans="1:7" x14ac:dyDescent="0.25">
      <c r="A241" t="s">
        <v>700</v>
      </c>
      <c r="B241" t="s">
        <v>699</v>
      </c>
      <c r="C241" t="s">
        <v>40</v>
      </c>
      <c r="D241" t="s">
        <v>66</v>
      </c>
      <c r="E241">
        <v>35</v>
      </c>
      <c r="F241">
        <v>35</v>
      </c>
      <c r="G241">
        <v>40</v>
      </c>
    </row>
    <row r="242" spans="1:7" x14ac:dyDescent="0.25">
      <c r="A242" t="s">
        <v>702</v>
      </c>
      <c r="B242" t="s">
        <v>701</v>
      </c>
      <c r="C242" t="s">
        <v>40</v>
      </c>
      <c r="D242" t="s">
        <v>66</v>
      </c>
      <c r="E242">
        <v>55</v>
      </c>
      <c r="F242">
        <v>45</v>
      </c>
      <c r="G242">
        <v>50</v>
      </c>
    </row>
    <row r="243" spans="1:7" x14ac:dyDescent="0.25">
      <c r="A243" t="s">
        <v>704</v>
      </c>
      <c r="B243" t="s">
        <v>703</v>
      </c>
      <c r="C243" t="s">
        <v>40</v>
      </c>
      <c r="D243" t="s">
        <v>66</v>
      </c>
      <c r="E243">
        <v>75</v>
      </c>
      <c r="F243">
        <v>55</v>
      </c>
      <c r="G243">
        <v>70</v>
      </c>
    </row>
    <row r="244" spans="1:7" x14ac:dyDescent="0.25">
      <c r="A244" t="s">
        <v>706</v>
      </c>
      <c r="B244" t="s">
        <v>705</v>
      </c>
      <c r="C244" t="s">
        <v>116</v>
      </c>
      <c r="E244">
        <v>55</v>
      </c>
      <c r="F244">
        <v>70</v>
      </c>
      <c r="G244">
        <v>55</v>
      </c>
    </row>
    <row r="245" spans="1:7" x14ac:dyDescent="0.25">
      <c r="A245" t="s">
        <v>708</v>
      </c>
      <c r="B245" t="s">
        <v>707</v>
      </c>
      <c r="C245" t="s">
        <v>40</v>
      </c>
      <c r="E245">
        <v>30</v>
      </c>
      <c r="F245">
        <v>30</v>
      </c>
      <c r="G245">
        <v>30</v>
      </c>
    </row>
    <row r="246" spans="1:7" x14ac:dyDescent="0.25">
      <c r="A246" t="s">
        <v>710</v>
      </c>
      <c r="B246" t="s">
        <v>709</v>
      </c>
      <c r="C246" t="s">
        <v>40</v>
      </c>
      <c r="E246">
        <v>75</v>
      </c>
      <c r="F246">
        <v>75</v>
      </c>
      <c r="G246">
        <v>55</v>
      </c>
    </row>
    <row r="247" spans="1:7" x14ac:dyDescent="0.25">
      <c r="A247" t="s">
        <v>712</v>
      </c>
      <c r="B247" t="s">
        <v>711</v>
      </c>
      <c r="C247" t="s">
        <v>90</v>
      </c>
      <c r="D247" t="s">
        <v>66</v>
      </c>
      <c r="E247">
        <v>65</v>
      </c>
      <c r="F247">
        <v>65</v>
      </c>
      <c r="G247">
        <v>45</v>
      </c>
    </row>
    <row r="248" spans="1:7" x14ac:dyDescent="0.25">
      <c r="A248" t="s">
        <v>716</v>
      </c>
      <c r="B248" t="s">
        <v>714</v>
      </c>
      <c r="C248" t="s">
        <v>41</v>
      </c>
      <c r="D248" t="s">
        <v>132</v>
      </c>
      <c r="E248">
        <v>55</v>
      </c>
      <c r="F248">
        <v>45</v>
      </c>
      <c r="G248">
        <v>45</v>
      </c>
    </row>
    <row r="249" spans="1:7" x14ac:dyDescent="0.25">
      <c r="A249" t="s">
        <v>715</v>
      </c>
      <c r="B249" t="s">
        <v>717</v>
      </c>
      <c r="C249" t="s">
        <v>76</v>
      </c>
      <c r="D249" t="s">
        <v>132</v>
      </c>
      <c r="E249">
        <v>55</v>
      </c>
      <c r="F249">
        <v>45</v>
      </c>
      <c r="G249">
        <v>45</v>
      </c>
    </row>
    <row r="250" spans="1:7" x14ac:dyDescent="0.25">
      <c r="A250" t="s">
        <v>719</v>
      </c>
      <c r="B250" t="s">
        <v>718</v>
      </c>
      <c r="C250" t="s">
        <v>76</v>
      </c>
      <c r="D250" t="s">
        <v>132</v>
      </c>
      <c r="E250">
        <v>95</v>
      </c>
      <c r="F250">
        <v>85</v>
      </c>
      <c r="G250">
        <v>85</v>
      </c>
    </row>
    <row r="251" spans="1:7" x14ac:dyDescent="0.25">
      <c r="A251" t="s">
        <v>721</v>
      </c>
      <c r="B251" t="s">
        <v>720</v>
      </c>
      <c r="C251" t="s">
        <v>162</v>
      </c>
      <c r="E251">
        <v>65</v>
      </c>
      <c r="F251">
        <v>65</v>
      </c>
      <c r="G251">
        <v>60</v>
      </c>
    </row>
    <row r="252" spans="1:7" x14ac:dyDescent="0.25">
      <c r="A252" t="s">
        <v>723</v>
      </c>
      <c r="B252" t="s">
        <v>722</v>
      </c>
      <c r="C252" t="s">
        <v>135</v>
      </c>
      <c r="E252">
        <v>95</v>
      </c>
      <c r="F252">
        <v>65</v>
      </c>
      <c r="G252">
        <v>110</v>
      </c>
    </row>
    <row r="253" spans="1:7" x14ac:dyDescent="0.25">
      <c r="A253" t="s">
        <v>725</v>
      </c>
      <c r="B253" t="s">
        <v>724</v>
      </c>
      <c r="C253" t="s">
        <v>135</v>
      </c>
      <c r="D253" t="s">
        <v>66</v>
      </c>
      <c r="E253">
        <v>60</v>
      </c>
      <c r="F253">
        <v>85</v>
      </c>
      <c r="G253">
        <v>42</v>
      </c>
    </row>
    <row r="254" spans="1:7" x14ac:dyDescent="0.25">
      <c r="A254" t="s">
        <v>728</v>
      </c>
      <c r="B254" t="s">
        <v>727</v>
      </c>
      <c r="C254" t="s">
        <v>76</v>
      </c>
      <c r="D254" t="s">
        <v>162</v>
      </c>
      <c r="E254">
        <v>95</v>
      </c>
      <c r="F254">
        <v>75</v>
      </c>
      <c r="G254">
        <v>80</v>
      </c>
    </row>
    <row r="255" spans="1:7" x14ac:dyDescent="0.25">
      <c r="A255" t="s">
        <v>730</v>
      </c>
      <c r="B255" t="s">
        <v>729</v>
      </c>
      <c r="C255" t="s">
        <v>41</v>
      </c>
      <c r="D255" t="s">
        <v>162</v>
      </c>
      <c r="E255">
        <v>95</v>
      </c>
      <c r="F255">
        <v>65</v>
      </c>
      <c r="G255">
        <v>80</v>
      </c>
    </row>
    <row r="256" spans="1:7" x14ac:dyDescent="0.25">
      <c r="A256" t="s">
        <v>733</v>
      </c>
      <c r="B256" t="s">
        <v>732</v>
      </c>
      <c r="C256" t="s">
        <v>419</v>
      </c>
      <c r="E256">
        <v>60</v>
      </c>
      <c r="F256">
        <v>60</v>
      </c>
      <c r="G256">
        <v>60</v>
      </c>
    </row>
    <row r="257" spans="1:7" x14ac:dyDescent="0.25">
      <c r="A257" t="s">
        <v>735</v>
      </c>
      <c r="B257" t="s">
        <v>734</v>
      </c>
      <c r="C257" t="s">
        <v>162</v>
      </c>
      <c r="E257">
        <v>48</v>
      </c>
      <c r="F257">
        <v>72</v>
      </c>
      <c r="G257">
        <v>48</v>
      </c>
    </row>
    <row r="258" spans="1:7" x14ac:dyDescent="0.25">
      <c r="A258" t="s">
        <v>737</v>
      </c>
      <c r="B258" t="s">
        <v>736</v>
      </c>
      <c r="C258" t="s">
        <v>162</v>
      </c>
      <c r="E258">
        <v>190</v>
      </c>
      <c r="F258">
        <v>33</v>
      </c>
      <c r="G258">
        <v>58</v>
      </c>
    </row>
    <row r="259" spans="1:7" x14ac:dyDescent="0.25">
      <c r="A259" t="s">
        <v>740</v>
      </c>
      <c r="B259" t="s">
        <v>739</v>
      </c>
      <c r="C259" t="s">
        <v>116</v>
      </c>
      <c r="D259" t="s">
        <v>162</v>
      </c>
      <c r="E259">
        <v>70</v>
      </c>
      <c r="F259">
        <v>80</v>
      </c>
      <c r="G259">
        <v>65</v>
      </c>
    </row>
    <row r="260" spans="1:7" x14ac:dyDescent="0.25">
      <c r="A260" t="s">
        <v>742</v>
      </c>
      <c r="B260" t="s">
        <v>741</v>
      </c>
      <c r="C260" t="s">
        <v>90</v>
      </c>
      <c r="E260">
        <v>50</v>
      </c>
      <c r="F260">
        <v>65</v>
      </c>
      <c r="G260">
        <v>90</v>
      </c>
    </row>
    <row r="261" spans="1:7" x14ac:dyDescent="0.25">
      <c r="A261" t="s">
        <v>744</v>
      </c>
      <c r="B261" t="s">
        <v>743</v>
      </c>
      <c r="C261" t="s">
        <v>90</v>
      </c>
      <c r="D261" t="s">
        <v>171</v>
      </c>
      <c r="E261">
        <v>75</v>
      </c>
      <c r="F261">
        <v>90</v>
      </c>
      <c r="G261">
        <v>140</v>
      </c>
    </row>
    <row r="262" spans="1:7" x14ac:dyDescent="0.25">
      <c r="A262" t="s">
        <v>746</v>
      </c>
      <c r="B262" t="s">
        <v>745</v>
      </c>
      <c r="C262" t="s">
        <v>116</v>
      </c>
      <c r="E262">
        <v>100</v>
      </c>
      <c r="F262">
        <v>70</v>
      </c>
      <c r="G262">
        <v>70</v>
      </c>
    </row>
    <row r="263" spans="1:7" x14ac:dyDescent="0.25">
      <c r="A263" t="s">
        <v>748</v>
      </c>
      <c r="B263" t="s">
        <v>747</v>
      </c>
      <c r="C263" t="s">
        <v>132</v>
      </c>
      <c r="D263" t="s">
        <v>66</v>
      </c>
      <c r="E263">
        <v>65</v>
      </c>
      <c r="F263">
        <v>75</v>
      </c>
      <c r="G263">
        <v>105</v>
      </c>
    </row>
    <row r="264" spans="1:7" x14ac:dyDescent="0.25">
      <c r="A264" t="s">
        <v>750</v>
      </c>
      <c r="B264" t="s">
        <v>749</v>
      </c>
      <c r="C264" t="s">
        <v>171</v>
      </c>
      <c r="D264" t="s">
        <v>132</v>
      </c>
      <c r="E264">
        <v>75</v>
      </c>
      <c r="F264">
        <v>85</v>
      </c>
      <c r="G264">
        <v>200</v>
      </c>
    </row>
    <row r="265" spans="1:7" x14ac:dyDescent="0.25">
      <c r="A265" t="s">
        <v>752</v>
      </c>
      <c r="B265" t="s">
        <v>751</v>
      </c>
      <c r="C265" t="s">
        <v>171</v>
      </c>
      <c r="D265" t="s">
        <v>132</v>
      </c>
      <c r="E265">
        <v>75</v>
      </c>
      <c r="F265">
        <v>125</v>
      </c>
      <c r="G265">
        <v>230</v>
      </c>
    </row>
    <row r="266" spans="1:7" x14ac:dyDescent="0.25">
      <c r="A266" t="s">
        <v>754</v>
      </c>
      <c r="B266" t="s">
        <v>753</v>
      </c>
      <c r="C266" t="s">
        <v>157</v>
      </c>
      <c r="E266">
        <v>60</v>
      </c>
      <c r="F266">
        <v>80</v>
      </c>
      <c r="G266">
        <v>50</v>
      </c>
    </row>
    <row r="267" spans="1:7" x14ac:dyDescent="0.25">
      <c r="A267" t="s">
        <v>756</v>
      </c>
      <c r="B267" t="s">
        <v>755</v>
      </c>
      <c r="C267" t="s">
        <v>157</v>
      </c>
      <c r="E267">
        <v>90</v>
      </c>
      <c r="F267">
        <v>120</v>
      </c>
      <c r="G267">
        <v>75</v>
      </c>
    </row>
    <row r="268" spans="1:7" x14ac:dyDescent="0.25">
      <c r="A268" t="s">
        <v>758</v>
      </c>
      <c r="B268" t="s">
        <v>757</v>
      </c>
      <c r="C268" t="s">
        <v>76</v>
      </c>
      <c r="D268" t="s">
        <v>41</v>
      </c>
      <c r="E268">
        <v>65</v>
      </c>
      <c r="F268">
        <v>95</v>
      </c>
      <c r="G268">
        <v>85</v>
      </c>
    </row>
    <row r="269" spans="1:7" x14ac:dyDescent="0.25">
      <c r="A269" t="s">
        <v>760</v>
      </c>
      <c r="B269" t="s">
        <v>759</v>
      </c>
      <c r="C269" t="s">
        <v>135</v>
      </c>
      <c r="D269" t="s">
        <v>41</v>
      </c>
      <c r="E269">
        <v>65</v>
      </c>
      <c r="F269">
        <v>95</v>
      </c>
      <c r="G269">
        <v>85</v>
      </c>
    </row>
    <row r="270" spans="1:7" x14ac:dyDescent="0.25">
      <c r="A270" t="s">
        <v>762</v>
      </c>
      <c r="B270" t="s">
        <v>761</v>
      </c>
      <c r="C270" t="s">
        <v>90</v>
      </c>
      <c r="D270" t="s">
        <v>171</v>
      </c>
      <c r="E270">
        <v>70</v>
      </c>
      <c r="F270">
        <v>130</v>
      </c>
      <c r="G270">
        <v>100</v>
      </c>
    </row>
    <row r="271" spans="1:7" x14ac:dyDescent="0.25">
      <c r="A271" t="s">
        <v>765</v>
      </c>
      <c r="B271" t="s">
        <v>764</v>
      </c>
      <c r="C271" t="s">
        <v>90</v>
      </c>
      <c r="D271" t="s">
        <v>171</v>
      </c>
      <c r="E271">
        <v>70</v>
      </c>
      <c r="F271">
        <v>150</v>
      </c>
      <c r="G271">
        <v>140</v>
      </c>
    </row>
    <row r="272" spans="1:7" x14ac:dyDescent="0.25">
      <c r="A272" t="s">
        <v>767</v>
      </c>
      <c r="B272" t="s">
        <v>766</v>
      </c>
      <c r="C272" t="s">
        <v>90</v>
      </c>
      <c r="D272" t="s">
        <v>290</v>
      </c>
      <c r="E272">
        <v>20</v>
      </c>
      <c r="F272">
        <v>10</v>
      </c>
      <c r="G272">
        <v>230</v>
      </c>
    </row>
    <row r="273" spans="1:7" x14ac:dyDescent="0.25">
      <c r="A273" t="s">
        <v>770</v>
      </c>
      <c r="B273" t="s">
        <v>769</v>
      </c>
      <c r="C273" t="s">
        <v>90</v>
      </c>
      <c r="D273" t="s">
        <v>279</v>
      </c>
      <c r="E273">
        <v>80</v>
      </c>
      <c r="F273">
        <v>125</v>
      </c>
      <c r="G273">
        <v>75</v>
      </c>
    </row>
    <row r="274" spans="1:7" x14ac:dyDescent="0.25">
      <c r="A274" t="s">
        <v>772</v>
      </c>
      <c r="B274" t="s">
        <v>771</v>
      </c>
      <c r="C274" t="s">
        <v>90</v>
      </c>
      <c r="D274" t="s">
        <v>279</v>
      </c>
      <c r="E274">
        <v>80</v>
      </c>
      <c r="F274">
        <v>185</v>
      </c>
      <c r="G274">
        <v>115</v>
      </c>
    </row>
    <row r="275" spans="1:7" x14ac:dyDescent="0.25">
      <c r="A275" t="s">
        <v>774</v>
      </c>
      <c r="B275" t="s">
        <v>773</v>
      </c>
      <c r="C275" t="s">
        <v>135</v>
      </c>
      <c r="D275" t="s">
        <v>170</v>
      </c>
      <c r="E275">
        <v>55</v>
      </c>
      <c r="F275">
        <v>95</v>
      </c>
      <c r="G275">
        <v>55</v>
      </c>
    </row>
    <row r="276" spans="1:7" x14ac:dyDescent="0.25">
      <c r="A276" t="s">
        <v>777</v>
      </c>
      <c r="B276" t="s">
        <v>776</v>
      </c>
      <c r="C276" t="s">
        <v>279</v>
      </c>
      <c r="D276" t="s">
        <v>41</v>
      </c>
      <c r="E276">
        <v>55</v>
      </c>
      <c r="F276">
        <v>95</v>
      </c>
      <c r="G276">
        <v>55</v>
      </c>
    </row>
    <row r="277" spans="1:7" x14ac:dyDescent="0.25">
      <c r="A277" t="s">
        <v>779</v>
      </c>
      <c r="B277" t="s">
        <v>778</v>
      </c>
      <c r="C277" t="s">
        <v>116</v>
      </c>
      <c r="E277">
        <v>60</v>
      </c>
      <c r="F277">
        <v>80</v>
      </c>
      <c r="G277">
        <v>50</v>
      </c>
    </row>
    <row r="278" spans="1:7" x14ac:dyDescent="0.25">
      <c r="A278" t="s">
        <v>782</v>
      </c>
      <c r="B278" t="s">
        <v>781</v>
      </c>
      <c r="C278" t="s">
        <v>116</v>
      </c>
      <c r="E278">
        <v>90</v>
      </c>
      <c r="F278">
        <v>130</v>
      </c>
      <c r="G278">
        <v>75</v>
      </c>
    </row>
    <row r="279" spans="1:7" x14ac:dyDescent="0.25">
      <c r="A279" t="s">
        <v>784</v>
      </c>
      <c r="B279" t="s">
        <v>783</v>
      </c>
      <c r="C279" t="s">
        <v>57</v>
      </c>
      <c r="E279">
        <v>40</v>
      </c>
      <c r="F279">
        <v>40</v>
      </c>
      <c r="G279">
        <v>40</v>
      </c>
    </row>
    <row r="280" spans="1:7" x14ac:dyDescent="0.25">
      <c r="A280" t="s">
        <v>787</v>
      </c>
      <c r="B280" t="s">
        <v>786</v>
      </c>
      <c r="C280" t="s">
        <v>57</v>
      </c>
      <c r="D280" t="s">
        <v>290</v>
      </c>
      <c r="E280">
        <v>60</v>
      </c>
      <c r="F280">
        <v>50</v>
      </c>
      <c r="G280">
        <v>120</v>
      </c>
    </row>
    <row r="281" spans="1:7" x14ac:dyDescent="0.25">
      <c r="A281" t="s">
        <v>789</v>
      </c>
      <c r="B281" t="s">
        <v>788</v>
      </c>
      <c r="C281" t="s">
        <v>170</v>
      </c>
      <c r="D281" t="s">
        <v>132</v>
      </c>
      <c r="E281">
        <v>50</v>
      </c>
      <c r="F281">
        <v>50</v>
      </c>
      <c r="G281">
        <v>40</v>
      </c>
    </row>
    <row r="282" spans="1:7" x14ac:dyDescent="0.25">
      <c r="A282" t="s">
        <v>791</v>
      </c>
      <c r="B282" t="s">
        <v>790</v>
      </c>
      <c r="C282" t="s">
        <v>170</v>
      </c>
      <c r="D282" t="s">
        <v>132</v>
      </c>
      <c r="E282">
        <v>100</v>
      </c>
      <c r="F282">
        <v>100</v>
      </c>
      <c r="G282">
        <v>80</v>
      </c>
    </row>
    <row r="283" spans="1:7" x14ac:dyDescent="0.25">
      <c r="A283" t="s">
        <v>793</v>
      </c>
      <c r="B283" t="s">
        <v>792</v>
      </c>
      <c r="C283" t="s">
        <v>76</v>
      </c>
      <c r="D283" t="s">
        <v>290</v>
      </c>
      <c r="E283">
        <v>65</v>
      </c>
      <c r="F283">
        <v>55</v>
      </c>
      <c r="G283">
        <v>95</v>
      </c>
    </row>
    <row r="284" spans="1:7" x14ac:dyDescent="0.25">
      <c r="A284" t="s">
        <v>795</v>
      </c>
      <c r="B284" t="s">
        <v>794</v>
      </c>
      <c r="C284" t="s">
        <v>419</v>
      </c>
      <c r="E284">
        <v>60</v>
      </c>
      <c r="F284">
        <v>55</v>
      </c>
      <c r="G284">
        <v>100</v>
      </c>
    </row>
    <row r="285" spans="1:7" x14ac:dyDescent="0.25">
      <c r="A285" t="s">
        <v>797</v>
      </c>
      <c r="B285" t="s">
        <v>796</v>
      </c>
      <c r="C285" t="s">
        <v>76</v>
      </c>
      <c r="E285">
        <v>35</v>
      </c>
      <c r="F285">
        <v>65</v>
      </c>
      <c r="G285">
        <v>35</v>
      </c>
    </row>
    <row r="286" spans="1:7" x14ac:dyDescent="0.25">
      <c r="A286" t="s">
        <v>800</v>
      </c>
      <c r="B286" t="s">
        <v>799</v>
      </c>
      <c r="C286" t="s">
        <v>76</v>
      </c>
      <c r="E286">
        <v>75</v>
      </c>
      <c r="F286">
        <v>105</v>
      </c>
      <c r="G286">
        <v>75</v>
      </c>
    </row>
    <row r="287" spans="1:7" x14ac:dyDescent="0.25">
      <c r="A287" t="s">
        <v>803</v>
      </c>
      <c r="B287" t="s">
        <v>802</v>
      </c>
      <c r="C287" t="s">
        <v>170</v>
      </c>
      <c r="D287" t="s">
        <v>66</v>
      </c>
      <c r="E287">
        <v>45</v>
      </c>
      <c r="F287">
        <v>55</v>
      </c>
      <c r="G287">
        <v>45</v>
      </c>
    </row>
    <row r="288" spans="1:7" x14ac:dyDescent="0.25">
      <c r="A288" t="s">
        <v>805</v>
      </c>
      <c r="B288" t="s">
        <v>804</v>
      </c>
      <c r="C288" t="s">
        <v>76</v>
      </c>
      <c r="D288" t="s">
        <v>66</v>
      </c>
      <c r="E288">
        <v>85</v>
      </c>
      <c r="F288">
        <v>40</v>
      </c>
      <c r="G288">
        <v>70</v>
      </c>
    </row>
    <row r="289" spans="1:7" x14ac:dyDescent="0.25">
      <c r="A289" t="s">
        <v>807</v>
      </c>
      <c r="B289" t="s">
        <v>806</v>
      </c>
      <c r="C289" t="s">
        <v>171</v>
      </c>
      <c r="D289" t="s">
        <v>66</v>
      </c>
      <c r="E289">
        <v>65</v>
      </c>
      <c r="F289">
        <v>80</v>
      </c>
      <c r="G289">
        <v>140</v>
      </c>
    </row>
    <row r="290" spans="1:7" x14ac:dyDescent="0.25">
      <c r="A290" t="s">
        <v>809</v>
      </c>
      <c r="B290" t="s">
        <v>808</v>
      </c>
      <c r="C290" t="s">
        <v>135</v>
      </c>
      <c r="D290" t="s">
        <v>57</v>
      </c>
      <c r="E290">
        <v>45</v>
      </c>
      <c r="F290">
        <v>60</v>
      </c>
      <c r="G290">
        <v>30</v>
      </c>
    </row>
    <row r="291" spans="1:7" x14ac:dyDescent="0.25">
      <c r="A291" t="s">
        <v>811</v>
      </c>
      <c r="B291" t="s">
        <v>810</v>
      </c>
      <c r="C291" t="s">
        <v>135</v>
      </c>
      <c r="D291" t="s">
        <v>57</v>
      </c>
      <c r="E291">
        <v>75</v>
      </c>
      <c r="F291">
        <v>90</v>
      </c>
      <c r="G291">
        <v>50</v>
      </c>
    </row>
    <row r="292" spans="1:7" x14ac:dyDescent="0.25">
      <c r="A292" t="s">
        <v>813</v>
      </c>
      <c r="B292" t="s">
        <v>812</v>
      </c>
      <c r="C292" t="s">
        <v>135</v>
      </c>
      <c r="D292" t="s">
        <v>57</v>
      </c>
      <c r="E292">
        <v>75</v>
      </c>
      <c r="F292">
        <v>90</v>
      </c>
      <c r="G292">
        <v>90</v>
      </c>
    </row>
    <row r="293" spans="1:7" x14ac:dyDescent="0.25">
      <c r="A293" t="s">
        <v>815</v>
      </c>
      <c r="B293" t="s">
        <v>814</v>
      </c>
      <c r="C293" t="s">
        <v>76</v>
      </c>
      <c r="D293" t="s">
        <v>61</v>
      </c>
      <c r="E293">
        <v>75</v>
      </c>
      <c r="F293">
        <v>95</v>
      </c>
      <c r="G293">
        <v>95</v>
      </c>
    </row>
    <row r="294" spans="1:7" x14ac:dyDescent="0.25">
      <c r="A294" t="s">
        <v>817</v>
      </c>
      <c r="B294" t="s">
        <v>816</v>
      </c>
      <c r="C294" t="s">
        <v>132</v>
      </c>
      <c r="E294">
        <v>90</v>
      </c>
      <c r="F294">
        <v>60</v>
      </c>
      <c r="G294">
        <v>60</v>
      </c>
    </row>
    <row r="295" spans="1:7" x14ac:dyDescent="0.25">
      <c r="A295" t="s">
        <v>819</v>
      </c>
      <c r="B295" t="s">
        <v>818</v>
      </c>
      <c r="C295" t="s">
        <v>132</v>
      </c>
      <c r="E295">
        <v>90</v>
      </c>
      <c r="F295">
        <v>120</v>
      </c>
      <c r="G295">
        <v>120</v>
      </c>
    </row>
    <row r="296" spans="1:7" x14ac:dyDescent="0.25">
      <c r="A296" t="s">
        <v>821</v>
      </c>
      <c r="B296" t="s">
        <v>820</v>
      </c>
      <c r="C296" t="s">
        <v>116</v>
      </c>
      <c r="E296">
        <v>85</v>
      </c>
      <c r="F296">
        <v>80</v>
      </c>
      <c r="G296">
        <v>90</v>
      </c>
    </row>
    <row r="297" spans="1:7" x14ac:dyDescent="0.25">
      <c r="A297" t="s">
        <v>823</v>
      </c>
      <c r="B297" t="s">
        <v>822</v>
      </c>
      <c r="C297" t="s">
        <v>116</v>
      </c>
      <c r="E297">
        <v>73</v>
      </c>
      <c r="F297">
        <v>95</v>
      </c>
      <c r="G297">
        <v>62</v>
      </c>
    </row>
    <row r="298" spans="1:7" x14ac:dyDescent="0.25">
      <c r="A298" t="s">
        <v>825</v>
      </c>
      <c r="B298" t="s">
        <v>824</v>
      </c>
      <c r="C298" t="s">
        <v>116</v>
      </c>
      <c r="E298">
        <v>55</v>
      </c>
      <c r="F298">
        <v>20</v>
      </c>
      <c r="G298">
        <v>35</v>
      </c>
    </row>
    <row r="299" spans="1:7" x14ac:dyDescent="0.25">
      <c r="A299" t="s">
        <v>827</v>
      </c>
      <c r="B299" t="s">
        <v>826</v>
      </c>
      <c r="C299" t="s">
        <v>279</v>
      </c>
      <c r="E299">
        <v>35</v>
      </c>
      <c r="F299">
        <v>35</v>
      </c>
      <c r="G299">
        <v>35</v>
      </c>
    </row>
    <row r="300" spans="1:7" x14ac:dyDescent="0.25">
      <c r="A300" t="s">
        <v>829</v>
      </c>
      <c r="B300" t="s">
        <v>828</v>
      </c>
      <c r="C300" t="s">
        <v>279</v>
      </c>
      <c r="E300">
        <v>50</v>
      </c>
      <c r="F300">
        <v>95</v>
      </c>
      <c r="G300">
        <v>95</v>
      </c>
    </row>
    <row r="301" spans="1:7" x14ac:dyDescent="0.25">
      <c r="A301" t="s">
        <v>831</v>
      </c>
      <c r="B301" t="s">
        <v>830</v>
      </c>
      <c r="C301" t="s">
        <v>170</v>
      </c>
      <c r="D301" t="s">
        <v>162</v>
      </c>
      <c r="E301">
        <v>45</v>
      </c>
      <c r="F301">
        <v>30</v>
      </c>
      <c r="G301">
        <v>15</v>
      </c>
    </row>
    <row r="302" spans="1:7" x14ac:dyDescent="0.25">
      <c r="A302" t="s">
        <v>833</v>
      </c>
      <c r="B302" t="s">
        <v>832</v>
      </c>
      <c r="C302" t="s">
        <v>154</v>
      </c>
      <c r="E302">
        <v>45</v>
      </c>
      <c r="F302">
        <v>63</v>
      </c>
      <c r="G302">
        <v>37</v>
      </c>
    </row>
    <row r="303" spans="1:7" x14ac:dyDescent="0.25">
      <c r="A303" t="s">
        <v>835</v>
      </c>
      <c r="B303" t="s">
        <v>834</v>
      </c>
      <c r="C303" t="s">
        <v>57</v>
      </c>
      <c r="E303">
        <v>45</v>
      </c>
      <c r="F303">
        <v>75</v>
      </c>
      <c r="G303">
        <v>37</v>
      </c>
    </row>
    <row r="304" spans="1:7" x14ac:dyDescent="0.25">
      <c r="A304" t="s">
        <v>837</v>
      </c>
      <c r="B304" t="s">
        <v>836</v>
      </c>
      <c r="C304" t="s">
        <v>116</v>
      </c>
      <c r="E304">
        <v>95</v>
      </c>
      <c r="F304">
        <v>80</v>
      </c>
      <c r="G304">
        <v>105</v>
      </c>
    </row>
    <row r="305" spans="1:7" x14ac:dyDescent="0.25">
      <c r="A305" t="s">
        <v>839</v>
      </c>
      <c r="B305" t="s">
        <v>838</v>
      </c>
      <c r="C305" t="s">
        <v>116</v>
      </c>
      <c r="E305">
        <v>255</v>
      </c>
      <c r="F305">
        <v>10</v>
      </c>
      <c r="G305">
        <v>10</v>
      </c>
    </row>
    <row r="306" spans="1:7" x14ac:dyDescent="0.25">
      <c r="A306" t="s">
        <v>841</v>
      </c>
      <c r="B306" t="s">
        <v>840</v>
      </c>
      <c r="C306" t="s">
        <v>154</v>
      </c>
      <c r="E306">
        <v>90</v>
      </c>
      <c r="F306">
        <v>85</v>
      </c>
      <c r="G306">
        <v>75</v>
      </c>
    </row>
    <row r="307" spans="1:7" x14ac:dyDescent="0.25">
      <c r="A307" t="s">
        <v>843</v>
      </c>
      <c r="B307" t="s">
        <v>842</v>
      </c>
      <c r="C307" t="s">
        <v>57</v>
      </c>
      <c r="E307">
        <v>115</v>
      </c>
      <c r="F307">
        <v>115</v>
      </c>
      <c r="G307">
        <v>85</v>
      </c>
    </row>
    <row r="308" spans="1:7" x14ac:dyDescent="0.25">
      <c r="A308" t="s">
        <v>845</v>
      </c>
      <c r="B308" t="s">
        <v>844</v>
      </c>
      <c r="C308" t="s">
        <v>76</v>
      </c>
      <c r="E308">
        <v>100</v>
      </c>
      <c r="F308">
        <v>75</v>
      </c>
      <c r="G308">
        <v>115</v>
      </c>
    </row>
    <row r="309" spans="1:7" x14ac:dyDescent="0.25">
      <c r="A309" t="s">
        <v>847</v>
      </c>
      <c r="B309" t="s">
        <v>846</v>
      </c>
      <c r="C309" t="s">
        <v>290</v>
      </c>
      <c r="D309" t="s">
        <v>132</v>
      </c>
      <c r="E309">
        <v>50</v>
      </c>
      <c r="F309">
        <v>64</v>
      </c>
      <c r="G309">
        <v>50</v>
      </c>
    </row>
    <row r="310" spans="1:7" x14ac:dyDescent="0.25">
      <c r="A310" t="s">
        <v>849</v>
      </c>
      <c r="B310" t="s">
        <v>848</v>
      </c>
      <c r="C310" t="s">
        <v>290</v>
      </c>
      <c r="D310" t="s">
        <v>132</v>
      </c>
      <c r="E310">
        <v>70</v>
      </c>
      <c r="F310">
        <v>84</v>
      </c>
      <c r="G310">
        <v>70</v>
      </c>
    </row>
    <row r="311" spans="1:7" x14ac:dyDescent="0.25">
      <c r="A311" t="s">
        <v>851</v>
      </c>
      <c r="B311" t="s">
        <v>850</v>
      </c>
      <c r="C311" t="s">
        <v>290</v>
      </c>
      <c r="D311" t="s">
        <v>135</v>
      </c>
      <c r="E311">
        <v>100</v>
      </c>
      <c r="F311">
        <v>134</v>
      </c>
      <c r="G311">
        <v>110</v>
      </c>
    </row>
    <row r="312" spans="1:7" x14ac:dyDescent="0.25">
      <c r="A312" t="s">
        <v>854</v>
      </c>
      <c r="B312" t="s">
        <v>853</v>
      </c>
      <c r="C312" t="s">
        <v>290</v>
      </c>
      <c r="D312" t="s">
        <v>135</v>
      </c>
      <c r="E312">
        <v>100</v>
      </c>
      <c r="F312">
        <v>164</v>
      </c>
      <c r="G312">
        <v>150</v>
      </c>
    </row>
    <row r="313" spans="1:7" x14ac:dyDescent="0.25">
      <c r="A313" t="s">
        <v>856</v>
      </c>
      <c r="B313" t="s">
        <v>855</v>
      </c>
      <c r="C313" t="s">
        <v>162</v>
      </c>
      <c r="D313" t="s">
        <v>66</v>
      </c>
      <c r="E313">
        <v>106</v>
      </c>
      <c r="F313">
        <v>90</v>
      </c>
      <c r="G313">
        <v>130</v>
      </c>
    </row>
    <row r="314" spans="1:7" x14ac:dyDescent="0.25">
      <c r="A314" t="s">
        <v>858</v>
      </c>
      <c r="B314" t="s">
        <v>857</v>
      </c>
      <c r="C314" t="s">
        <v>57</v>
      </c>
      <c r="D314" t="s">
        <v>66</v>
      </c>
      <c r="E314">
        <v>106</v>
      </c>
      <c r="F314">
        <v>130</v>
      </c>
      <c r="G314">
        <v>90</v>
      </c>
    </row>
    <row r="315" spans="1:7" x14ac:dyDescent="0.25">
      <c r="A315" t="s">
        <v>860</v>
      </c>
      <c r="B315" t="s">
        <v>859</v>
      </c>
      <c r="C315" t="s">
        <v>162</v>
      </c>
      <c r="D315" t="s">
        <v>40</v>
      </c>
      <c r="E315">
        <v>100</v>
      </c>
      <c r="F315">
        <v>100</v>
      </c>
      <c r="G315">
        <v>100</v>
      </c>
    </row>
    <row r="316" spans="1:7" x14ac:dyDescent="0.25">
      <c r="A316" t="s">
        <v>862</v>
      </c>
      <c r="B316" t="s">
        <v>861</v>
      </c>
      <c r="C316" t="s">
        <v>40</v>
      </c>
      <c r="E316">
        <v>40</v>
      </c>
      <c r="F316">
        <v>45</v>
      </c>
      <c r="G316">
        <v>35</v>
      </c>
    </row>
    <row r="317" spans="1:7" x14ac:dyDescent="0.25">
      <c r="A317" t="s">
        <v>864</v>
      </c>
      <c r="B317" t="s">
        <v>863</v>
      </c>
      <c r="C317" t="s">
        <v>40</v>
      </c>
      <c r="E317">
        <v>50</v>
      </c>
      <c r="F317">
        <v>65</v>
      </c>
      <c r="G317">
        <v>45</v>
      </c>
    </row>
    <row r="318" spans="1:7" x14ac:dyDescent="0.25">
      <c r="A318" t="s">
        <v>866</v>
      </c>
      <c r="B318" t="s">
        <v>865</v>
      </c>
      <c r="C318" t="s">
        <v>40</v>
      </c>
      <c r="E318">
        <v>70</v>
      </c>
      <c r="F318">
        <v>85</v>
      </c>
      <c r="G318">
        <v>65</v>
      </c>
    </row>
    <row r="319" spans="1:7" x14ac:dyDescent="0.25">
      <c r="A319" t="s">
        <v>868</v>
      </c>
      <c r="B319" t="s">
        <v>867</v>
      </c>
      <c r="C319" t="s">
        <v>40</v>
      </c>
      <c r="D319" t="s">
        <v>61</v>
      </c>
      <c r="E319">
        <v>70</v>
      </c>
      <c r="F319">
        <v>110</v>
      </c>
      <c r="G319">
        <v>75</v>
      </c>
    </row>
    <row r="320" spans="1:7" x14ac:dyDescent="0.25">
      <c r="A320" t="s">
        <v>870</v>
      </c>
      <c r="B320" t="s">
        <v>869</v>
      </c>
      <c r="C320" t="s">
        <v>57</v>
      </c>
      <c r="E320">
        <v>45</v>
      </c>
      <c r="F320">
        <v>60</v>
      </c>
      <c r="G320">
        <v>40</v>
      </c>
    </row>
    <row r="321" spans="1:7" x14ac:dyDescent="0.25">
      <c r="A321" t="s">
        <v>872</v>
      </c>
      <c r="B321" t="s">
        <v>871</v>
      </c>
      <c r="C321" t="s">
        <v>57</v>
      </c>
      <c r="D321" t="s">
        <v>279</v>
      </c>
      <c r="E321">
        <v>60</v>
      </c>
      <c r="F321">
        <v>85</v>
      </c>
      <c r="G321">
        <v>60</v>
      </c>
    </row>
    <row r="322" spans="1:7" x14ac:dyDescent="0.25">
      <c r="A322" t="s">
        <v>874</v>
      </c>
      <c r="B322" t="s">
        <v>873</v>
      </c>
      <c r="C322" t="s">
        <v>57</v>
      </c>
      <c r="D322" t="s">
        <v>279</v>
      </c>
      <c r="E322">
        <v>80</v>
      </c>
      <c r="F322">
        <v>120</v>
      </c>
      <c r="G322">
        <v>70</v>
      </c>
    </row>
    <row r="323" spans="1:7" x14ac:dyDescent="0.25">
      <c r="A323" t="s">
        <v>876</v>
      </c>
      <c r="B323" t="s">
        <v>875</v>
      </c>
      <c r="C323" t="s">
        <v>57</v>
      </c>
      <c r="D323" t="s">
        <v>279</v>
      </c>
      <c r="E323">
        <v>80</v>
      </c>
      <c r="F323">
        <v>160</v>
      </c>
      <c r="G323">
        <v>80</v>
      </c>
    </row>
    <row r="324" spans="1:7" x14ac:dyDescent="0.25">
      <c r="A324" t="s">
        <v>878</v>
      </c>
      <c r="B324" t="s">
        <v>877</v>
      </c>
      <c r="C324" t="s">
        <v>76</v>
      </c>
      <c r="E324">
        <v>50</v>
      </c>
      <c r="F324">
        <v>70</v>
      </c>
      <c r="G324">
        <v>50</v>
      </c>
    </row>
    <row r="325" spans="1:7" x14ac:dyDescent="0.25">
      <c r="A325" t="s">
        <v>880</v>
      </c>
      <c r="B325" t="s">
        <v>879</v>
      </c>
      <c r="C325" t="s">
        <v>76</v>
      </c>
      <c r="D325" t="s">
        <v>132</v>
      </c>
      <c r="E325">
        <v>70</v>
      </c>
      <c r="F325">
        <v>85</v>
      </c>
      <c r="G325">
        <v>70</v>
      </c>
    </row>
    <row r="326" spans="1:7" x14ac:dyDescent="0.25">
      <c r="A326" t="s">
        <v>882</v>
      </c>
      <c r="B326" t="s">
        <v>881</v>
      </c>
      <c r="C326" t="s">
        <v>76</v>
      </c>
      <c r="D326" t="s">
        <v>132</v>
      </c>
      <c r="E326">
        <v>100</v>
      </c>
      <c r="F326">
        <v>110</v>
      </c>
      <c r="G326">
        <v>90</v>
      </c>
    </row>
    <row r="327" spans="1:7" x14ac:dyDescent="0.25">
      <c r="A327" t="s">
        <v>884</v>
      </c>
      <c r="B327" t="s">
        <v>883</v>
      </c>
      <c r="C327" t="s">
        <v>76</v>
      </c>
      <c r="D327" t="s">
        <v>132</v>
      </c>
      <c r="E327">
        <v>100</v>
      </c>
      <c r="F327">
        <v>150</v>
      </c>
      <c r="G327">
        <v>110</v>
      </c>
    </row>
    <row r="328" spans="1:7" x14ac:dyDescent="0.25">
      <c r="A328" t="s">
        <v>886</v>
      </c>
      <c r="B328" t="s">
        <v>885</v>
      </c>
      <c r="C328" t="s">
        <v>135</v>
      </c>
      <c r="E328">
        <v>35</v>
      </c>
      <c r="F328">
        <v>55</v>
      </c>
      <c r="G328">
        <v>35</v>
      </c>
    </row>
    <row r="329" spans="1:7" x14ac:dyDescent="0.25">
      <c r="A329" t="s">
        <v>888</v>
      </c>
      <c r="B329" t="s">
        <v>887</v>
      </c>
      <c r="C329" t="s">
        <v>135</v>
      </c>
      <c r="E329">
        <v>70</v>
      </c>
      <c r="F329">
        <v>90</v>
      </c>
      <c r="G329">
        <v>70</v>
      </c>
    </row>
    <row r="330" spans="1:7" x14ac:dyDescent="0.25">
      <c r="A330" t="s">
        <v>890</v>
      </c>
      <c r="B330" t="s">
        <v>889</v>
      </c>
      <c r="C330" t="s">
        <v>116</v>
      </c>
      <c r="E330">
        <v>38</v>
      </c>
      <c r="F330">
        <v>30</v>
      </c>
      <c r="G330">
        <v>41</v>
      </c>
    </row>
    <row r="331" spans="1:7" x14ac:dyDescent="0.25">
      <c r="A331" t="s">
        <v>892</v>
      </c>
      <c r="B331" t="s">
        <v>891</v>
      </c>
      <c r="C331" t="s">
        <v>135</v>
      </c>
      <c r="D331" t="s">
        <v>116</v>
      </c>
      <c r="E331">
        <v>38</v>
      </c>
      <c r="F331">
        <v>30</v>
      </c>
      <c r="G331">
        <v>41</v>
      </c>
    </row>
    <row r="332" spans="1:7" x14ac:dyDescent="0.25">
      <c r="A332" t="s">
        <v>894</v>
      </c>
      <c r="B332" t="s">
        <v>893</v>
      </c>
      <c r="C332" t="s">
        <v>116</v>
      </c>
      <c r="E332">
        <v>78</v>
      </c>
      <c r="F332">
        <v>70</v>
      </c>
      <c r="G332">
        <v>61</v>
      </c>
    </row>
    <row r="333" spans="1:7" x14ac:dyDescent="0.25">
      <c r="A333" t="s">
        <v>896</v>
      </c>
      <c r="B333" t="s">
        <v>895</v>
      </c>
      <c r="C333" t="s">
        <v>135</v>
      </c>
      <c r="D333" t="s">
        <v>116</v>
      </c>
      <c r="E333">
        <v>78</v>
      </c>
      <c r="F333">
        <v>70</v>
      </c>
      <c r="G333">
        <v>61</v>
      </c>
    </row>
    <row r="334" spans="1:7" x14ac:dyDescent="0.25">
      <c r="A334" t="s">
        <v>898</v>
      </c>
      <c r="B334" t="s">
        <v>897</v>
      </c>
      <c r="C334" t="s">
        <v>90</v>
      </c>
      <c r="E334">
        <v>45</v>
      </c>
      <c r="F334">
        <v>45</v>
      </c>
      <c r="G334">
        <v>35</v>
      </c>
    </row>
    <row r="335" spans="1:7" x14ac:dyDescent="0.25">
      <c r="A335" t="s">
        <v>900</v>
      </c>
      <c r="B335" t="s">
        <v>899</v>
      </c>
      <c r="C335" t="s">
        <v>90</v>
      </c>
      <c r="E335">
        <v>50</v>
      </c>
      <c r="F335">
        <v>35</v>
      </c>
      <c r="G335">
        <v>55</v>
      </c>
    </row>
    <row r="336" spans="1:7" x14ac:dyDescent="0.25">
      <c r="A336" t="s">
        <v>902</v>
      </c>
      <c r="B336" t="s">
        <v>901</v>
      </c>
      <c r="C336" t="s">
        <v>90</v>
      </c>
      <c r="D336" t="s">
        <v>66</v>
      </c>
      <c r="E336">
        <v>60</v>
      </c>
      <c r="F336">
        <v>70</v>
      </c>
      <c r="G336">
        <v>50</v>
      </c>
    </row>
    <row r="337" spans="1:7" x14ac:dyDescent="0.25">
      <c r="A337" t="s">
        <v>904</v>
      </c>
      <c r="B337" t="s">
        <v>903</v>
      </c>
      <c r="C337" t="s">
        <v>90</v>
      </c>
      <c r="E337">
        <v>50</v>
      </c>
      <c r="F337">
        <v>35</v>
      </c>
      <c r="G337">
        <v>55</v>
      </c>
    </row>
    <row r="338" spans="1:7" x14ac:dyDescent="0.25">
      <c r="A338" t="s">
        <v>906</v>
      </c>
      <c r="B338" t="s">
        <v>905</v>
      </c>
      <c r="C338" t="s">
        <v>90</v>
      </c>
      <c r="D338" t="s">
        <v>41</v>
      </c>
      <c r="E338">
        <v>60</v>
      </c>
      <c r="F338">
        <v>50</v>
      </c>
      <c r="G338">
        <v>70</v>
      </c>
    </row>
    <row r="339" spans="1:7" x14ac:dyDescent="0.25">
      <c r="A339" t="s">
        <v>908</v>
      </c>
      <c r="B339" t="s">
        <v>907</v>
      </c>
      <c r="C339" t="s">
        <v>76</v>
      </c>
      <c r="D339" t="s">
        <v>40</v>
      </c>
      <c r="E339">
        <v>40</v>
      </c>
      <c r="F339">
        <v>30</v>
      </c>
      <c r="G339">
        <v>30</v>
      </c>
    </row>
    <row r="340" spans="1:7" x14ac:dyDescent="0.25">
      <c r="A340" t="s">
        <v>910</v>
      </c>
      <c r="B340" t="s">
        <v>909</v>
      </c>
      <c r="C340" t="s">
        <v>76</v>
      </c>
      <c r="D340" t="s">
        <v>40</v>
      </c>
      <c r="E340">
        <v>60</v>
      </c>
      <c r="F340">
        <v>50</v>
      </c>
      <c r="G340">
        <v>50</v>
      </c>
    </row>
    <row r="341" spans="1:7" x14ac:dyDescent="0.25">
      <c r="A341" t="s">
        <v>912</v>
      </c>
      <c r="B341" t="s">
        <v>911</v>
      </c>
      <c r="C341" t="s">
        <v>76</v>
      </c>
      <c r="D341" t="s">
        <v>40</v>
      </c>
      <c r="E341">
        <v>80</v>
      </c>
      <c r="F341">
        <v>70</v>
      </c>
      <c r="G341">
        <v>70</v>
      </c>
    </row>
    <row r="342" spans="1:7" x14ac:dyDescent="0.25">
      <c r="A342" t="s">
        <v>914</v>
      </c>
      <c r="B342" t="s">
        <v>913</v>
      </c>
      <c r="C342" t="s">
        <v>40</v>
      </c>
      <c r="E342">
        <v>40</v>
      </c>
      <c r="F342">
        <v>40</v>
      </c>
      <c r="G342">
        <v>50</v>
      </c>
    </row>
    <row r="343" spans="1:7" x14ac:dyDescent="0.25">
      <c r="A343" t="s">
        <v>916</v>
      </c>
      <c r="B343" t="s">
        <v>915</v>
      </c>
      <c r="C343" t="s">
        <v>40</v>
      </c>
      <c r="D343" t="s">
        <v>135</v>
      </c>
      <c r="E343">
        <v>70</v>
      </c>
      <c r="F343">
        <v>70</v>
      </c>
      <c r="G343">
        <v>40</v>
      </c>
    </row>
    <row r="344" spans="1:7" x14ac:dyDescent="0.25">
      <c r="A344" t="s">
        <v>918</v>
      </c>
      <c r="B344" t="s">
        <v>917</v>
      </c>
      <c r="C344" t="s">
        <v>40</v>
      </c>
      <c r="D344" t="s">
        <v>135</v>
      </c>
      <c r="E344">
        <v>90</v>
      </c>
      <c r="F344">
        <v>100</v>
      </c>
      <c r="G344">
        <v>60</v>
      </c>
    </row>
    <row r="345" spans="1:7" x14ac:dyDescent="0.25">
      <c r="A345" t="s">
        <v>920</v>
      </c>
      <c r="B345" t="s">
        <v>919</v>
      </c>
      <c r="C345" t="s">
        <v>116</v>
      </c>
      <c r="D345" t="s">
        <v>66</v>
      </c>
      <c r="E345">
        <v>40</v>
      </c>
      <c r="F345">
        <v>55</v>
      </c>
      <c r="G345">
        <v>30</v>
      </c>
    </row>
    <row r="346" spans="1:7" x14ac:dyDescent="0.25">
      <c r="A346" t="s">
        <v>922</v>
      </c>
      <c r="B346" t="s">
        <v>921</v>
      </c>
      <c r="C346" t="s">
        <v>116</v>
      </c>
      <c r="D346" t="s">
        <v>66</v>
      </c>
      <c r="E346">
        <v>60</v>
      </c>
      <c r="F346">
        <v>85</v>
      </c>
      <c r="G346">
        <v>60</v>
      </c>
    </row>
    <row r="347" spans="1:7" x14ac:dyDescent="0.25">
      <c r="A347" t="s">
        <v>924</v>
      </c>
      <c r="B347" t="s">
        <v>923</v>
      </c>
      <c r="C347" t="s">
        <v>76</v>
      </c>
      <c r="D347" t="s">
        <v>66</v>
      </c>
      <c r="E347">
        <v>40</v>
      </c>
      <c r="F347">
        <v>30</v>
      </c>
      <c r="G347">
        <v>30</v>
      </c>
    </row>
    <row r="348" spans="1:7" x14ac:dyDescent="0.25">
      <c r="A348" t="s">
        <v>926</v>
      </c>
      <c r="B348" t="s">
        <v>925</v>
      </c>
      <c r="C348" t="s">
        <v>76</v>
      </c>
      <c r="D348" t="s">
        <v>66</v>
      </c>
      <c r="E348">
        <v>60</v>
      </c>
      <c r="F348">
        <v>50</v>
      </c>
      <c r="G348">
        <v>100</v>
      </c>
    </row>
    <row r="349" spans="1:7" x14ac:dyDescent="0.25">
      <c r="A349" t="s">
        <v>928</v>
      </c>
      <c r="B349" t="s">
        <v>927</v>
      </c>
      <c r="C349" t="s">
        <v>162</v>
      </c>
      <c r="D349" t="s">
        <v>157</v>
      </c>
      <c r="E349">
        <v>28</v>
      </c>
      <c r="F349">
        <v>25</v>
      </c>
      <c r="G349">
        <v>25</v>
      </c>
    </row>
    <row r="350" spans="1:7" x14ac:dyDescent="0.25">
      <c r="A350" t="s">
        <v>930</v>
      </c>
      <c r="B350" t="s">
        <v>929</v>
      </c>
      <c r="C350" t="s">
        <v>162</v>
      </c>
      <c r="D350" t="s">
        <v>157</v>
      </c>
      <c r="E350">
        <v>38</v>
      </c>
      <c r="F350">
        <v>35</v>
      </c>
      <c r="G350">
        <v>35</v>
      </c>
    </row>
    <row r="351" spans="1:7" x14ac:dyDescent="0.25">
      <c r="A351" t="s">
        <v>932</v>
      </c>
      <c r="B351" t="s">
        <v>931</v>
      </c>
      <c r="C351" t="s">
        <v>162</v>
      </c>
      <c r="D351" t="s">
        <v>157</v>
      </c>
      <c r="E351">
        <v>68</v>
      </c>
      <c r="F351">
        <v>65</v>
      </c>
      <c r="G351">
        <v>65</v>
      </c>
    </row>
    <row r="352" spans="1:7" x14ac:dyDescent="0.25">
      <c r="A352" t="s">
        <v>934</v>
      </c>
      <c r="B352" t="s">
        <v>933</v>
      </c>
      <c r="C352" t="s">
        <v>162</v>
      </c>
      <c r="D352" t="s">
        <v>157</v>
      </c>
      <c r="E352">
        <v>68</v>
      </c>
      <c r="F352">
        <v>85</v>
      </c>
      <c r="G352">
        <v>65</v>
      </c>
    </row>
    <row r="353" spans="1:7" x14ac:dyDescent="0.25">
      <c r="A353" t="s">
        <v>937</v>
      </c>
      <c r="B353" t="s">
        <v>936</v>
      </c>
      <c r="C353" t="s">
        <v>90</v>
      </c>
      <c r="D353" t="s">
        <v>76</v>
      </c>
      <c r="E353">
        <v>40</v>
      </c>
      <c r="F353">
        <v>30</v>
      </c>
      <c r="G353">
        <v>32</v>
      </c>
    </row>
    <row r="354" spans="1:7" x14ac:dyDescent="0.25">
      <c r="A354" t="s">
        <v>939</v>
      </c>
      <c r="B354" t="s">
        <v>938</v>
      </c>
      <c r="C354" t="s">
        <v>90</v>
      </c>
      <c r="D354" t="s">
        <v>66</v>
      </c>
      <c r="E354">
        <v>70</v>
      </c>
      <c r="F354">
        <v>60</v>
      </c>
      <c r="G354">
        <v>62</v>
      </c>
    </row>
    <row r="355" spans="1:7" x14ac:dyDescent="0.25">
      <c r="A355" t="s">
        <v>941</v>
      </c>
      <c r="B355" t="s">
        <v>940</v>
      </c>
      <c r="C355" t="s">
        <v>40</v>
      </c>
      <c r="E355">
        <v>60</v>
      </c>
      <c r="F355">
        <v>40</v>
      </c>
      <c r="G355">
        <v>60</v>
      </c>
    </row>
    <row r="356" spans="1:7" x14ac:dyDescent="0.25">
      <c r="A356" t="s">
        <v>944</v>
      </c>
      <c r="B356" t="s">
        <v>943</v>
      </c>
      <c r="C356" t="s">
        <v>40</v>
      </c>
      <c r="D356" t="s">
        <v>279</v>
      </c>
      <c r="E356">
        <v>60</v>
      </c>
      <c r="F356">
        <v>130</v>
      </c>
      <c r="G356">
        <v>80</v>
      </c>
    </row>
    <row r="357" spans="1:7" x14ac:dyDescent="0.25">
      <c r="A357" t="s">
        <v>946</v>
      </c>
      <c r="B357" t="s">
        <v>945</v>
      </c>
      <c r="C357" t="s">
        <v>116</v>
      </c>
      <c r="E357">
        <v>60</v>
      </c>
      <c r="F357">
        <v>60</v>
      </c>
      <c r="G357">
        <v>60</v>
      </c>
    </row>
    <row r="358" spans="1:7" x14ac:dyDescent="0.25">
      <c r="A358" t="s">
        <v>949</v>
      </c>
      <c r="B358" t="s">
        <v>948</v>
      </c>
      <c r="C358" t="s">
        <v>116</v>
      </c>
      <c r="E358">
        <v>80</v>
      </c>
      <c r="F358">
        <v>80</v>
      </c>
      <c r="G358">
        <v>80</v>
      </c>
    </row>
    <row r="359" spans="1:7" x14ac:dyDescent="0.25">
      <c r="A359" t="s">
        <v>951</v>
      </c>
      <c r="B359" t="s">
        <v>950</v>
      </c>
      <c r="C359" t="s">
        <v>116</v>
      </c>
      <c r="E359">
        <v>150</v>
      </c>
      <c r="F359">
        <v>160</v>
      </c>
      <c r="G359">
        <v>100</v>
      </c>
    </row>
    <row r="360" spans="1:7" x14ac:dyDescent="0.25">
      <c r="A360" t="s">
        <v>953</v>
      </c>
      <c r="B360" t="s">
        <v>952</v>
      </c>
      <c r="C360" t="s">
        <v>90</v>
      </c>
      <c r="D360" t="s">
        <v>132</v>
      </c>
      <c r="E360">
        <v>31</v>
      </c>
      <c r="F360">
        <v>45</v>
      </c>
      <c r="G360">
        <v>90</v>
      </c>
    </row>
    <row r="361" spans="1:7" x14ac:dyDescent="0.25">
      <c r="A361" t="s">
        <v>955</v>
      </c>
      <c r="B361" t="s">
        <v>954</v>
      </c>
      <c r="C361" t="s">
        <v>90</v>
      </c>
      <c r="D361" t="s">
        <v>66</v>
      </c>
      <c r="E361">
        <v>61</v>
      </c>
      <c r="F361">
        <v>90</v>
      </c>
      <c r="G361">
        <v>45</v>
      </c>
    </row>
    <row r="362" spans="1:7" x14ac:dyDescent="0.25">
      <c r="A362" t="s">
        <v>957</v>
      </c>
      <c r="B362" t="s">
        <v>956</v>
      </c>
      <c r="C362" t="s">
        <v>90</v>
      </c>
      <c r="D362" t="s">
        <v>419</v>
      </c>
      <c r="E362">
        <v>1</v>
      </c>
      <c r="F362">
        <v>90</v>
      </c>
      <c r="G362">
        <v>45</v>
      </c>
    </row>
    <row r="363" spans="1:7" x14ac:dyDescent="0.25">
      <c r="A363" t="s">
        <v>960</v>
      </c>
      <c r="B363" t="s">
        <v>959</v>
      </c>
      <c r="C363" t="s">
        <v>116</v>
      </c>
      <c r="E363">
        <v>64</v>
      </c>
      <c r="F363">
        <v>51</v>
      </c>
      <c r="G363">
        <v>23</v>
      </c>
    </row>
    <row r="364" spans="1:7" x14ac:dyDescent="0.25">
      <c r="A364" t="s">
        <v>962</v>
      </c>
      <c r="B364" t="s">
        <v>961</v>
      </c>
      <c r="C364" t="s">
        <v>116</v>
      </c>
      <c r="E364">
        <v>84</v>
      </c>
      <c r="F364">
        <v>71</v>
      </c>
      <c r="G364">
        <v>43</v>
      </c>
    </row>
    <row r="365" spans="1:7" x14ac:dyDescent="0.25">
      <c r="A365" t="s">
        <v>964</v>
      </c>
      <c r="B365" t="s">
        <v>963</v>
      </c>
      <c r="C365" t="s">
        <v>116</v>
      </c>
      <c r="E365">
        <v>104</v>
      </c>
      <c r="F365">
        <v>91</v>
      </c>
      <c r="G365">
        <v>63</v>
      </c>
    </row>
    <row r="366" spans="1:7" x14ac:dyDescent="0.25">
      <c r="A366" t="s">
        <v>966</v>
      </c>
      <c r="B366" t="s">
        <v>965</v>
      </c>
      <c r="C366" t="s">
        <v>279</v>
      </c>
      <c r="E366">
        <v>72</v>
      </c>
      <c r="F366">
        <v>60</v>
      </c>
      <c r="G366">
        <v>30</v>
      </c>
    </row>
    <row r="367" spans="1:7" x14ac:dyDescent="0.25">
      <c r="A367" t="s">
        <v>968</v>
      </c>
      <c r="B367" t="s">
        <v>967</v>
      </c>
      <c r="C367" t="s">
        <v>279</v>
      </c>
      <c r="E367">
        <v>144</v>
      </c>
      <c r="F367">
        <v>120</v>
      </c>
      <c r="G367">
        <v>60</v>
      </c>
    </row>
    <row r="368" spans="1:7" x14ac:dyDescent="0.25">
      <c r="A368" t="s">
        <v>970</v>
      </c>
      <c r="B368" t="s">
        <v>969</v>
      </c>
      <c r="C368" t="s">
        <v>116</v>
      </c>
      <c r="D368" t="s">
        <v>157</v>
      </c>
      <c r="E368">
        <v>50</v>
      </c>
      <c r="F368">
        <v>20</v>
      </c>
      <c r="G368">
        <v>40</v>
      </c>
    </row>
    <row r="369" spans="1:7" x14ac:dyDescent="0.25">
      <c r="A369" t="s">
        <v>972</v>
      </c>
      <c r="B369" t="s">
        <v>971</v>
      </c>
      <c r="C369" t="s">
        <v>290</v>
      </c>
      <c r="E369">
        <v>30</v>
      </c>
      <c r="F369">
        <v>45</v>
      </c>
      <c r="G369">
        <v>135</v>
      </c>
    </row>
    <row r="370" spans="1:7" x14ac:dyDescent="0.25">
      <c r="A370" t="s">
        <v>974</v>
      </c>
      <c r="B370" t="s">
        <v>973</v>
      </c>
      <c r="C370" t="s">
        <v>116</v>
      </c>
      <c r="E370">
        <v>50</v>
      </c>
      <c r="F370">
        <v>45</v>
      </c>
      <c r="G370">
        <v>45</v>
      </c>
    </row>
    <row r="371" spans="1:7" x14ac:dyDescent="0.25">
      <c r="A371" t="s">
        <v>977</v>
      </c>
      <c r="B371" t="s">
        <v>976</v>
      </c>
      <c r="C371" t="s">
        <v>116</v>
      </c>
      <c r="E371">
        <v>70</v>
      </c>
      <c r="F371">
        <v>65</v>
      </c>
      <c r="G371">
        <v>65</v>
      </c>
    </row>
    <row r="372" spans="1:7" x14ac:dyDescent="0.25">
      <c r="A372" t="s">
        <v>979</v>
      </c>
      <c r="B372" t="s">
        <v>978</v>
      </c>
      <c r="C372" t="s">
        <v>135</v>
      </c>
      <c r="D372" t="s">
        <v>419</v>
      </c>
      <c r="E372">
        <v>50</v>
      </c>
      <c r="F372">
        <v>75</v>
      </c>
      <c r="G372">
        <v>75</v>
      </c>
    </row>
    <row r="373" spans="1:7" x14ac:dyDescent="0.25">
      <c r="A373" t="s">
        <v>982</v>
      </c>
      <c r="B373" t="s">
        <v>981</v>
      </c>
      <c r="C373" t="s">
        <v>135</v>
      </c>
      <c r="D373" t="s">
        <v>419</v>
      </c>
      <c r="E373">
        <v>50</v>
      </c>
      <c r="F373">
        <v>85</v>
      </c>
      <c r="G373">
        <v>125</v>
      </c>
    </row>
    <row r="374" spans="1:7" x14ac:dyDescent="0.25">
      <c r="A374" t="s">
        <v>984</v>
      </c>
      <c r="B374" t="s">
        <v>983</v>
      </c>
      <c r="C374" t="s">
        <v>171</v>
      </c>
      <c r="D374" t="s">
        <v>157</v>
      </c>
      <c r="E374">
        <v>50</v>
      </c>
      <c r="F374">
        <v>85</v>
      </c>
      <c r="G374">
        <v>85</v>
      </c>
    </row>
    <row r="375" spans="1:7" x14ac:dyDescent="0.25">
      <c r="A375" t="s">
        <v>986</v>
      </c>
      <c r="B375" t="s">
        <v>985</v>
      </c>
      <c r="C375" t="s">
        <v>171</v>
      </c>
      <c r="D375" t="s">
        <v>157</v>
      </c>
      <c r="E375">
        <v>50</v>
      </c>
      <c r="F375">
        <v>105</v>
      </c>
      <c r="G375">
        <v>125</v>
      </c>
    </row>
    <row r="376" spans="1:7" x14ac:dyDescent="0.25">
      <c r="A376" t="s">
        <v>988</v>
      </c>
      <c r="B376" t="s">
        <v>987</v>
      </c>
      <c r="C376" t="s">
        <v>171</v>
      </c>
      <c r="D376" t="s">
        <v>290</v>
      </c>
      <c r="E376">
        <v>50</v>
      </c>
      <c r="F376">
        <v>70</v>
      </c>
      <c r="G376">
        <v>100</v>
      </c>
    </row>
    <row r="377" spans="1:7" x14ac:dyDescent="0.25">
      <c r="A377" t="s">
        <v>991</v>
      </c>
      <c r="B377" t="s">
        <v>990</v>
      </c>
      <c r="C377" t="s">
        <v>171</v>
      </c>
      <c r="D377" t="s">
        <v>290</v>
      </c>
      <c r="E377">
        <v>60</v>
      </c>
      <c r="F377">
        <v>90</v>
      </c>
      <c r="G377">
        <v>140</v>
      </c>
    </row>
    <row r="378" spans="1:7" x14ac:dyDescent="0.25">
      <c r="A378" t="s">
        <v>993</v>
      </c>
      <c r="B378" t="s">
        <v>992</v>
      </c>
      <c r="C378" t="s">
        <v>171</v>
      </c>
      <c r="D378" t="s">
        <v>290</v>
      </c>
      <c r="E378">
        <v>70</v>
      </c>
      <c r="F378">
        <v>110</v>
      </c>
      <c r="G378">
        <v>180</v>
      </c>
    </row>
    <row r="379" spans="1:7" x14ac:dyDescent="0.25">
      <c r="A379" t="s">
        <v>995</v>
      </c>
      <c r="B379" t="s">
        <v>994</v>
      </c>
      <c r="C379" t="s">
        <v>171</v>
      </c>
      <c r="E379">
        <v>70</v>
      </c>
      <c r="F379">
        <v>140</v>
      </c>
      <c r="G379">
        <v>230</v>
      </c>
    </row>
    <row r="380" spans="1:7" x14ac:dyDescent="0.25">
      <c r="A380" t="s">
        <v>997</v>
      </c>
      <c r="B380" t="s">
        <v>996</v>
      </c>
      <c r="C380" t="s">
        <v>279</v>
      </c>
      <c r="D380" t="s">
        <v>162</v>
      </c>
      <c r="E380">
        <v>30</v>
      </c>
      <c r="F380">
        <v>40</v>
      </c>
      <c r="G380">
        <v>55</v>
      </c>
    </row>
    <row r="381" spans="1:7" x14ac:dyDescent="0.25">
      <c r="A381" t="s">
        <v>1000</v>
      </c>
      <c r="B381" t="s">
        <v>999</v>
      </c>
      <c r="C381" t="s">
        <v>279</v>
      </c>
      <c r="D381" t="s">
        <v>162</v>
      </c>
      <c r="E381">
        <v>60</v>
      </c>
      <c r="F381">
        <v>60</v>
      </c>
      <c r="G381">
        <v>75</v>
      </c>
    </row>
    <row r="382" spans="1:7" x14ac:dyDescent="0.25">
      <c r="A382" t="s">
        <v>1002</v>
      </c>
      <c r="B382" t="s">
        <v>1001</v>
      </c>
      <c r="C382" t="s">
        <v>279</v>
      </c>
      <c r="D382" t="s">
        <v>162</v>
      </c>
      <c r="E382">
        <v>60</v>
      </c>
      <c r="F382">
        <v>100</v>
      </c>
      <c r="G382">
        <v>85</v>
      </c>
    </row>
    <row r="383" spans="1:7" x14ac:dyDescent="0.25">
      <c r="A383" t="s">
        <v>1004</v>
      </c>
      <c r="B383" t="s">
        <v>1003</v>
      </c>
      <c r="C383" t="s">
        <v>154</v>
      </c>
      <c r="E383">
        <v>40</v>
      </c>
      <c r="F383">
        <v>45</v>
      </c>
      <c r="G383">
        <v>40</v>
      </c>
    </row>
    <row r="384" spans="1:7" x14ac:dyDescent="0.25">
      <c r="A384" t="s">
        <v>1007</v>
      </c>
      <c r="B384" t="s">
        <v>1006</v>
      </c>
      <c r="C384" t="s">
        <v>154</v>
      </c>
      <c r="E384">
        <v>70</v>
      </c>
      <c r="F384">
        <v>75</v>
      </c>
      <c r="G384">
        <v>60</v>
      </c>
    </row>
    <row r="385" spans="1:7" x14ac:dyDescent="0.25">
      <c r="A385" t="s">
        <v>1009</v>
      </c>
      <c r="B385" t="s">
        <v>1008</v>
      </c>
      <c r="C385" t="s">
        <v>154</v>
      </c>
      <c r="E385">
        <v>70</v>
      </c>
      <c r="F385">
        <v>75</v>
      </c>
      <c r="G385">
        <v>80</v>
      </c>
    </row>
    <row r="386" spans="1:7" x14ac:dyDescent="0.25">
      <c r="A386" t="s">
        <v>1011</v>
      </c>
      <c r="B386" t="s">
        <v>1010</v>
      </c>
      <c r="C386" t="s">
        <v>154</v>
      </c>
      <c r="E386">
        <v>60</v>
      </c>
      <c r="F386">
        <v>50</v>
      </c>
      <c r="G386">
        <v>40</v>
      </c>
    </row>
    <row r="387" spans="1:7" x14ac:dyDescent="0.25">
      <c r="A387" t="s">
        <v>1013</v>
      </c>
      <c r="B387" t="s">
        <v>1012</v>
      </c>
      <c r="C387" t="s">
        <v>154</v>
      </c>
      <c r="E387">
        <v>60</v>
      </c>
      <c r="F387">
        <v>40</v>
      </c>
      <c r="G387">
        <v>50</v>
      </c>
    </row>
    <row r="388" spans="1:7" x14ac:dyDescent="0.25">
      <c r="A388" t="s">
        <v>1015</v>
      </c>
      <c r="B388" t="s">
        <v>1014</v>
      </c>
      <c r="C388" t="s">
        <v>90</v>
      </c>
      <c r="E388">
        <v>65</v>
      </c>
      <c r="F388">
        <v>73</v>
      </c>
      <c r="G388">
        <v>75</v>
      </c>
    </row>
    <row r="389" spans="1:7" x14ac:dyDescent="0.25">
      <c r="A389" t="s">
        <v>1017</v>
      </c>
      <c r="B389" t="s">
        <v>1016</v>
      </c>
      <c r="C389" t="s">
        <v>90</v>
      </c>
      <c r="E389">
        <v>65</v>
      </c>
      <c r="F389">
        <v>47</v>
      </c>
      <c r="G389">
        <v>75</v>
      </c>
    </row>
    <row r="390" spans="1:7" x14ac:dyDescent="0.25">
      <c r="A390" t="s">
        <v>1019</v>
      </c>
      <c r="B390" t="s">
        <v>1018</v>
      </c>
      <c r="C390" t="s">
        <v>40</v>
      </c>
      <c r="D390" t="s">
        <v>41</v>
      </c>
      <c r="E390">
        <v>50</v>
      </c>
      <c r="F390">
        <v>60</v>
      </c>
      <c r="G390">
        <v>45</v>
      </c>
    </row>
    <row r="391" spans="1:7" x14ac:dyDescent="0.25">
      <c r="A391" t="s">
        <v>1021</v>
      </c>
      <c r="B391" t="s">
        <v>1020</v>
      </c>
      <c r="C391" t="s">
        <v>41</v>
      </c>
      <c r="E391">
        <v>70</v>
      </c>
      <c r="F391">
        <v>43</v>
      </c>
      <c r="G391">
        <v>53</v>
      </c>
    </row>
    <row r="392" spans="1:7" x14ac:dyDescent="0.25">
      <c r="A392" t="s">
        <v>1023</v>
      </c>
      <c r="B392" t="s">
        <v>1022</v>
      </c>
      <c r="C392" t="s">
        <v>41</v>
      </c>
      <c r="E392">
        <v>100</v>
      </c>
      <c r="F392">
        <v>73</v>
      </c>
      <c r="G392">
        <v>83</v>
      </c>
    </row>
    <row r="393" spans="1:7" x14ac:dyDescent="0.25">
      <c r="A393" t="s">
        <v>1025</v>
      </c>
      <c r="B393" t="s">
        <v>1024</v>
      </c>
      <c r="C393" t="s">
        <v>76</v>
      </c>
      <c r="D393" t="s">
        <v>135</v>
      </c>
      <c r="E393">
        <v>45</v>
      </c>
      <c r="F393">
        <v>90</v>
      </c>
      <c r="G393">
        <v>20</v>
      </c>
    </row>
    <row r="394" spans="1:7" x14ac:dyDescent="0.25">
      <c r="A394" t="s">
        <v>1028</v>
      </c>
      <c r="B394" t="s">
        <v>1027</v>
      </c>
      <c r="C394" t="s">
        <v>76</v>
      </c>
      <c r="D394" t="s">
        <v>135</v>
      </c>
      <c r="E394">
        <v>70</v>
      </c>
      <c r="F394">
        <v>120</v>
      </c>
      <c r="G394">
        <v>40</v>
      </c>
    </row>
    <row r="395" spans="1:7" x14ac:dyDescent="0.25">
      <c r="A395" t="s">
        <v>1030</v>
      </c>
      <c r="B395" t="s">
        <v>1029</v>
      </c>
      <c r="C395" t="s">
        <v>76</v>
      </c>
      <c r="D395" t="s">
        <v>135</v>
      </c>
      <c r="E395">
        <v>70</v>
      </c>
      <c r="F395">
        <v>140</v>
      </c>
      <c r="G395">
        <v>70</v>
      </c>
    </row>
    <row r="396" spans="1:7" x14ac:dyDescent="0.25">
      <c r="A396" t="s">
        <v>1033</v>
      </c>
      <c r="B396" t="s">
        <v>1032</v>
      </c>
      <c r="C396" t="s">
        <v>76</v>
      </c>
      <c r="E396">
        <v>130</v>
      </c>
      <c r="F396">
        <v>70</v>
      </c>
      <c r="G396">
        <v>35</v>
      </c>
    </row>
    <row r="397" spans="1:7" x14ac:dyDescent="0.25">
      <c r="A397" t="s">
        <v>1035</v>
      </c>
      <c r="B397" t="s">
        <v>1034</v>
      </c>
      <c r="C397" t="s">
        <v>76</v>
      </c>
      <c r="E397">
        <v>170</v>
      </c>
      <c r="F397">
        <v>90</v>
      </c>
      <c r="G397">
        <v>45</v>
      </c>
    </row>
    <row r="398" spans="1:7" x14ac:dyDescent="0.25">
      <c r="A398" t="s">
        <v>1037</v>
      </c>
      <c r="B398" t="s">
        <v>1036</v>
      </c>
      <c r="C398" t="s">
        <v>57</v>
      </c>
      <c r="D398" t="s">
        <v>132</v>
      </c>
      <c r="E398">
        <v>60</v>
      </c>
      <c r="F398">
        <v>60</v>
      </c>
      <c r="G398">
        <v>40</v>
      </c>
    </row>
    <row r="399" spans="1:7" x14ac:dyDescent="0.25">
      <c r="A399" t="s">
        <v>1040</v>
      </c>
      <c r="B399" t="s">
        <v>1039</v>
      </c>
      <c r="C399" t="s">
        <v>57</v>
      </c>
      <c r="D399" t="s">
        <v>132</v>
      </c>
      <c r="E399">
        <v>70</v>
      </c>
      <c r="F399">
        <v>100</v>
      </c>
      <c r="G399">
        <v>70</v>
      </c>
    </row>
    <row r="400" spans="1:7" x14ac:dyDescent="0.25">
      <c r="A400" t="s">
        <v>1043</v>
      </c>
      <c r="B400" t="s">
        <v>1042</v>
      </c>
      <c r="C400" t="s">
        <v>57</v>
      </c>
      <c r="D400" t="s">
        <v>132</v>
      </c>
      <c r="E400">
        <v>70</v>
      </c>
      <c r="F400">
        <v>120</v>
      </c>
      <c r="G400">
        <v>100</v>
      </c>
    </row>
    <row r="401" spans="1:7" x14ac:dyDescent="0.25">
      <c r="A401" t="s">
        <v>1045</v>
      </c>
      <c r="B401" t="s">
        <v>1044</v>
      </c>
      <c r="C401" t="s">
        <v>57</v>
      </c>
      <c r="E401">
        <v>70</v>
      </c>
      <c r="F401">
        <v>85</v>
      </c>
      <c r="G401">
        <v>140</v>
      </c>
    </row>
    <row r="402" spans="1:7" x14ac:dyDescent="0.25">
      <c r="A402" t="s">
        <v>1048</v>
      </c>
      <c r="B402" t="s">
        <v>1047</v>
      </c>
      <c r="C402" t="s">
        <v>162</v>
      </c>
      <c r="E402">
        <v>60</v>
      </c>
      <c r="F402">
        <v>25</v>
      </c>
      <c r="G402">
        <v>35</v>
      </c>
    </row>
    <row r="403" spans="1:7" x14ac:dyDescent="0.25">
      <c r="A403" t="s">
        <v>1050</v>
      </c>
      <c r="B403" t="s">
        <v>1049</v>
      </c>
      <c r="C403" t="s">
        <v>162</v>
      </c>
      <c r="E403">
        <v>80</v>
      </c>
      <c r="F403">
        <v>45</v>
      </c>
      <c r="G403">
        <v>65</v>
      </c>
    </row>
    <row r="404" spans="1:7" x14ac:dyDescent="0.25">
      <c r="A404" t="s">
        <v>1052</v>
      </c>
      <c r="B404" t="s">
        <v>1051</v>
      </c>
      <c r="C404" t="s">
        <v>116</v>
      </c>
      <c r="E404">
        <v>60</v>
      </c>
      <c r="F404">
        <v>60</v>
      </c>
      <c r="G404">
        <v>60</v>
      </c>
    </row>
    <row r="405" spans="1:7" x14ac:dyDescent="0.25">
      <c r="A405" t="s">
        <v>1054</v>
      </c>
      <c r="B405" t="s">
        <v>1053</v>
      </c>
      <c r="C405" t="s">
        <v>132</v>
      </c>
      <c r="E405">
        <v>45</v>
      </c>
      <c r="F405">
        <v>100</v>
      </c>
      <c r="G405">
        <v>45</v>
      </c>
    </row>
    <row r="406" spans="1:7" x14ac:dyDescent="0.25">
      <c r="A406" t="s">
        <v>1056</v>
      </c>
      <c r="B406" t="s">
        <v>1055</v>
      </c>
      <c r="C406" t="s">
        <v>132</v>
      </c>
      <c r="D406" t="s">
        <v>61</v>
      </c>
      <c r="E406">
        <v>50</v>
      </c>
      <c r="F406">
        <v>70</v>
      </c>
      <c r="G406">
        <v>50</v>
      </c>
    </row>
    <row r="407" spans="1:7" x14ac:dyDescent="0.25">
      <c r="A407" t="s">
        <v>1058</v>
      </c>
      <c r="B407" t="s">
        <v>1057</v>
      </c>
      <c r="C407" t="s">
        <v>132</v>
      </c>
      <c r="D407" t="s">
        <v>61</v>
      </c>
      <c r="E407">
        <v>80</v>
      </c>
      <c r="F407">
        <v>100</v>
      </c>
      <c r="G407">
        <v>80</v>
      </c>
    </row>
    <row r="408" spans="1:7" x14ac:dyDescent="0.25">
      <c r="A408" t="s">
        <v>1060</v>
      </c>
      <c r="B408" t="s">
        <v>1059</v>
      </c>
      <c r="C408" t="s">
        <v>40</v>
      </c>
      <c r="E408">
        <v>50</v>
      </c>
      <c r="F408">
        <v>85</v>
      </c>
      <c r="G408">
        <v>40</v>
      </c>
    </row>
    <row r="409" spans="1:7" x14ac:dyDescent="0.25">
      <c r="A409" t="s">
        <v>1062</v>
      </c>
      <c r="B409" t="s">
        <v>1061</v>
      </c>
      <c r="C409" t="s">
        <v>40</v>
      </c>
      <c r="D409" t="s">
        <v>135</v>
      </c>
      <c r="E409">
        <v>70</v>
      </c>
      <c r="F409">
        <v>115</v>
      </c>
      <c r="G409">
        <v>60</v>
      </c>
    </row>
    <row r="410" spans="1:7" x14ac:dyDescent="0.25">
      <c r="A410" t="s">
        <v>1064</v>
      </c>
      <c r="B410" t="s">
        <v>1063</v>
      </c>
      <c r="C410" t="s">
        <v>116</v>
      </c>
      <c r="D410" t="s">
        <v>66</v>
      </c>
      <c r="E410">
        <v>45</v>
      </c>
      <c r="F410">
        <v>40</v>
      </c>
      <c r="G410">
        <v>60</v>
      </c>
    </row>
    <row r="411" spans="1:7" x14ac:dyDescent="0.25">
      <c r="A411" t="s">
        <v>1066</v>
      </c>
      <c r="B411" t="s">
        <v>1065</v>
      </c>
      <c r="C411" t="s">
        <v>61</v>
      </c>
      <c r="D411" t="s">
        <v>66</v>
      </c>
      <c r="E411">
        <v>75</v>
      </c>
      <c r="F411">
        <v>70</v>
      </c>
      <c r="G411">
        <v>90</v>
      </c>
    </row>
    <row r="412" spans="1:7" x14ac:dyDescent="0.25">
      <c r="A412" t="s">
        <v>1068</v>
      </c>
      <c r="B412" t="s">
        <v>1067</v>
      </c>
      <c r="C412" t="s">
        <v>61</v>
      </c>
      <c r="D412" t="s">
        <v>157</v>
      </c>
      <c r="E412">
        <v>75</v>
      </c>
      <c r="F412">
        <v>110</v>
      </c>
      <c r="G412">
        <v>110</v>
      </c>
    </row>
    <row r="413" spans="1:7" x14ac:dyDescent="0.25">
      <c r="A413" t="s">
        <v>1070</v>
      </c>
      <c r="B413" t="s">
        <v>1069</v>
      </c>
      <c r="C413" t="s">
        <v>116</v>
      </c>
      <c r="E413">
        <v>73</v>
      </c>
      <c r="F413">
        <v>115</v>
      </c>
      <c r="G413">
        <v>60</v>
      </c>
    </row>
    <row r="414" spans="1:7" x14ac:dyDescent="0.25">
      <c r="A414" t="s">
        <v>1073</v>
      </c>
      <c r="B414" t="s">
        <v>1072</v>
      </c>
      <c r="C414" t="s">
        <v>41</v>
      </c>
      <c r="E414">
        <v>73</v>
      </c>
      <c r="F414">
        <v>100</v>
      </c>
      <c r="G414">
        <v>60</v>
      </c>
    </row>
    <row r="415" spans="1:7" x14ac:dyDescent="0.25">
      <c r="A415" t="s">
        <v>1075</v>
      </c>
      <c r="B415" t="s">
        <v>1074</v>
      </c>
      <c r="C415" t="s">
        <v>290</v>
      </c>
      <c r="D415" t="s">
        <v>162</v>
      </c>
      <c r="E415">
        <v>90</v>
      </c>
      <c r="F415">
        <v>55</v>
      </c>
      <c r="G415">
        <v>65</v>
      </c>
    </row>
    <row r="416" spans="1:7" x14ac:dyDescent="0.25">
      <c r="A416" t="s">
        <v>1077</v>
      </c>
      <c r="B416" t="s">
        <v>1076</v>
      </c>
      <c r="C416" t="s">
        <v>290</v>
      </c>
      <c r="D416" t="s">
        <v>162</v>
      </c>
      <c r="E416">
        <v>90</v>
      </c>
      <c r="F416">
        <v>95</v>
      </c>
      <c r="G416">
        <v>85</v>
      </c>
    </row>
    <row r="417" spans="1:7" x14ac:dyDescent="0.25">
      <c r="A417" t="s">
        <v>1079</v>
      </c>
      <c r="B417" t="s">
        <v>1078</v>
      </c>
      <c r="C417" t="s">
        <v>76</v>
      </c>
      <c r="D417" t="s">
        <v>132</v>
      </c>
      <c r="E417">
        <v>50</v>
      </c>
      <c r="F417">
        <v>48</v>
      </c>
      <c r="G417">
        <v>43</v>
      </c>
    </row>
    <row r="418" spans="1:7" x14ac:dyDescent="0.25">
      <c r="A418" t="s">
        <v>1081</v>
      </c>
      <c r="B418" t="s">
        <v>1080</v>
      </c>
      <c r="C418" t="s">
        <v>76</v>
      </c>
      <c r="D418" t="s">
        <v>132</v>
      </c>
      <c r="E418">
        <v>110</v>
      </c>
      <c r="F418">
        <v>78</v>
      </c>
      <c r="G418">
        <v>73</v>
      </c>
    </row>
    <row r="419" spans="1:7" x14ac:dyDescent="0.25">
      <c r="A419" t="s">
        <v>1083</v>
      </c>
      <c r="B419" t="s">
        <v>1082</v>
      </c>
      <c r="C419" t="s">
        <v>76</v>
      </c>
      <c r="E419">
        <v>43</v>
      </c>
      <c r="F419">
        <v>80</v>
      </c>
      <c r="G419">
        <v>65</v>
      </c>
    </row>
    <row r="420" spans="1:7" x14ac:dyDescent="0.25">
      <c r="A420" t="s">
        <v>1085</v>
      </c>
      <c r="B420" t="s">
        <v>1084</v>
      </c>
      <c r="C420" t="s">
        <v>76</v>
      </c>
      <c r="D420" t="s">
        <v>135</v>
      </c>
      <c r="E420">
        <v>63</v>
      </c>
      <c r="F420">
        <v>120</v>
      </c>
      <c r="G420">
        <v>85</v>
      </c>
    </row>
    <row r="421" spans="1:7" x14ac:dyDescent="0.25">
      <c r="A421" t="s">
        <v>1087</v>
      </c>
      <c r="B421" t="s">
        <v>1086</v>
      </c>
      <c r="C421" t="s">
        <v>132</v>
      </c>
      <c r="D421" t="s">
        <v>162</v>
      </c>
      <c r="E421">
        <v>40</v>
      </c>
      <c r="F421">
        <v>40</v>
      </c>
      <c r="G421">
        <v>55</v>
      </c>
    </row>
    <row r="422" spans="1:7" x14ac:dyDescent="0.25">
      <c r="A422" t="s">
        <v>1089</v>
      </c>
      <c r="B422" t="s">
        <v>1088</v>
      </c>
      <c r="C422" t="s">
        <v>132</v>
      </c>
      <c r="D422" t="s">
        <v>162</v>
      </c>
      <c r="E422">
        <v>60</v>
      </c>
      <c r="F422">
        <v>70</v>
      </c>
      <c r="G422">
        <v>105</v>
      </c>
    </row>
    <row r="423" spans="1:7" x14ac:dyDescent="0.25">
      <c r="A423" t="s">
        <v>1091</v>
      </c>
      <c r="B423" t="s">
        <v>1090</v>
      </c>
      <c r="C423" t="s">
        <v>290</v>
      </c>
      <c r="D423" t="s">
        <v>40</v>
      </c>
      <c r="E423">
        <v>66</v>
      </c>
      <c r="F423">
        <v>41</v>
      </c>
      <c r="G423">
        <v>77</v>
      </c>
    </row>
    <row r="424" spans="1:7" x14ac:dyDescent="0.25">
      <c r="A424" t="s">
        <v>1094</v>
      </c>
      <c r="B424" t="s">
        <v>1093</v>
      </c>
      <c r="C424" t="s">
        <v>290</v>
      </c>
      <c r="D424" t="s">
        <v>40</v>
      </c>
      <c r="E424">
        <v>86</v>
      </c>
      <c r="F424">
        <v>81</v>
      </c>
      <c r="G424">
        <v>97</v>
      </c>
    </row>
    <row r="425" spans="1:7" x14ac:dyDescent="0.25">
      <c r="A425" t="s">
        <v>1096</v>
      </c>
      <c r="B425" t="s">
        <v>1095</v>
      </c>
      <c r="C425" t="s">
        <v>290</v>
      </c>
      <c r="D425" t="s">
        <v>90</v>
      </c>
      <c r="E425">
        <v>45</v>
      </c>
      <c r="F425">
        <v>95</v>
      </c>
      <c r="G425">
        <v>50</v>
      </c>
    </row>
    <row r="426" spans="1:7" x14ac:dyDescent="0.25">
      <c r="A426" t="s">
        <v>1098</v>
      </c>
      <c r="B426" t="s">
        <v>1097</v>
      </c>
      <c r="C426" t="s">
        <v>290</v>
      </c>
      <c r="D426" t="s">
        <v>90</v>
      </c>
      <c r="E426">
        <v>75</v>
      </c>
      <c r="F426">
        <v>125</v>
      </c>
      <c r="G426">
        <v>100</v>
      </c>
    </row>
    <row r="427" spans="1:7" x14ac:dyDescent="0.25">
      <c r="A427" t="s">
        <v>1100</v>
      </c>
      <c r="B427" t="s">
        <v>1099</v>
      </c>
      <c r="C427" t="s">
        <v>76</v>
      </c>
      <c r="E427">
        <v>20</v>
      </c>
      <c r="F427">
        <v>15</v>
      </c>
      <c r="G427">
        <v>20</v>
      </c>
    </row>
    <row r="428" spans="1:7" x14ac:dyDescent="0.25">
      <c r="A428" t="s">
        <v>1102</v>
      </c>
      <c r="B428" t="s">
        <v>1101</v>
      </c>
      <c r="C428" t="s">
        <v>76</v>
      </c>
      <c r="E428">
        <v>95</v>
      </c>
      <c r="F428">
        <v>60</v>
      </c>
      <c r="G428">
        <v>79</v>
      </c>
    </row>
    <row r="429" spans="1:7" x14ac:dyDescent="0.25">
      <c r="A429" t="s">
        <v>1104</v>
      </c>
      <c r="B429" t="s">
        <v>1103</v>
      </c>
      <c r="C429" t="s">
        <v>116</v>
      </c>
      <c r="E429">
        <v>70</v>
      </c>
      <c r="F429">
        <v>70</v>
      </c>
      <c r="G429">
        <v>70</v>
      </c>
    </row>
    <row r="430" spans="1:7" x14ac:dyDescent="0.25">
      <c r="A430" t="s">
        <v>1107</v>
      </c>
      <c r="B430" t="s">
        <v>1106</v>
      </c>
      <c r="C430" t="s">
        <v>116</v>
      </c>
      <c r="E430">
        <v>70</v>
      </c>
      <c r="F430">
        <v>70</v>
      </c>
      <c r="G430">
        <v>70</v>
      </c>
    </row>
    <row r="431" spans="1:7" x14ac:dyDescent="0.25">
      <c r="A431" t="s">
        <v>1109</v>
      </c>
      <c r="B431" t="s">
        <v>1108</v>
      </c>
      <c r="C431" t="s">
        <v>116</v>
      </c>
      <c r="E431">
        <v>70</v>
      </c>
      <c r="F431">
        <v>70</v>
      </c>
      <c r="G431">
        <v>70</v>
      </c>
    </row>
    <row r="432" spans="1:7" x14ac:dyDescent="0.25">
      <c r="A432" t="s">
        <v>1111</v>
      </c>
      <c r="B432" t="s">
        <v>1110</v>
      </c>
      <c r="C432" t="s">
        <v>116</v>
      </c>
      <c r="E432">
        <v>70</v>
      </c>
      <c r="F432">
        <v>70</v>
      </c>
      <c r="G432">
        <v>70</v>
      </c>
    </row>
    <row r="433" spans="1:7" x14ac:dyDescent="0.25">
      <c r="A433" t="s">
        <v>1113</v>
      </c>
      <c r="B433" t="s">
        <v>1112</v>
      </c>
      <c r="C433" t="s">
        <v>116</v>
      </c>
      <c r="E433">
        <v>60</v>
      </c>
      <c r="F433">
        <v>90</v>
      </c>
      <c r="G433">
        <v>70</v>
      </c>
    </row>
    <row r="434" spans="1:7" x14ac:dyDescent="0.25">
      <c r="A434" t="s">
        <v>1117</v>
      </c>
      <c r="B434" t="s">
        <v>1116</v>
      </c>
      <c r="C434" t="s">
        <v>419</v>
      </c>
      <c r="E434">
        <v>44</v>
      </c>
      <c r="F434">
        <v>75</v>
      </c>
      <c r="G434">
        <v>35</v>
      </c>
    </row>
    <row r="435" spans="1:7" x14ac:dyDescent="0.25">
      <c r="A435" t="s">
        <v>1119</v>
      </c>
      <c r="B435" t="s">
        <v>1118</v>
      </c>
      <c r="C435" t="s">
        <v>419</v>
      </c>
      <c r="E435">
        <v>64</v>
      </c>
      <c r="F435">
        <v>115</v>
      </c>
      <c r="G435">
        <v>65</v>
      </c>
    </row>
    <row r="436" spans="1:7" x14ac:dyDescent="0.25">
      <c r="A436" t="s">
        <v>1121</v>
      </c>
      <c r="B436" t="s">
        <v>1120</v>
      </c>
      <c r="C436" t="s">
        <v>419</v>
      </c>
      <c r="E436">
        <v>64</v>
      </c>
      <c r="F436">
        <v>165</v>
      </c>
      <c r="G436">
        <v>75</v>
      </c>
    </row>
    <row r="437" spans="1:7" x14ac:dyDescent="0.25">
      <c r="A437" t="s">
        <v>1123</v>
      </c>
      <c r="B437" t="s">
        <v>1122</v>
      </c>
      <c r="C437" t="s">
        <v>419</v>
      </c>
      <c r="E437">
        <v>20</v>
      </c>
      <c r="F437">
        <v>40</v>
      </c>
      <c r="G437">
        <v>90</v>
      </c>
    </row>
    <row r="438" spans="1:7" x14ac:dyDescent="0.25">
      <c r="A438" t="s">
        <v>1125</v>
      </c>
      <c r="B438" t="s">
        <v>1124</v>
      </c>
      <c r="C438" t="s">
        <v>419</v>
      </c>
      <c r="E438">
        <v>40</v>
      </c>
      <c r="F438">
        <v>70</v>
      </c>
      <c r="G438">
        <v>130</v>
      </c>
    </row>
    <row r="439" spans="1:7" x14ac:dyDescent="0.25">
      <c r="A439" t="s">
        <v>1127</v>
      </c>
      <c r="B439" t="s">
        <v>1126</v>
      </c>
      <c r="C439" t="s">
        <v>40</v>
      </c>
      <c r="D439" t="s">
        <v>66</v>
      </c>
      <c r="E439">
        <v>99</v>
      </c>
      <c r="F439">
        <v>68</v>
      </c>
      <c r="G439">
        <v>83</v>
      </c>
    </row>
    <row r="440" spans="1:7" x14ac:dyDescent="0.25">
      <c r="A440" t="s">
        <v>1129</v>
      </c>
      <c r="B440" t="s">
        <v>1128</v>
      </c>
      <c r="C440" t="s">
        <v>162</v>
      </c>
      <c r="E440">
        <v>75</v>
      </c>
      <c r="F440">
        <v>50</v>
      </c>
      <c r="G440">
        <v>80</v>
      </c>
    </row>
    <row r="441" spans="1:7" x14ac:dyDescent="0.25">
      <c r="A441" t="s">
        <v>1131</v>
      </c>
      <c r="B441" t="s">
        <v>1130</v>
      </c>
      <c r="C441" t="s">
        <v>135</v>
      </c>
      <c r="E441">
        <v>65</v>
      </c>
      <c r="F441">
        <v>130</v>
      </c>
      <c r="G441">
        <v>60</v>
      </c>
    </row>
    <row r="442" spans="1:7" x14ac:dyDescent="0.25">
      <c r="A442" t="s">
        <v>1133</v>
      </c>
      <c r="B442" t="s">
        <v>1132</v>
      </c>
      <c r="C442" t="s">
        <v>135</v>
      </c>
      <c r="E442">
        <v>65</v>
      </c>
      <c r="F442">
        <v>150</v>
      </c>
      <c r="G442">
        <v>60</v>
      </c>
    </row>
    <row r="443" spans="1:7" x14ac:dyDescent="0.25">
      <c r="A443" t="s">
        <v>1135</v>
      </c>
      <c r="B443" t="s">
        <v>1134</v>
      </c>
      <c r="C443" t="s">
        <v>162</v>
      </c>
      <c r="E443">
        <v>95</v>
      </c>
      <c r="F443">
        <v>23</v>
      </c>
      <c r="G443">
        <v>48</v>
      </c>
    </row>
    <row r="444" spans="1:7" x14ac:dyDescent="0.25">
      <c r="A444" t="s">
        <v>1137</v>
      </c>
      <c r="B444" t="s">
        <v>1136</v>
      </c>
      <c r="C444" t="s">
        <v>170</v>
      </c>
      <c r="E444">
        <v>50</v>
      </c>
      <c r="F444">
        <v>50</v>
      </c>
      <c r="G444">
        <v>50</v>
      </c>
    </row>
    <row r="445" spans="1:7" x14ac:dyDescent="0.25">
      <c r="A445" t="s">
        <v>1139</v>
      </c>
      <c r="B445" t="s">
        <v>1138</v>
      </c>
      <c r="C445" t="s">
        <v>170</v>
      </c>
      <c r="E445">
        <v>80</v>
      </c>
      <c r="F445">
        <v>80</v>
      </c>
      <c r="G445">
        <v>80</v>
      </c>
    </row>
    <row r="446" spans="1:7" x14ac:dyDescent="0.25">
      <c r="A446" t="s">
        <v>1141</v>
      </c>
      <c r="B446" t="s">
        <v>1140</v>
      </c>
      <c r="C446" t="s">
        <v>170</v>
      </c>
      <c r="E446">
        <v>80</v>
      </c>
      <c r="F446">
        <v>120</v>
      </c>
      <c r="G446">
        <v>80</v>
      </c>
    </row>
    <row r="447" spans="1:7" x14ac:dyDescent="0.25">
      <c r="A447" t="s">
        <v>1144</v>
      </c>
      <c r="B447" t="s">
        <v>1143</v>
      </c>
      <c r="C447" t="s">
        <v>170</v>
      </c>
      <c r="D447" t="s">
        <v>76</v>
      </c>
      <c r="E447">
        <v>70</v>
      </c>
      <c r="F447">
        <v>40</v>
      </c>
      <c r="G447">
        <v>50</v>
      </c>
    </row>
    <row r="448" spans="1:7" x14ac:dyDescent="0.25">
      <c r="A448" t="s">
        <v>1146</v>
      </c>
      <c r="B448" t="s">
        <v>1145</v>
      </c>
      <c r="C448" t="s">
        <v>170</v>
      </c>
      <c r="D448" t="s">
        <v>76</v>
      </c>
      <c r="E448">
        <v>90</v>
      </c>
      <c r="F448">
        <v>60</v>
      </c>
      <c r="G448">
        <v>70</v>
      </c>
    </row>
    <row r="449" spans="1:7" x14ac:dyDescent="0.25">
      <c r="A449" t="s">
        <v>1148</v>
      </c>
      <c r="B449" t="s">
        <v>1147</v>
      </c>
      <c r="C449" t="s">
        <v>170</v>
      </c>
      <c r="D449" t="s">
        <v>76</v>
      </c>
      <c r="E449">
        <v>110</v>
      </c>
      <c r="F449">
        <v>80</v>
      </c>
      <c r="G449">
        <v>90</v>
      </c>
    </row>
    <row r="450" spans="1:7" x14ac:dyDescent="0.25">
      <c r="A450" t="s">
        <v>1150</v>
      </c>
      <c r="B450" t="s">
        <v>1149</v>
      </c>
      <c r="C450" t="s">
        <v>76</v>
      </c>
      <c r="E450">
        <v>35</v>
      </c>
      <c r="F450">
        <v>64</v>
      </c>
      <c r="G450">
        <v>85</v>
      </c>
    </row>
    <row r="451" spans="1:7" x14ac:dyDescent="0.25">
      <c r="A451" t="s">
        <v>1152</v>
      </c>
      <c r="B451" t="s">
        <v>1151</v>
      </c>
      <c r="C451" t="s">
        <v>76</v>
      </c>
      <c r="E451">
        <v>55</v>
      </c>
      <c r="F451">
        <v>104</v>
      </c>
      <c r="G451">
        <v>105</v>
      </c>
    </row>
    <row r="452" spans="1:7" x14ac:dyDescent="0.25">
      <c r="A452" t="s">
        <v>1154</v>
      </c>
      <c r="B452" t="s">
        <v>1153</v>
      </c>
      <c r="C452" t="s">
        <v>76</v>
      </c>
      <c r="E452">
        <v>55</v>
      </c>
      <c r="F452">
        <v>84</v>
      </c>
      <c r="G452">
        <v>105</v>
      </c>
    </row>
    <row r="453" spans="1:7" x14ac:dyDescent="0.25">
      <c r="A453" t="s">
        <v>1156</v>
      </c>
      <c r="B453" t="s">
        <v>1155</v>
      </c>
      <c r="C453" t="s">
        <v>76</v>
      </c>
      <c r="D453" t="s">
        <v>290</v>
      </c>
      <c r="E453">
        <v>100</v>
      </c>
      <c r="F453">
        <v>90</v>
      </c>
      <c r="G453">
        <v>130</v>
      </c>
    </row>
    <row r="454" spans="1:7" x14ac:dyDescent="0.25">
      <c r="A454" t="s">
        <v>1158</v>
      </c>
      <c r="B454" t="s">
        <v>1157</v>
      </c>
      <c r="C454" t="s">
        <v>76</v>
      </c>
      <c r="E454">
        <v>43</v>
      </c>
      <c r="F454">
        <v>30</v>
      </c>
      <c r="G454">
        <v>55</v>
      </c>
    </row>
    <row r="455" spans="1:7" x14ac:dyDescent="0.25">
      <c r="A455" t="s">
        <v>1160</v>
      </c>
      <c r="B455" t="s">
        <v>1159</v>
      </c>
      <c r="C455" t="s">
        <v>61</v>
      </c>
      <c r="E455">
        <v>45</v>
      </c>
      <c r="F455">
        <v>75</v>
      </c>
      <c r="G455">
        <v>60</v>
      </c>
    </row>
    <row r="456" spans="1:7" x14ac:dyDescent="0.25">
      <c r="A456" t="s">
        <v>1162</v>
      </c>
      <c r="B456" t="s">
        <v>1161</v>
      </c>
      <c r="C456" t="s">
        <v>61</v>
      </c>
      <c r="E456">
        <v>65</v>
      </c>
      <c r="F456">
        <v>95</v>
      </c>
      <c r="G456">
        <v>100</v>
      </c>
    </row>
    <row r="457" spans="1:7" x14ac:dyDescent="0.25">
      <c r="A457" t="s">
        <v>1164</v>
      </c>
      <c r="B457" t="s">
        <v>1163</v>
      </c>
      <c r="C457" t="s">
        <v>61</v>
      </c>
      <c r="D457" t="s">
        <v>66</v>
      </c>
      <c r="E457">
        <v>95</v>
      </c>
      <c r="F457">
        <v>135</v>
      </c>
      <c r="G457">
        <v>80</v>
      </c>
    </row>
    <row r="458" spans="1:7" x14ac:dyDescent="0.25">
      <c r="A458" t="s">
        <v>1166</v>
      </c>
      <c r="B458" t="s">
        <v>1165</v>
      </c>
      <c r="C458" t="s">
        <v>61</v>
      </c>
      <c r="D458" t="s">
        <v>66</v>
      </c>
      <c r="E458">
        <v>95</v>
      </c>
      <c r="F458">
        <v>145</v>
      </c>
      <c r="G458">
        <v>130</v>
      </c>
    </row>
    <row r="459" spans="1:7" x14ac:dyDescent="0.25">
      <c r="A459" t="s">
        <v>1168</v>
      </c>
      <c r="B459" t="s">
        <v>1167</v>
      </c>
      <c r="C459" t="s">
        <v>171</v>
      </c>
      <c r="D459" t="s">
        <v>162</v>
      </c>
      <c r="E459">
        <v>40</v>
      </c>
      <c r="F459">
        <v>55</v>
      </c>
      <c r="G459">
        <v>80</v>
      </c>
    </row>
    <row r="460" spans="1:7" x14ac:dyDescent="0.25">
      <c r="A460" t="s">
        <v>1170</v>
      </c>
      <c r="B460" t="s">
        <v>1169</v>
      </c>
      <c r="C460" t="s">
        <v>171</v>
      </c>
      <c r="D460" t="s">
        <v>162</v>
      </c>
      <c r="E460">
        <v>60</v>
      </c>
      <c r="F460">
        <v>75</v>
      </c>
      <c r="G460">
        <v>100</v>
      </c>
    </row>
    <row r="461" spans="1:7" x14ac:dyDescent="0.25">
      <c r="A461" t="s">
        <v>1172</v>
      </c>
      <c r="B461" t="s">
        <v>1171</v>
      </c>
      <c r="C461" t="s">
        <v>171</v>
      </c>
      <c r="D461" t="s">
        <v>162</v>
      </c>
      <c r="E461">
        <v>80</v>
      </c>
      <c r="F461">
        <v>135</v>
      </c>
      <c r="G461">
        <v>130</v>
      </c>
    </row>
    <row r="462" spans="1:7" x14ac:dyDescent="0.25">
      <c r="A462" t="s">
        <v>1174</v>
      </c>
      <c r="B462" t="s">
        <v>1173</v>
      </c>
      <c r="C462" t="s">
        <v>171</v>
      </c>
      <c r="D462" t="s">
        <v>162</v>
      </c>
      <c r="E462">
        <v>80</v>
      </c>
      <c r="F462">
        <v>145</v>
      </c>
      <c r="G462">
        <v>150</v>
      </c>
    </row>
    <row r="463" spans="1:7" x14ac:dyDescent="0.25">
      <c r="A463" t="s">
        <v>1176</v>
      </c>
      <c r="B463" t="s">
        <v>1175</v>
      </c>
      <c r="C463" t="s">
        <v>290</v>
      </c>
      <c r="E463">
        <v>80</v>
      </c>
      <c r="F463">
        <v>100</v>
      </c>
      <c r="G463">
        <v>200</v>
      </c>
    </row>
    <row r="464" spans="1:7" x14ac:dyDescent="0.25">
      <c r="A464" t="s">
        <v>1178</v>
      </c>
      <c r="B464" t="s">
        <v>1177</v>
      </c>
      <c r="C464" t="s">
        <v>170</v>
      </c>
      <c r="E464">
        <v>80</v>
      </c>
      <c r="F464">
        <v>50</v>
      </c>
      <c r="G464">
        <v>100</v>
      </c>
    </row>
    <row r="465" spans="1:7" x14ac:dyDescent="0.25">
      <c r="A465" t="s">
        <v>1180</v>
      </c>
      <c r="B465" t="s">
        <v>1179</v>
      </c>
      <c r="C465" t="s">
        <v>171</v>
      </c>
      <c r="E465">
        <v>80</v>
      </c>
      <c r="F465">
        <v>75</v>
      </c>
      <c r="G465">
        <v>150</v>
      </c>
    </row>
    <row r="466" spans="1:7" x14ac:dyDescent="0.25">
      <c r="A466" t="s">
        <v>1182</v>
      </c>
      <c r="B466" t="s">
        <v>1181</v>
      </c>
      <c r="C466" t="s">
        <v>61</v>
      </c>
      <c r="D466" t="s">
        <v>162</v>
      </c>
      <c r="E466">
        <v>80</v>
      </c>
      <c r="F466">
        <v>80</v>
      </c>
      <c r="G466">
        <v>90</v>
      </c>
    </row>
    <row r="467" spans="1:7" x14ac:dyDescent="0.25">
      <c r="A467" t="s">
        <v>1184</v>
      </c>
      <c r="B467" t="s">
        <v>1183</v>
      </c>
      <c r="C467" t="s">
        <v>61</v>
      </c>
      <c r="D467" t="s">
        <v>162</v>
      </c>
      <c r="E467">
        <v>80</v>
      </c>
      <c r="F467">
        <v>100</v>
      </c>
      <c r="G467">
        <v>120</v>
      </c>
    </row>
    <row r="468" spans="1:7" x14ac:dyDescent="0.25">
      <c r="A468" t="s">
        <v>1186</v>
      </c>
      <c r="B468" t="s">
        <v>1185</v>
      </c>
      <c r="C468" t="s">
        <v>61</v>
      </c>
      <c r="D468" t="s">
        <v>162</v>
      </c>
      <c r="E468">
        <v>80</v>
      </c>
      <c r="F468">
        <v>90</v>
      </c>
      <c r="G468">
        <v>80</v>
      </c>
    </row>
    <row r="469" spans="1:7" x14ac:dyDescent="0.25">
      <c r="A469" t="s">
        <v>1188</v>
      </c>
      <c r="B469" t="s">
        <v>1187</v>
      </c>
      <c r="C469" t="s">
        <v>61</v>
      </c>
      <c r="D469" t="s">
        <v>162</v>
      </c>
      <c r="E469">
        <v>80</v>
      </c>
      <c r="F469">
        <v>130</v>
      </c>
      <c r="G469">
        <v>100</v>
      </c>
    </row>
    <row r="470" spans="1:7" x14ac:dyDescent="0.25">
      <c r="A470" t="s">
        <v>1190</v>
      </c>
      <c r="B470" t="s">
        <v>1189</v>
      </c>
      <c r="C470" t="s">
        <v>76</v>
      </c>
      <c r="E470">
        <v>100</v>
      </c>
      <c r="F470">
        <v>100</v>
      </c>
      <c r="G470">
        <v>90</v>
      </c>
    </row>
    <row r="471" spans="1:7" x14ac:dyDescent="0.25">
      <c r="A471" t="s">
        <v>1192</v>
      </c>
      <c r="B471" t="s">
        <v>1191</v>
      </c>
      <c r="C471" t="s">
        <v>76</v>
      </c>
      <c r="E471">
        <v>100</v>
      </c>
      <c r="F471">
        <v>150</v>
      </c>
      <c r="G471">
        <v>90</v>
      </c>
    </row>
    <row r="472" spans="1:7" x14ac:dyDescent="0.25">
      <c r="A472" t="s">
        <v>1195</v>
      </c>
      <c r="B472" t="s">
        <v>1194</v>
      </c>
      <c r="C472" t="s">
        <v>132</v>
      </c>
      <c r="E472">
        <v>100</v>
      </c>
      <c r="F472">
        <v>150</v>
      </c>
      <c r="G472">
        <v>140</v>
      </c>
    </row>
    <row r="473" spans="1:7" x14ac:dyDescent="0.25">
      <c r="A473" t="s">
        <v>1197</v>
      </c>
      <c r="B473" t="s">
        <v>1196</v>
      </c>
      <c r="C473" t="s">
        <v>132</v>
      </c>
      <c r="D473" t="s">
        <v>57</v>
      </c>
      <c r="E473">
        <v>100</v>
      </c>
      <c r="F473">
        <v>180</v>
      </c>
      <c r="G473">
        <v>160</v>
      </c>
    </row>
    <row r="474" spans="1:7" x14ac:dyDescent="0.25">
      <c r="A474" t="s">
        <v>1200</v>
      </c>
      <c r="B474" t="s">
        <v>1199</v>
      </c>
      <c r="C474" t="s">
        <v>61</v>
      </c>
      <c r="D474" t="s">
        <v>66</v>
      </c>
      <c r="E474">
        <v>105</v>
      </c>
      <c r="F474">
        <v>150</v>
      </c>
      <c r="G474">
        <v>90</v>
      </c>
    </row>
    <row r="475" spans="1:7" x14ac:dyDescent="0.25">
      <c r="A475" t="s">
        <v>1203</v>
      </c>
      <c r="B475" t="s">
        <v>1202</v>
      </c>
      <c r="C475" t="s">
        <v>61</v>
      </c>
      <c r="D475" t="s">
        <v>66</v>
      </c>
      <c r="E475">
        <v>105</v>
      </c>
      <c r="F475">
        <v>180</v>
      </c>
      <c r="G475">
        <v>100</v>
      </c>
    </row>
    <row r="476" spans="1:7" x14ac:dyDescent="0.25">
      <c r="A476" t="s">
        <v>1206</v>
      </c>
      <c r="B476" t="s">
        <v>1205</v>
      </c>
      <c r="C476" t="s">
        <v>171</v>
      </c>
      <c r="D476" t="s">
        <v>162</v>
      </c>
      <c r="E476">
        <v>100</v>
      </c>
      <c r="F476">
        <v>100</v>
      </c>
      <c r="G476">
        <v>100</v>
      </c>
    </row>
    <row r="477" spans="1:7" x14ac:dyDescent="0.25">
      <c r="A477" t="s">
        <v>1208</v>
      </c>
      <c r="B477" t="s">
        <v>1207</v>
      </c>
      <c r="C477" t="s">
        <v>162</v>
      </c>
      <c r="E477">
        <v>50</v>
      </c>
      <c r="F477">
        <v>150</v>
      </c>
      <c r="G477">
        <v>50</v>
      </c>
    </row>
    <row r="478" spans="1:7" x14ac:dyDescent="0.25">
      <c r="A478" t="s">
        <v>1210</v>
      </c>
      <c r="B478" t="s">
        <v>1209</v>
      </c>
      <c r="C478" t="s">
        <v>162</v>
      </c>
      <c r="E478">
        <v>50</v>
      </c>
      <c r="F478">
        <v>180</v>
      </c>
      <c r="G478">
        <v>20</v>
      </c>
    </row>
    <row r="479" spans="1:7" x14ac:dyDescent="0.25">
      <c r="A479" t="s">
        <v>1212</v>
      </c>
      <c r="B479" t="s">
        <v>1211</v>
      </c>
      <c r="C479" t="s">
        <v>162</v>
      </c>
      <c r="E479">
        <v>50</v>
      </c>
      <c r="F479">
        <v>70</v>
      </c>
      <c r="G479">
        <v>160</v>
      </c>
    </row>
    <row r="480" spans="1:7" x14ac:dyDescent="0.25">
      <c r="A480" t="s">
        <v>1214</v>
      </c>
      <c r="B480" t="s">
        <v>1213</v>
      </c>
      <c r="C480" t="s">
        <v>162</v>
      </c>
      <c r="E480">
        <v>50</v>
      </c>
      <c r="F480">
        <v>95</v>
      </c>
      <c r="G480">
        <v>90</v>
      </c>
    </row>
    <row r="481" spans="1:7" x14ac:dyDescent="0.25">
      <c r="A481" t="s">
        <v>1216</v>
      </c>
      <c r="B481" t="s">
        <v>1215</v>
      </c>
      <c r="C481" t="s">
        <v>40</v>
      </c>
      <c r="E481">
        <v>55</v>
      </c>
      <c r="F481">
        <v>68</v>
      </c>
      <c r="G481">
        <v>64</v>
      </c>
    </row>
    <row r="482" spans="1:7" x14ac:dyDescent="0.25">
      <c r="A482" t="s">
        <v>1218</v>
      </c>
      <c r="B482" t="s">
        <v>1217</v>
      </c>
      <c r="C482" t="s">
        <v>40</v>
      </c>
      <c r="E482">
        <v>75</v>
      </c>
      <c r="F482">
        <v>89</v>
      </c>
      <c r="G482">
        <v>85</v>
      </c>
    </row>
    <row r="483" spans="1:7" x14ac:dyDescent="0.25">
      <c r="A483" t="s">
        <v>1220</v>
      </c>
      <c r="B483" t="s">
        <v>1219</v>
      </c>
      <c r="C483" t="s">
        <v>40</v>
      </c>
      <c r="D483" t="s">
        <v>132</v>
      </c>
      <c r="E483">
        <v>95</v>
      </c>
      <c r="F483">
        <v>109</v>
      </c>
      <c r="G483">
        <v>105</v>
      </c>
    </row>
    <row r="484" spans="1:7" x14ac:dyDescent="0.25">
      <c r="A484" t="s">
        <v>1222</v>
      </c>
      <c r="B484" t="s">
        <v>1221</v>
      </c>
      <c r="C484" t="s">
        <v>57</v>
      </c>
      <c r="E484">
        <v>44</v>
      </c>
      <c r="F484">
        <v>58</v>
      </c>
      <c r="G484">
        <v>44</v>
      </c>
    </row>
    <row r="485" spans="1:7" x14ac:dyDescent="0.25">
      <c r="A485" t="s">
        <v>1224</v>
      </c>
      <c r="B485" t="s">
        <v>1223</v>
      </c>
      <c r="C485" t="s">
        <v>57</v>
      </c>
      <c r="D485" t="s">
        <v>279</v>
      </c>
      <c r="E485">
        <v>64</v>
      </c>
      <c r="F485">
        <v>78</v>
      </c>
      <c r="G485">
        <v>52</v>
      </c>
    </row>
    <row r="486" spans="1:7" x14ac:dyDescent="0.25">
      <c r="A486" t="s">
        <v>1226</v>
      </c>
      <c r="B486" t="s">
        <v>1225</v>
      </c>
      <c r="C486" t="s">
        <v>57</v>
      </c>
      <c r="D486" t="s">
        <v>279</v>
      </c>
      <c r="E486">
        <v>76</v>
      </c>
      <c r="F486">
        <v>104</v>
      </c>
      <c r="G486">
        <v>71</v>
      </c>
    </row>
    <row r="487" spans="1:7" x14ac:dyDescent="0.25">
      <c r="A487" t="s">
        <v>1228</v>
      </c>
      <c r="B487" t="s">
        <v>1227</v>
      </c>
      <c r="C487" t="s">
        <v>76</v>
      </c>
      <c r="E487">
        <v>53</v>
      </c>
      <c r="F487">
        <v>51</v>
      </c>
      <c r="G487">
        <v>53</v>
      </c>
    </row>
    <row r="488" spans="1:7" x14ac:dyDescent="0.25">
      <c r="A488" t="s">
        <v>1230</v>
      </c>
      <c r="B488" t="s">
        <v>1229</v>
      </c>
      <c r="C488" t="s">
        <v>76</v>
      </c>
      <c r="E488">
        <v>64</v>
      </c>
      <c r="F488">
        <v>66</v>
      </c>
      <c r="G488">
        <v>68</v>
      </c>
    </row>
    <row r="489" spans="1:7" x14ac:dyDescent="0.25">
      <c r="A489" t="s">
        <v>1232</v>
      </c>
      <c r="B489" t="s">
        <v>1231</v>
      </c>
      <c r="C489" t="s">
        <v>76</v>
      </c>
      <c r="D489" t="s">
        <v>171</v>
      </c>
      <c r="E489">
        <v>84</v>
      </c>
      <c r="F489">
        <v>86</v>
      </c>
      <c r="G489">
        <v>88</v>
      </c>
    </row>
    <row r="490" spans="1:7" x14ac:dyDescent="0.25">
      <c r="A490" t="s">
        <v>1234</v>
      </c>
      <c r="B490" t="s">
        <v>1233</v>
      </c>
      <c r="C490" t="s">
        <v>116</v>
      </c>
      <c r="D490" t="s">
        <v>66</v>
      </c>
      <c r="E490">
        <v>40</v>
      </c>
      <c r="F490">
        <v>55</v>
      </c>
      <c r="G490">
        <v>30</v>
      </c>
    </row>
    <row r="491" spans="1:7" x14ac:dyDescent="0.25">
      <c r="A491" t="s">
        <v>1236</v>
      </c>
      <c r="B491" t="s">
        <v>1235</v>
      </c>
      <c r="C491" t="s">
        <v>116</v>
      </c>
      <c r="D491" t="s">
        <v>66</v>
      </c>
      <c r="E491">
        <v>55</v>
      </c>
      <c r="F491">
        <v>75</v>
      </c>
      <c r="G491">
        <v>50</v>
      </c>
    </row>
    <row r="492" spans="1:7" x14ac:dyDescent="0.25">
      <c r="A492" t="s">
        <v>1238</v>
      </c>
      <c r="B492" t="s">
        <v>1237</v>
      </c>
      <c r="C492" t="s">
        <v>116</v>
      </c>
      <c r="D492" t="s">
        <v>66</v>
      </c>
      <c r="E492">
        <v>85</v>
      </c>
      <c r="F492">
        <v>120</v>
      </c>
      <c r="G492">
        <v>70</v>
      </c>
    </row>
    <row r="493" spans="1:7" x14ac:dyDescent="0.25">
      <c r="A493" t="s">
        <v>1240</v>
      </c>
      <c r="B493" t="s">
        <v>1239</v>
      </c>
      <c r="C493" t="s">
        <v>116</v>
      </c>
      <c r="E493">
        <v>59</v>
      </c>
      <c r="F493">
        <v>45</v>
      </c>
      <c r="G493">
        <v>40</v>
      </c>
    </row>
    <row r="494" spans="1:7" x14ac:dyDescent="0.25">
      <c r="A494" t="s">
        <v>1242</v>
      </c>
      <c r="B494" t="s">
        <v>1241</v>
      </c>
      <c r="C494" t="s">
        <v>116</v>
      </c>
      <c r="D494" t="s">
        <v>76</v>
      </c>
      <c r="E494">
        <v>79</v>
      </c>
      <c r="F494">
        <v>85</v>
      </c>
      <c r="G494">
        <v>60</v>
      </c>
    </row>
    <row r="495" spans="1:7" x14ac:dyDescent="0.25">
      <c r="A495" t="s">
        <v>1244</v>
      </c>
      <c r="B495" t="s">
        <v>1243</v>
      </c>
      <c r="C495" t="s">
        <v>90</v>
      </c>
      <c r="E495">
        <v>37</v>
      </c>
      <c r="F495">
        <v>25</v>
      </c>
      <c r="G495">
        <v>41</v>
      </c>
    </row>
    <row r="496" spans="1:7" x14ac:dyDescent="0.25">
      <c r="A496" t="s">
        <v>1246</v>
      </c>
      <c r="B496" t="s">
        <v>1245</v>
      </c>
      <c r="C496" t="s">
        <v>90</v>
      </c>
      <c r="E496">
        <v>77</v>
      </c>
      <c r="F496">
        <v>85</v>
      </c>
      <c r="G496">
        <v>51</v>
      </c>
    </row>
    <row r="497" spans="1:7" x14ac:dyDescent="0.25">
      <c r="A497" t="s">
        <v>1248</v>
      </c>
      <c r="B497" t="s">
        <v>1247</v>
      </c>
      <c r="C497" t="s">
        <v>154</v>
      </c>
      <c r="E497">
        <v>45</v>
      </c>
      <c r="F497">
        <v>65</v>
      </c>
      <c r="G497">
        <v>34</v>
      </c>
    </row>
    <row r="498" spans="1:7" x14ac:dyDescent="0.25">
      <c r="A498" t="s">
        <v>1250</v>
      </c>
      <c r="B498" t="s">
        <v>1249</v>
      </c>
      <c r="C498" t="s">
        <v>154</v>
      </c>
      <c r="E498">
        <v>60</v>
      </c>
      <c r="F498">
        <v>85</v>
      </c>
      <c r="G498">
        <v>49</v>
      </c>
    </row>
    <row r="499" spans="1:7" x14ac:dyDescent="0.25">
      <c r="A499" t="s">
        <v>1252</v>
      </c>
      <c r="B499" t="s">
        <v>1251</v>
      </c>
      <c r="C499" t="s">
        <v>154</v>
      </c>
      <c r="E499">
        <v>80</v>
      </c>
      <c r="F499">
        <v>120</v>
      </c>
      <c r="G499">
        <v>79</v>
      </c>
    </row>
    <row r="500" spans="1:7" x14ac:dyDescent="0.25">
      <c r="A500" t="s">
        <v>1254</v>
      </c>
      <c r="B500" t="s">
        <v>1253</v>
      </c>
      <c r="C500" t="s">
        <v>40</v>
      </c>
      <c r="D500" t="s">
        <v>41</v>
      </c>
      <c r="E500">
        <v>40</v>
      </c>
      <c r="F500">
        <v>30</v>
      </c>
      <c r="G500">
        <v>35</v>
      </c>
    </row>
    <row r="501" spans="1:7" x14ac:dyDescent="0.25">
      <c r="A501" t="s">
        <v>1256</v>
      </c>
      <c r="B501" t="s">
        <v>1255</v>
      </c>
      <c r="C501" t="s">
        <v>40</v>
      </c>
      <c r="D501" t="s">
        <v>41</v>
      </c>
      <c r="E501">
        <v>60</v>
      </c>
      <c r="F501">
        <v>70</v>
      </c>
      <c r="G501">
        <v>65</v>
      </c>
    </row>
    <row r="502" spans="1:7" x14ac:dyDescent="0.25">
      <c r="A502" t="s">
        <v>1258</v>
      </c>
      <c r="B502" t="s">
        <v>1257</v>
      </c>
      <c r="C502" t="s">
        <v>290</v>
      </c>
      <c r="E502">
        <v>67</v>
      </c>
      <c r="F502">
        <v>125</v>
      </c>
      <c r="G502">
        <v>40</v>
      </c>
    </row>
    <row r="503" spans="1:7" x14ac:dyDescent="0.25">
      <c r="A503" t="s">
        <v>1260</v>
      </c>
      <c r="B503" t="s">
        <v>1259</v>
      </c>
      <c r="C503" t="s">
        <v>290</v>
      </c>
      <c r="E503">
        <v>97</v>
      </c>
      <c r="F503">
        <v>165</v>
      </c>
      <c r="G503">
        <v>60</v>
      </c>
    </row>
    <row r="504" spans="1:7" x14ac:dyDescent="0.25">
      <c r="A504" t="s">
        <v>1262</v>
      </c>
      <c r="B504" t="s">
        <v>1261</v>
      </c>
      <c r="C504" t="s">
        <v>290</v>
      </c>
      <c r="D504" t="s">
        <v>171</v>
      </c>
      <c r="E504">
        <v>30</v>
      </c>
      <c r="F504">
        <v>42</v>
      </c>
      <c r="G504">
        <v>118</v>
      </c>
    </row>
    <row r="505" spans="1:7" x14ac:dyDescent="0.25">
      <c r="A505" t="s">
        <v>1264</v>
      </c>
      <c r="B505" t="s">
        <v>1263</v>
      </c>
      <c r="C505" t="s">
        <v>290</v>
      </c>
      <c r="D505" t="s">
        <v>171</v>
      </c>
      <c r="E505">
        <v>60</v>
      </c>
      <c r="F505">
        <v>52</v>
      </c>
      <c r="G505">
        <v>168</v>
      </c>
    </row>
    <row r="506" spans="1:7" x14ac:dyDescent="0.25">
      <c r="A506" t="s">
        <v>1267</v>
      </c>
      <c r="B506" t="s">
        <v>1265</v>
      </c>
      <c r="C506" t="s">
        <v>90</v>
      </c>
      <c r="E506">
        <v>40</v>
      </c>
      <c r="F506">
        <v>29</v>
      </c>
      <c r="G506">
        <v>45</v>
      </c>
    </row>
    <row r="507" spans="1:7" x14ac:dyDescent="0.25">
      <c r="A507" t="s">
        <v>1269</v>
      </c>
      <c r="B507" t="s">
        <v>1268</v>
      </c>
      <c r="C507" t="s">
        <v>90</v>
      </c>
      <c r="E507">
        <v>40</v>
      </c>
      <c r="F507">
        <v>29</v>
      </c>
      <c r="G507">
        <v>45</v>
      </c>
    </row>
    <row r="508" spans="1:7" x14ac:dyDescent="0.25">
      <c r="A508" t="s">
        <v>1271</v>
      </c>
      <c r="B508" t="s">
        <v>1270</v>
      </c>
      <c r="C508" t="s">
        <v>90</v>
      </c>
      <c r="E508">
        <v>40</v>
      </c>
      <c r="F508">
        <v>29</v>
      </c>
      <c r="G508">
        <v>45</v>
      </c>
    </row>
    <row r="509" spans="1:7" x14ac:dyDescent="0.25">
      <c r="A509" t="s">
        <v>1274</v>
      </c>
      <c r="B509" t="s">
        <v>1272</v>
      </c>
      <c r="C509" t="s">
        <v>90</v>
      </c>
      <c r="D509" t="s">
        <v>40</v>
      </c>
      <c r="E509">
        <v>60</v>
      </c>
      <c r="F509">
        <v>59</v>
      </c>
      <c r="G509">
        <v>85</v>
      </c>
    </row>
    <row r="510" spans="1:7" x14ac:dyDescent="0.25">
      <c r="A510" t="s">
        <v>1276</v>
      </c>
      <c r="B510" t="s">
        <v>1275</v>
      </c>
      <c r="C510" t="s">
        <v>90</v>
      </c>
      <c r="D510" t="s">
        <v>132</v>
      </c>
      <c r="E510">
        <v>60</v>
      </c>
      <c r="F510">
        <v>79</v>
      </c>
      <c r="G510">
        <v>105</v>
      </c>
    </row>
    <row r="511" spans="1:7" x14ac:dyDescent="0.25">
      <c r="A511" t="s">
        <v>1278</v>
      </c>
      <c r="B511" t="s">
        <v>1277</v>
      </c>
      <c r="C511" t="s">
        <v>90</v>
      </c>
      <c r="D511" t="s">
        <v>171</v>
      </c>
      <c r="E511">
        <v>60</v>
      </c>
      <c r="F511">
        <v>69</v>
      </c>
      <c r="G511">
        <v>95</v>
      </c>
    </row>
    <row r="512" spans="1:7" x14ac:dyDescent="0.25">
      <c r="A512" t="s">
        <v>1280</v>
      </c>
      <c r="B512" t="s">
        <v>1279</v>
      </c>
      <c r="C512" t="s">
        <v>90</v>
      </c>
      <c r="D512" t="s">
        <v>66</v>
      </c>
      <c r="E512">
        <v>70</v>
      </c>
      <c r="F512">
        <v>94</v>
      </c>
      <c r="G512">
        <v>50</v>
      </c>
    </row>
    <row r="513" spans="1:7" x14ac:dyDescent="0.25">
      <c r="A513" t="s">
        <v>1282</v>
      </c>
      <c r="B513" t="s">
        <v>1281</v>
      </c>
      <c r="C513" t="s">
        <v>90</v>
      </c>
      <c r="D513" t="s">
        <v>66</v>
      </c>
      <c r="E513">
        <v>30</v>
      </c>
      <c r="F513">
        <v>30</v>
      </c>
      <c r="G513">
        <v>42</v>
      </c>
    </row>
    <row r="514" spans="1:7" x14ac:dyDescent="0.25">
      <c r="A514" t="s">
        <v>1284</v>
      </c>
      <c r="B514" t="s">
        <v>1283</v>
      </c>
      <c r="C514" t="s">
        <v>90</v>
      </c>
      <c r="D514" t="s">
        <v>66</v>
      </c>
      <c r="E514">
        <v>70</v>
      </c>
      <c r="F514">
        <v>80</v>
      </c>
      <c r="G514">
        <v>102</v>
      </c>
    </row>
    <row r="515" spans="1:7" x14ac:dyDescent="0.25">
      <c r="A515" t="s">
        <v>1286</v>
      </c>
      <c r="B515" t="s">
        <v>1285</v>
      </c>
      <c r="C515" t="s">
        <v>154</v>
      </c>
      <c r="E515">
        <v>60</v>
      </c>
      <c r="F515">
        <v>45</v>
      </c>
      <c r="G515">
        <v>70</v>
      </c>
    </row>
    <row r="516" spans="1:7" x14ac:dyDescent="0.25">
      <c r="A516" t="s">
        <v>1288</v>
      </c>
      <c r="B516" t="s">
        <v>1287</v>
      </c>
      <c r="C516" t="s">
        <v>76</v>
      </c>
      <c r="E516">
        <v>55</v>
      </c>
      <c r="F516">
        <v>65</v>
      </c>
      <c r="G516">
        <v>35</v>
      </c>
    </row>
    <row r="517" spans="1:7" x14ac:dyDescent="0.25">
      <c r="A517" t="s">
        <v>1290</v>
      </c>
      <c r="B517" t="s">
        <v>1289</v>
      </c>
      <c r="C517" t="s">
        <v>76</v>
      </c>
      <c r="E517">
        <v>85</v>
      </c>
      <c r="F517">
        <v>105</v>
      </c>
      <c r="G517">
        <v>55</v>
      </c>
    </row>
    <row r="518" spans="1:7" x14ac:dyDescent="0.25">
      <c r="A518" t="s">
        <v>1292</v>
      </c>
      <c r="B518" t="s">
        <v>1291</v>
      </c>
      <c r="C518" t="s">
        <v>40</v>
      </c>
      <c r="E518">
        <v>45</v>
      </c>
      <c r="F518">
        <v>35</v>
      </c>
      <c r="G518">
        <v>45</v>
      </c>
    </row>
    <row r="519" spans="1:7" x14ac:dyDescent="0.25">
      <c r="A519" t="s">
        <v>1294</v>
      </c>
      <c r="B519" t="s">
        <v>1293</v>
      </c>
      <c r="C519" t="s">
        <v>40</v>
      </c>
      <c r="E519">
        <v>70</v>
      </c>
      <c r="F519">
        <v>60</v>
      </c>
      <c r="G519">
        <v>70</v>
      </c>
    </row>
    <row r="520" spans="1:7" x14ac:dyDescent="0.25">
      <c r="A520" t="s">
        <v>1297</v>
      </c>
      <c r="B520" t="s">
        <v>1296</v>
      </c>
      <c r="C520" t="s">
        <v>40</v>
      </c>
      <c r="E520">
        <v>70</v>
      </c>
      <c r="F520">
        <v>60</v>
      </c>
      <c r="G520">
        <v>70</v>
      </c>
    </row>
    <row r="521" spans="1:7" x14ac:dyDescent="0.25">
      <c r="A521" t="s">
        <v>1300</v>
      </c>
      <c r="B521" t="s">
        <v>1298</v>
      </c>
      <c r="C521" t="s">
        <v>76</v>
      </c>
      <c r="E521">
        <v>76</v>
      </c>
      <c r="F521">
        <v>48</v>
      </c>
      <c r="G521">
        <v>48</v>
      </c>
    </row>
    <row r="522" spans="1:7" x14ac:dyDescent="0.25">
      <c r="A522" t="s">
        <v>1302</v>
      </c>
      <c r="B522" t="s">
        <v>1301</v>
      </c>
      <c r="C522" t="s">
        <v>76</v>
      </c>
      <c r="E522">
        <v>76</v>
      </c>
      <c r="F522">
        <v>48</v>
      </c>
      <c r="G522">
        <v>48</v>
      </c>
    </row>
    <row r="523" spans="1:7" x14ac:dyDescent="0.25">
      <c r="A523" t="s">
        <v>1305</v>
      </c>
      <c r="B523" t="s">
        <v>1303</v>
      </c>
      <c r="C523" t="s">
        <v>76</v>
      </c>
      <c r="D523" t="s">
        <v>132</v>
      </c>
      <c r="E523">
        <v>111</v>
      </c>
      <c r="F523">
        <v>83</v>
      </c>
      <c r="G523">
        <v>68</v>
      </c>
    </row>
    <row r="524" spans="1:7" x14ac:dyDescent="0.25">
      <c r="A524" t="s">
        <v>1307</v>
      </c>
      <c r="B524" t="s">
        <v>1306</v>
      </c>
      <c r="C524" t="s">
        <v>76</v>
      </c>
      <c r="D524" t="s">
        <v>132</v>
      </c>
      <c r="E524">
        <v>111</v>
      </c>
      <c r="F524">
        <v>83</v>
      </c>
      <c r="G524">
        <v>68</v>
      </c>
    </row>
    <row r="525" spans="1:7" x14ac:dyDescent="0.25">
      <c r="A525" t="s">
        <v>1309</v>
      </c>
      <c r="B525" t="s">
        <v>1308</v>
      </c>
      <c r="C525" t="s">
        <v>116</v>
      </c>
      <c r="E525">
        <v>75</v>
      </c>
      <c r="F525">
        <v>100</v>
      </c>
      <c r="G525">
        <v>66</v>
      </c>
    </row>
    <row r="526" spans="1:7" x14ac:dyDescent="0.25">
      <c r="A526" t="s">
        <v>1311</v>
      </c>
      <c r="B526" t="s">
        <v>1310</v>
      </c>
      <c r="C526" t="s">
        <v>419</v>
      </c>
      <c r="D526" t="s">
        <v>66</v>
      </c>
      <c r="E526">
        <v>90</v>
      </c>
      <c r="F526">
        <v>50</v>
      </c>
      <c r="G526">
        <v>34</v>
      </c>
    </row>
    <row r="527" spans="1:7" x14ac:dyDescent="0.25">
      <c r="A527" t="s">
        <v>1314</v>
      </c>
      <c r="B527" t="s">
        <v>1313</v>
      </c>
      <c r="C527" t="s">
        <v>419</v>
      </c>
      <c r="D527" t="s">
        <v>66</v>
      </c>
      <c r="E527">
        <v>150</v>
      </c>
      <c r="F527">
        <v>80</v>
      </c>
      <c r="G527">
        <v>44</v>
      </c>
    </row>
    <row r="528" spans="1:7" x14ac:dyDescent="0.25">
      <c r="A528" t="s">
        <v>1316</v>
      </c>
      <c r="B528" t="s">
        <v>1315</v>
      </c>
      <c r="C528" t="s">
        <v>116</v>
      </c>
      <c r="E528">
        <v>55</v>
      </c>
      <c r="F528">
        <v>66</v>
      </c>
      <c r="G528">
        <v>44</v>
      </c>
    </row>
    <row r="529" spans="1:7" x14ac:dyDescent="0.25">
      <c r="A529" t="s">
        <v>1319</v>
      </c>
      <c r="B529" t="s">
        <v>1318</v>
      </c>
      <c r="C529" t="s">
        <v>116</v>
      </c>
      <c r="E529">
        <v>65</v>
      </c>
      <c r="F529">
        <v>76</v>
      </c>
      <c r="G529">
        <v>84</v>
      </c>
    </row>
    <row r="530" spans="1:7" x14ac:dyDescent="0.25">
      <c r="A530" t="s">
        <v>1321</v>
      </c>
      <c r="B530" t="s">
        <v>1320</v>
      </c>
      <c r="C530" t="s">
        <v>116</v>
      </c>
      <c r="D530" t="s">
        <v>279</v>
      </c>
      <c r="E530">
        <v>65</v>
      </c>
      <c r="F530">
        <v>136</v>
      </c>
      <c r="G530">
        <v>94</v>
      </c>
    </row>
    <row r="531" spans="1:7" x14ac:dyDescent="0.25">
      <c r="A531" t="s">
        <v>1323</v>
      </c>
      <c r="B531" t="s">
        <v>1322</v>
      </c>
      <c r="C531" t="s">
        <v>419</v>
      </c>
      <c r="E531">
        <v>60</v>
      </c>
      <c r="F531">
        <v>60</v>
      </c>
      <c r="G531">
        <v>60</v>
      </c>
    </row>
    <row r="532" spans="1:7" x14ac:dyDescent="0.25">
      <c r="A532" t="s">
        <v>1325</v>
      </c>
      <c r="B532" t="s">
        <v>1324</v>
      </c>
      <c r="C532" t="s">
        <v>135</v>
      </c>
      <c r="D532" t="s">
        <v>66</v>
      </c>
      <c r="E532">
        <v>100</v>
      </c>
      <c r="F532">
        <v>125</v>
      </c>
      <c r="G532">
        <v>52</v>
      </c>
    </row>
    <row r="533" spans="1:7" x14ac:dyDescent="0.25">
      <c r="A533" t="s">
        <v>1327</v>
      </c>
      <c r="B533" t="s">
        <v>1326</v>
      </c>
      <c r="C533" t="s">
        <v>116</v>
      </c>
      <c r="E533">
        <v>49</v>
      </c>
      <c r="F533">
        <v>55</v>
      </c>
      <c r="G533">
        <v>42</v>
      </c>
    </row>
    <row r="534" spans="1:7" x14ac:dyDescent="0.25">
      <c r="A534" t="s">
        <v>1329</v>
      </c>
      <c r="B534" t="s">
        <v>1328</v>
      </c>
      <c r="C534" t="s">
        <v>116</v>
      </c>
      <c r="E534">
        <v>71</v>
      </c>
      <c r="F534">
        <v>82</v>
      </c>
      <c r="G534">
        <v>64</v>
      </c>
    </row>
    <row r="535" spans="1:7" x14ac:dyDescent="0.25">
      <c r="A535" t="s">
        <v>1331</v>
      </c>
      <c r="B535" t="s">
        <v>1330</v>
      </c>
      <c r="C535" t="s">
        <v>162</v>
      </c>
      <c r="E535">
        <v>45</v>
      </c>
      <c r="F535">
        <v>30</v>
      </c>
      <c r="G535">
        <v>50</v>
      </c>
    </row>
    <row r="536" spans="1:7" x14ac:dyDescent="0.25">
      <c r="A536" t="s">
        <v>1333</v>
      </c>
      <c r="B536" t="s">
        <v>1332</v>
      </c>
      <c r="C536" t="s">
        <v>41</v>
      </c>
      <c r="D536" t="s">
        <v>135</v>
      </c>
      <c r="E536">
        <v>63</v>
      </c>
      <c r="F536">
        <v>63</v>
      </c>
      <c r="G536">
        <v>47</v>
      </c>
    </row>
    <row r="537" spans="1:7" x14ac:dyDescent="0.25">
      <c r="A537" t="s">
        <v>1335</v>
      </c>
      <c r="B537" t="s">
        <v>1334</v>
      </c>
      <c r="C537" t="s">
        <v>41</v>
      </c>
      <c r="D537" t="s">
        <v>135</v>
      </c>
      <c r="E537">
        <v>103</v>
      </c>
      <c r="F537">
        <v>93</v>
      </c>
      <c r="G537">
        <v>67</v>
      </c>
    </row>
    <row r="538" spans="1:7" x14ac:dyDescent="0.25">
      <c r="A538" t="s">
        <v>1337</v>
      </c>
      <c r="B538" t="s">
        <v>1336</v>
      </c>
      <c r="C538" t="s">
        <v>171</v>
      </c>
      <c r="D538" t="s">
        <v>162</v>
      </c>
      <c r="E538">
        <v>57</v>
      </c>
      <c r="F538">
        <v>24</v>
      </c>
      <c r="G538">
        <v>86</v>
      </c>
    </row>
    <row r="539" spans="1:7" x14ac:dyDescent="0.25">
      <c r="A539" t="s">
        <v>1340</v>
      </c>
      <c r="B539" t="s">
        <v>1339</v>
      </c>
      <c r="C539" t="s">
        <v>171</v>
      </c>
      <c r="D539" t="s">
        <v>162</v>
      </c>
      <c r="E539">
        <v>67</v>
      </c>
      <c r="F539">
        <v>89</v>
      </c>
      <c r="G539">
        <v>116</v>
      </c>
    </row>
    <row r="540" spans="1:7" x14ac:dyDescent="0.25">
      <c r="A540" t="s">
        <v>1342</v>
      </c>
      <c r="B540" t="s">
        <v>1341</v>
      </c>
      <c r="C540" t="s">
        <v>290</v>
      </c>
      <c r="E540">
        <v>50</v>
      </c>
      <c r="F540">
        <v>80</v>
      </c>
      <c r="G540">
        <v>95</v>
      </c>
    </row>
    <row r="541" spans="1:7" x14ac:dyDescent="0.25">
      <c r="A541" t="s">
        <v>1344</v>
      </c>
      <c r="B541" t="s">
        <v>1343</v>
      </c>
      <c r="C541" t="s">
        <v>162</v>
      </c>
      <c r="D541" t="s">
        <v>157</v>
      </c>
      <c r="E541">
        <v>20</v>
      </c>
      <c r="F541">
        <v>25</v>
      </c>
      <c r="G541">
        <v>45</v>
      </c>
    </row>
    <row r="542" spans="1:7" x14ac:dyDescent="0.25">
      <c r="A542" t="s">
        <v>1346</v>
      </c>
      <c r="B542" t="s">
        <v>1345</v>
      </c>
      <c r="C542" t="s">
        <v>116</v>
      </c>
      <c r="E542">
        <v>100</v>
      </c>
      <c r="F542">
        <v>5</v>
      </c>
      <c r="G542">
        <v>5</v>
      </c>
    </row>
    <row r="543" spans="1:7" x14ac:dyDescent="0.25">
      <c r="A543" t="s">
        <v>1348</v>
      </c>
      <c r="B543" t="s">
        <v>1347</v>
      </c>
      <c r="C543" t="s">
        <v>116</v>
      </c>
      <c r="D543" t="s">
        <v>66</v>
      </c>
      <c r="E543">
        <v>76</v>
      </c>
      <c r="F543">
        <v>65</v>
      </c>
      <c r="G543">
        <v>45</v>
      </c>
    </row>
    <row r="544" spans="1:7" x14ac:dyDescent="0.25">
      <c r="A544" t="s">
        <v>1350</v>
      </c>
      <c r="B544" t="s">
        <v>1349</v>
      </c>
      <c r="C544" t="s">
        <v>419</v>
      </c>
      <c r="D544" t="s">
        <v>135</v>
      </c>
      <c r="E544">
        <v>50</v>
      </c>
      <c r="F544">
        <v>92</v>
      </c>
      <c r="G544">
        <v>108</v>
      </c>
    </row>
    <row r="545" spans="1:7" x14ac:dyDescent="0.25">
      <c r="A545" t="s">
        <v>1352</v>
      </c>
      <c r="B545" t="s">
        <v>1351</v>
      </c>
      <c r="C545" t="s">
        <v>61</v>
      </c>
      <c r="D545" t="s">
        <v>132</v>
      </c>
      <c r="E545">
        <v>58</v>
      </c>
      <c r="F545">
        <v>70</v>
      </c>
      <c r="G545">
        <v>45</v>
      </c>
    </row>
    <row r="546" spans="1:7" x14ac:dyDescent="0.25">
      <c r="A546" t="s">
        <v>1354</v>
      </c>
      <c r="B546" t="s">
        <v>1353</v>
      </c>
      <c r="C546" t="s">
        <v>61</v>
      </c>
      <c r="D546" t="s">
        <v>132</v>
      </c>
      <c r="E546">
        <v>68</v>
      </c>
      <c r="F546">
        <v>90</v>
      </c>
      <c r="G546">
        <v>65</v>
      </c>
    </row>
    <row r="547" spans="1:7" x14ac:dyDescent="0.25">
      <c r="A547" t="s">
        <v>1356</v>
      </c>
      <c r="B547" t="s">
        <v>1355</v>
      </c>
      <c r="C547" t="s">
        <v>61</v>
      </c>
      <c r="D547" t="s">
        <v>132</v>
      </c>
      <c r="E547">
        <v>108</v>
      </c>
      <c r="F547">
        <v>130</v>
      </c>
      <c r="G547">
        <v>95</v>
      </c>
    </row>
    <row r="548" spans="1:7" x14ac:dyDescent="0.25">
      <c r="A548" t="s">
        <v>1358</v>
      </c>
      <c r="B548" t="s">
        <v>1357</v>
      </c>
      <c r="C548" t="s">
        <v>61</v>
      </c>
      <c r="D548" t="s">
        <v>132</v>
      </c>
      <c r="E548">
        <v>108</v>
      </c>
      <c r="F548">
        <v>170</v>
      </c>
      <c r="G548">
        <v>115</v>
      </c>
    </row>
    <row r="549" spans="1:7" x14ac:dyDescent="0.25">
      <c r="A549" t="s">
        <v>1360</v>
      </c>
      <c r="B549" t="s">
        <v>1359</v>
      </c>
      <c r="C549" t="s">
        <v>116</v>
      </c>
      <c r="E549">
        <v>135</v>
      </c>
      <c r="F549">
        <v>85</v>
      </c>
      <c r="G549">
        <v>40</v>
      </c>
    </row>
    <row r="550" spans="1:7" x14ac:dyDescent="0.25">
      <c r="A550" t="s">
        <v>1362</v>
      </c>
      <c r="B550" t="s">
        <v>1361</v>
      </c>
      <c r="C550" t="s">
        <v>279</v>
      </c>
      <c r="E550">
        <v>40</v>
      </c>
      <c r="F550">
        <v>70</v>
      </c>
      <c r="G550">
        <v>40</v>
      </c>
    </row>
    <row r="551" spans="1:7" x14ac:dyDescent="0.25">
      <c r="A551" t="s">
        <v>1364</v>
      </c>
      <c r="B551" t="s">
        <v>1363</v>
      </c>
      <c r="C551" t="s">
        <v>279</v>
      </c>
      <c r="D551" t="s">
        <v>171</v>
      </c>
      <c r="E551">
        <v>70</v>
      </c>
      <c r="F551">
        <v>110</v>
      </c>
      <c r="G551">
        <v>70</v>
      </c>
    </row>
    <row r="552" spans="1:7" x14ac:dyDescent="0.25">
      <c r="A552" t="s">
        <v>1366</v>
      </c>
      <c r="B552" t="s">
        <v>1365</v>
      </c>
      <c r="C552" t="s">
        <v>279</v>
      </c>
      <c r="D552" t="s">
        <v>171</v>
      </c>
      <c r="E552">
        <v>70</v>
      </c>
      <c r="F552">
        <v>145</v>
      </c>
      <c r="G552">
        <v>88</v>
      </c>
    </row>
    <row r="553" spans="1:7" x14ac:dyDescent="0.25">
      <c r="A553" t="s">
        <v>1368</v>
      </c>
      <c r="B553" t="s">
        <v>1367</v>
      </c>
      <c r="C553" t="s">
        <v>132</v>
      </c>
      <c r="E553">
        <v>68</v>
      </c>
      <c r="F553">
        <v>72</v>
      </c>
      <c r="G553">
        <v>78</v>
      </c>
    </row>
    <row r="554" spans="1:7" x14ac:dyDescent="0.25">
      <c r="A554" t="s">
        <v>1370</v>
      </c>
      <c r="B554" t="s">
        <v>1369</v>
      </c>
      <c r="C554" t="s">
        <v>132</v>
      </c>
      <c r="E554">
        <v>108</v>
      </c>
      <c r="F554">
        <v>112</v>
      </c>
      <c r="G554">
        <v>118</v>
      </c>
    </row>
    <row r="555" spans="1:7" x14ac:dyDescent="0.25">
      <c r="A555" t="s">
        <v>1372</v>
      </c>
      <c r="B555" t="s">
        <v>1371</v>
      </c>
      <c r="C555" t="s">
        <v>41</v>
      </c>
      <c r="D555" t="s">
        <v>90</v>
      </c>
      <c r="E555">
        <v>40</v>
      </c>
      <c r="F555">
        <v>50</v>
      </c>
      <c r="G555">
        <v>90</v>
      </c>
    </row>
    <row r="556" spans="1:7" x14ac:dyDescent="0.25">
      <c r="A556" t="s">
        <v>1374</v>
      </c>
      <c r="B556" t="s">
        <v>1373</v>
      </c>
      <c r="C556" t="s">
        <v>41</v>
      </c>
      <c r="D556" t="s">
        <v>135</v>
      </c>
      <c r="E556">
        <v>70</v>
      </c>
      <c r="F556">
        <v>90</v>
      </c>
      <c r="G556">
        <v>110</v>
      </c>
    </row>
    <row r="557" spans="1:7" x14ac:dyDescent="0.25">
      <c r="A557" t="s">
        <v>1376</v>
      </c>
      <c r="B557" t="s">
        <v>1375</v>
      </c>
      <c r="C557" t="s">
        <v>41</v>
      </c>
      <c r="D557" t="s">
        <v>279</v>
      </c>
      <c r="E557">
        <v>48</v>
      </c>
      <c r="F557">
        <v>61</v>
      </c>
      <c r="G557">
        <v>40</v>
      </c>
    </row>
    <row r="558" spans="1:7" x14ac:dyDescent="0.25">
      <c r="A558" t="s">
        <v>1378</v>
      </c>
      <c r="B558" t="s">
        <v>1377</v>
      </c>
      <c r="C558" t="s">
        <v>41</v>
      </c>
      <c r="D558" t="s">
        <v>279</v>
      </c>
      <c r="E558">
        <v>83</v>
      </c>
      <c r="F558">
        <v>106</v>
      </c>
      <c r="G558">
        <v>65</v>
      </c>
    </row>
    <row r="559" spans="1:7" x14ac:dyDescent="0.25">
      <c r="A559" t="s">
        <v>1380</v>
      </c>
      <c r="B559" t="s">
        <v>1379</v>
      </c>
      <c r="C559" t="s">
        <v>40</v>
      </c>
      <c r="E559">
        <v>74</v>
      </c>
      <c r="F559">
        <v>100</v>
      </c>
      <c r="G559">
        <v>72</v>
      </c>
    </row>
    <row r="560" spans="1:7" x14ac:dyDescent="0.25">
      <c r="A560" t="s">
        <v>1382</v>
      </c>
      <c r="B560" t="s">
        <v>1381</v>
      </c>
      <c r="C560" t="s">
        <v>76</v>
      </c>
      <c r="E560">
        <v>49</v>
      </c>
      <c r="F560">
        <v>49</v>
      </c>
      <c r="G560">
        <v>56</v>
      </c>
    </row>
    <row r="561" spans="1:7" x14ac:dyDescent="0.25">
      <c r="A561" t="s">
        <v>1384</v>
      </c>
      <c r="B561" t="s">
        <v>1383</v>
      </c>
      <c r="C561" t="s">
        <v>76</v>
      </c>
      <c r="E561">
        <v>69</v>
      </c>
      <c r="F561">
        <v>69</v>
      </c>
      <c r="G561">
        <v>76</v>
      </c>
    </row>
    <row r="562" spans="1:7" x14ac:dyDescent="0.25">
      <c r="A562" t="s">
        <v>1386</v>
      </c>
      <c r="B562" t="s">
        <v>1385</v>
      </c>
      <c r="C562" t="s">
        <v>76</v>
      </c>
      <c r="D562" t="s">
        <v>66</v>
      </c>
      <c r="E562">
        <v>45</v>
      </c>
      <c r="F562">
        <v>20</v>
      </c>
      <c r="G562">
        <v>50</v>
      </c>
    </row>
    <row r="563" spans="1:7" x14ac:dyDescent="0.25">
      <c r="A563" t="s">
        <v>1388</v>
      </c>
      <c r="B563" t="s">
        <v>1387</v>
      </c>
      <c r="C563" t="s">
        <v>40</v>
      </c>
      <c r="D563" t="s">
        <v>170</v>
      </c>
      <c r="E563">
        <v>60</v>
      </c>
      <c r="F563">
        <v>62</v>
      </c>
      <c r="G563">
        <v>50</v>
      </c>
    </row>
    <row r="564" spans="1:7" x14ac:dyDescent="0.25">
      <c r="A564" t="s">
        <v>1390</v>
      </c>
      <c r="B564" t="s">
        <v>1389</v>
      </c>
      <c r="C564" t="s">
        <v>40</v>
      </c>
      <c r="D564" t="s">
        <v>170</v>
      </c>
      <c r="E564">
        <v>90</v>
      </c>
      <c r="F564">
        <v>92</v>
      </c>
      <c r="G564">
        <v>75</v>
      </c>
    </row>
    <row r="565" spans="1:7" x14ac:dyDescent="0.25">
      <c r="A565" t="s">
        <v>1392</v>
      </c>
      <c r="B565" t="s">
        <v>1391</v>
      </c>
      <c r="C565" t="s">
        <v>40</v>
      </c>
      <c r="D565" t="s">
        <v>170</v>
      </c>
      <c r="E565">
        <v>90</v>
      </c>
      <c r="F565">
        <v>132</v>
      </c>
      <c r="G565">
        <v>105</v>
      </c>
    </row>
    <row r="566" spans="1:7" x14ac:dyDescent="0.25">
      <c r="A566" t="s">
        <v>1394</v>
      </c>
      <c r="B566" t="s">
        <v>1393</v>
      </c>
      <c r="C566" t="s">
        <v>135</v>
      </c>
      <c r="D566" t="s">
        <v>170</v>
      </c>
      <c r="E566">
        <v>70</v>
      </c>
      <c r="F566">
        <v>120</v>
      </c>
      <c r="G566">
        <v>65</v>
      </c>
    </row>
    <row r="567" spans="1:7" x14ac:dyDescent="0.25">
      <c r="A567" t="s">
        <v>1396</v>
      </c>
      <c r="B567" t="s">
        <v>1395</v>
      </c>
      <c r="C567" t="s">
        <v>154</v>
      </c>
      <c r="D567" t="s">
        <v>171</v>
      </c>
      <c r="E567">
        <v>70</v>
      </c>
      <c r="F567">
        <v>70</v>
      </c>
      <c r="G567">
        <v>115</v>
      </c>
    </row>
    <row r="568" spans="1:7" x14ac:dyDescent="0.25">
      <c r="A568" t="s">
        <v>1398</v>
      </c>
      <c r="B568" t="s">
        <v>1397</v>
      </c>
      <c r="C568" t="s">
        <v>116</v>
      </c>
      <c r="E568">
        <v>110</v>
      </c>
      <c r="F568">
        <v>85</v>
      </c>
      <c r="G568">
        <v>95</v>
      </c>
    </row>
    <row r="569" spans="1:7" x14ac:dyDescent="0.25">
      <c r="A569" t="s">
        <v>1400</v>
      </c>
      <c r="B569" t="s">
        <v>1399</v>
      </c>
      <c r="C569" t="s">
        <v>132</v>
      </c>
      <c r="D569" t="s">
        <v>290</v>
      </c>
      <c r="E569">
        <v>115</v>
      </c>
      <c r="F569">
        <v>140</v>
      </c>
      <c r="G569">
        <v>130</v>
      </c>
    </row>
    <row r="570" spans="1:7" x14ac:dyDescent="0.25">
      <c r="A570" t="s">
        <v>1402</v>
      </c>
      <c r="B570" t="s">
        <v>1401</v>
      </c>
      <c r="C570" t="s">
        <v>40</v>
      </c>
      <c r="E570">
        <v>100</v>
      </c>
      <c r="F570">
        <v>100</v>
      </c>
      <c r="G570">
        <v>125</v>
      </c>
    </row>
    <row r="571" spans="1:7" x14ac:dyDescent="0.25">
      <c r="A571" t="s">
        <v>1404</v>
      </c>
      <c r="B571" t="s">
        <v>1403</v>
      </c>
      <c r="C571" t="s">
        <v>154</v>
      </c>
      <c r="E571">
        <v>75</v>
      </c>
      <c r="F571">
        <v>123</v>
      </c>
      <c r="G571">
        <v>67</v>
      </c>
    </row>
    <row r="572" spans="1:7" x14ac:dyDescent="0.25">
      <c r="A572" t="s">
        <v>1407</v>
      </c>
      <c r="B572" t="s">
        <v>1406</v>
      </c>
      <c r="C572" t="s">
        <v>57</v>
      </c>
      <c r="E572">
        <v>75</v>
      </c>
      <c r="F572">
        <v>95</v>
      </c>
      <c r="G572">
        <v>67</v>
      </c>
    </row>
    <row r="573" spans="1:7" x14ac:dyDescent="0.25">
      <c r="A573" t="s">
        <v>1409</v>
      </c>
      <c r="B573" t="s">
        <v>1408</v>
      </c>
      <c r="C573" t="s">
        <v>157</v>
      </c>
      <c r="D573" t="s">
        <v>66</v>
      </c>
      <c r="E573">
        <v>85</v>
      </c>
      <c r="F573">
        <v>50</v>
      </c>
      <c r="G573">
        <v>95</v>
      </c>
    </row>
    <row r="574" spans="1:7" x14ac:dyDescent="0.25">
      <c r="A574" t="s">
        <v>1411</v>
      </c>
      <c r="B574" t="s">
        <v>1410</v>
      </c>
      <c r="C574" t="s">
        <v>90</v>
      </c>
      <c r="D574" t="s">
        <v>66</v>
      </c>
      <c r="E574">
        <v>86</v>
      </c>
      <c r="F574">
        <v>76</v>
      </c>
      <c r="G574">
        <v>86</v>
      </c>
    </row>
    <row r="575" spans="1:7" x14ac:dyDescent="0.25">
      <c r="A575" t="s">
        <v>1413</v>
      </c>
      <c r="B575" t="s">
        <v>1412</v>
      </c>
      <c r="C575" t="s">
        <v>40</v>
      </c>
      <c r="E575">
        <v>65</v>
      </c>
      <c r="F575">
        <v>110</v>
      </c>
      <c r="G575">
        <v>130</v>
      </c>
    </row>
    <row r="576" spans="1:7" x14ac:dyDescent="0.25">
      <c r="A576" t="s">
        <v>1415</v>
      </c>
      <c r="B576" t="s">
        <v>1414</v>
      </c>
      <c r="C576" t="s">
        <v>170</v>
      </c>
      <c r="E576">
        <v>65</v>
      </c>
      <c r="F576">
        <v>60</v>
      </c>
      <c r="G576">
        <v>110</v>
      </c>
    </row>
    <row r="577" spans="1:7" x14ac:dyDescent="0.25">
      <c r="A577" t="s">
        <v>1417</v>
      </c>
      <c r="B577" t="s">
        <v>1416</v>
      </c>
      <c r="C577" t="s">
        <v>132</v>
      </c>
      <c r="D577" t="s">
        <v>66</v>
      </c>
      <c r="E577">
        <v>75</v>
      </c>
      <c r="F577">
        <v>95</v>
      </c>
      <c r="G577">
        <v>125</v>
      </c>
    </row>
    <row r="578" spans="1:7" x14ac:dyDescent="0.25">
      <c r="A578" t="s">
        <v>1419</v>
      </c>
      <c r="B578" t="s">
        <v>1418</v>
      </c>
      <c r="C578" t="s">
        <v>170</v>
      </c>
      <c r="D578" t="s">
        <v>132</v>
      </c>
      <c r="E578">
        <v>110</v>
      </c>
      <c r="F578">
        <v>130</v>
      </c>
      <c r="G578">
        <v>80</v>
      </c>
    </row>
    <row r="579" spans="1:7" x14ac:dyDescent="0.25">
      <c r="A579" t="s">
        <v>1421</v>
      </c>
      <c r="B579" t="s">
        <v>1420</v>
      </c>
      <c r="C579" t="s">
        <v>116</v>
      </c>
      <c r="E579">
        <v>85</v>
      </c>
      <c r="F579">
        <v>80</v>
      </c>
      <c r="G579">
        <v>70</v>
      </c>
    </row>
    <row r="580" spans="1:7" x14ac:dyDescent="0.25">
      <c r="A580" t="s">
        <v>1423</v>
      </c>
      <c r="B580" t="s">
        <v>1422</v>
      </c>
      <c r="C580" t="s">
        <v>162</v>
      </c>
      <c r="D580" t="s">
        <v>279</v>
      </c>
      <c r="E580">
        <v>68</v>
      </c>
      <c r="F580">
        <v>125</v>
      </c>
      <c r="G580">
        <v>65</v>
      </c>
    </row>
    <row r="581" spans="1:7" x14ac:dyDescent="0.25">
      <c r="A581" t="s">
        <v>1426</v>
      </c>
      <c r="B581" t="s">
        <v>1425</v>
      </c>
      <c r="C581" t="s">
        <v>162</v>
      </c>
      <c r="D581" t="s">
        <v>279</v>
      </c>
      <c r="E581">
        <v>68</v>
      </c>
      <c r="F581">
        <v>165</v>
      </c>
      <c r="G581">
        <v>95</v>
      </c>
    </row>
    <row r="582" spans="1:7" x14ac:dyDescent="0.25">
      <c r="A582" t="s">
        <v>1428</v>
      </c>
      <c r="B582" t="s">
        <v>1427</v>
      </c>
      <c r="C582" t="s">
        <v>290</v>
      </c>
      <c r="D582" t="s">
        <v>171</v>
      </c>
      <c r="E582">
        <v>60</v>
      </c>
      <c r="F582">
        <v>55</v>
      </c>
      <c r="G582">
        <v>145</v>
      </c>
    </row>
    <row r="583" spans="1:7" x14ac:dyDescent="0.25">
      <c r="A583" t="s">
        <v>1430</v>
      </c>
      <c r="B583" t="s">
        <v>1429</v>
      </c>
      <c r="C583" t="s">
        <v>419</v>
      </c>
      <c r="E583">
        <v>45</v>
      </c>
      <c r="F583">
        <v>100</v>
      </c>
      <c r="G583">
        <v>135</v>
      </c>
    </row>
    <row r="584" spans="1:7" x14ac:dyDescent="0.25">
      <c r="A584" t="s">
        <v>1432</v>
      </c>
      <c r="B584" t="s">
        <v>1431</v>
      </c>
      <c r="C584" t="s">
        <v>170</v>
      </c>
      <c r="D584" t="s">
        <v>419</v>
      </c>
      <c r="E584">
        <v>70</v>
      </c>
      <c r="F584">
        <v>80</v>
      </c>
      <c r="G584">
        <v>70</v>
      </c>
    </row>
    <row r="585" spans="1:7" x14ac:dyDescent="0.25">
      <c r="A585" t="s">
        <v>1434</v>
      </c>
      <c r="B585" t="s">
        <v>1433</v>
      </c>
      <c r="C585" t="s">
        <v>154</v>
      </c>
      <c r="D585" t="s">
        <v>419</v>
      </c>
      <c r="E585">
        <v>50</v>
      </c>
      <c r="F585">
        <v>50</v>
      </c>
      <c r="G585">
        <v>77</v>
      </c>
    </row>
    <row r="586" spans="1:7" x14ac:dyDescent="0.25">
      <c r="A586" t="s">
        <v>1436</v>
      </c>
      <c r="B586" t="s">
        <v>1435</v>
      </c>
      <c r="C586" t="s">
        <v>154</v>
      </c>
      <c r="D586" t="s">
        <v>57</v>
      </c>
      <c r="E586">
        <v>50</v>
      </c>
      <c r="F586">
        <v>65</v>
      </c>
      <c r="G586">
        <v>107</v>
      </c>
    </row>
    <row r="587" spans="1:7" x14ac:dyDescent="0.25">
      <c r="A587" t="s">
        <v>1438</v>
      </c>
      <c r="B587" t="s">
        <v>1437</v>
      </c>
      <c r="C587" t="s">
        <v>154</v>
      </c>
      <c r="D587" t="s">
        <v>76</v>
      </c>
      <c r="E587">
        <v>50</v>
      </c>
      <c r="F587">
        <v>65</v>
      </c>
      <c r="G587">
        <v>107</v>
      </c>
    </row>
    <row r="588" spans="1:7" x14ac:dyDescent="0.25">
      <c r="A588" t="s">
        <v>1440</v>
      </c>
      <c r="B588" t="s">
        <v>1439</v>
      </c>
      <c r="C588" t="s">
        <v>154</v>
      </c>
      <c r="D588" t="s">
        <v>170</v>
      </c>
      <c r="E588">
        <v>50</v>
      </c>
      <c r="F588">
        <v>65</v>
      </c>
      <c r="G588">
        <v>107</v>
      </c>
    </row>
    <row r="589" spans="1:7" x14ac:dyDescent="0.25">
      <c r="A589" t="s">
        <v>1442</v>
      </c>
      <c r="B589" t="s">
        <v>1441</v>
      </c>
      <c r="C589" t="s">
        <v>154</v>
      </c>
      <c r="D589" t="s">
        <v>66</v>
      </c>
      <c r="E589">
        <v>50</v>
      </c>
      <c r="F589">
        <v>65</v>
      </c>
      <c r="G589">
        <v>107</v>
      </c>
    </row>
    <row r="590" spans="1:7" x14ac:dyDescent="0.25">
      <c r="A590" t="s">
        <v>1444</v>
      </c>
      <c r="B590" t="s">
        <v>1443</v>
      </c>
      <c r="C590" t="s">
        <v>154</v>
      </c>
      <c r="D590" t="s">
        <v>40</v>
      </c>
      <c r="E590">
        <v>50</v>
      </c>
      <c r="F590">
        <v>65</v>
      </c>
      <c r="G590">
        <v>107</v>
      </c>
    </row>
    <row r="591" spans="1:7" x14ac:dyDescent="0.25">
      <c r="A591" t="s">
        <v>1446</v>
      </c>
      <c r="B591" t="s">
        <v>1445</v>
      </c>
      <c r="C591" t="s">
        <v>162</v>
      </c>
      <c r="E591">
        <v>75</v>
      </c>
      <c r="F591">
        <v>75</v>
      </c>
      <c r="G591">
        <v>130</v>
      </c>
    </row>
    <row r="592" spans="1:7" x14ac:dyDescent="0.25">
      <c r="A592" t="s">
        <v>1448</v>
      </c>
      <c r="B592" t="s">
        <v>1447</v>
      </c>
      <c r="C592" t="s">
        <v>162</v>
      </c>
      <c r="E592">
        <v>80</v>
      </c>
      <c r="F592">
        <v>105</v>
      </c>
      <c r="G592">
        <v>105</v>
      </c>
    </row>
    <row r="593" spans="1:7" x14ac:dyDescent="0.25">
      <c r="A593" t="s">
        <v>1450</v>
      </c>
      <c r="B593" t="s">
        <v>1449</v>
      </c>
      <c r="C593" t="s">
        <v>162</v>
      </c>
      <c r="E593">
        <v>75</v>
      </c>
      <c r="F593">
        <v>125</v>
      </c>
      <c r="G593">
        <v>70</v>
      </c>
    </row>
    <row r="594" spans="1:7" x14ac:dyDescent="0.25">
      <c r="A594" t="s">
        <v>1452</v>
      </c>
      <c r="B594" t="s">
        <v>1451</v>
      </c>
      <c r="C594" t="s">
        <v>171</v>
      </c>
      <c r="D594" t="s">
        <v>61</v>
      </c>
      <c r="E594">
        <v>100</v>
      </c>
      <c r="F594">
        <v>120</v>
      </c>
      <c r="G594">
        <v>120</v>
      </c>
    </row>
    <row r="595" spans="1:7" x14ac:dyDescent="0.25">
      <c r="A595" t="s">
        <v>1454</v>
      </c>
      <c r="B595" t="s">
        <v>1453</v>
      </c>
      <c r="C595" t="s">
        <v>171</v>
      </c>
      <c r="D595" t="s">
        <v>61</v>
      </c>
      <c r="E595">
        <v>100</v>
      </c>
      <c r="F595">
        <v>100</v>
      </c>
      <c r="G595">
        <v>120</v>
      </c>
    </row>
    <row r="596" spans="1:7" x14ac:dyDescent="0.25">
      <c r="A596" t="s">
        <v>1456</v>
      </c>
      <c r="B596" t="s">
        <v>1455</v>
      </c>
      <c r="C596" t="s">
        <v>76</v>
      </c>
      <c r="D596" t="s">
        <v>61</v>
      </c>
      <c r="E596">
        <v>90</v>
      </c>
      <c r="F596">
        <v>120</v>
      </c>
      <c r="G596">
        <v>100</v>
      </c>
    </row>
    <row r="597" spans="1:7" x14ac:dyDescent="0.25">
      <c r="A597" t="s">
        <v>1458</v>
      </c>
      <c r="B597" t="s">
        <v>1457</v>
      </c>
      <c r="C597" t="s">
        <v>76</v>
      </c>
      <c r="D597" t="s">
        <v>61</v>
      </c>
      <c r="E597">
        <v>90</v>
      </c>
      <c r="F597">
        <v>100</v>
      </c>
      <c r="G597">
        <v>100</v>
      </c>
    </row>
    <row r="598" spans="1:7" x14ac:dyDescent="0.25">
      <c r="A598" t="s">
        <v>1460</v>
      </c>
      <c r="B598" t="s">
        <v>1459</v>
      </c>
      <c r="C598" t="s">
        <v>57</v>
      </c>
      <c r="D598" t="s">
        <v>171</v>
      </c>
      <c r="E598">
        <v>91</v>
      </c>
      <c r="F598">
        <v>90</v>
      </c>
      <c r="G598">
        <v>106</v>
      </c>
    </row>
    <row r="599" spans="1:7" x14ac:dyDescent="0.25">
      <c r="A599" t="s">
        <v>1462</v>
      </c>
      <c r="B599" t="s">
        <v>1461</v>
      </c>
      <c r="C599" t="s">
        <v>116</v>
      </c>
      <c r="E599">
        <v>110</v>
      </c>
      <c r="F599">
        <v>160</v>
      </c>
      <c r="G599">
        <v>110</v>
      </c>
    </row>
    <row r="600" spans="1:7" x14ac:dyDescent="0.25">
      <c r="A600" t="s">
        <v>1465</v>
      </c>
      <c r="B600" t="s">
        <v>1464</v>
      </c>
      <c r="C600" t="s">
        <v>419</v>
      </c>
      <c r="D600" t="s">
        <v>61</v>
      </c>
      <c r="E600">
        <v>150</v>
      </c>
      <c r="F600">
        <v>100</v>
      </c>
      <c r="G600">
        <v>120</v>
      </c>
    </row>
    <row r="601" spans="1:7" x14ac:dyDescent="0.25">
      <c r="A601" t="s">
        <v>1467</v>
      </c>
      <c r="B601" t="s">
        <v>1466</v>
      </c>
      <c r="C601" t="s">
        <v>419</v>
      </c>
      <c r="D601" t="s">
        <v>61</v>
      </c>
      <c r="E601">
        <v>150</v>
      </c>
      <c r="F601">
        <v>120</v>
      </c>
      <c r="G601">
        <v>100</v>
      </c>
    </row>
    <row r="602" spans="1:7" x14ac:dyDescent="0.25">
      <c r="A602" t="s">
        <v>1469</v>
      </c>
      <c r="B602" t="s">
        <v>1468</v>
      </c>
      <c r="C602" t="s">
        <v>162</v>
      </c>
      <c r="E602">
        <v>120</v>
      </c>
      <c r="F602">
        <v>70</v>
      </c>
      <c r="G602">
        <v>110</v>
      </c>
    </row>
    <row r="603" spans="1:7" x14ac:dyDescent="0.25">
      <c r="A603" t="s">
        <v>1471</v>
      </c>
      <c r="B603" t="s">
        <v>1470</v>
      </c>
      <c r="C603" t="s">
        <v>76</v>
      </c>
      <c r="E603">
        <v>80</v>
      </c>
      <c r="F603">
        <v>80</v>
      </c>
      <c r="G603">
        <v>80</v>
      </c>
    </row>
    <row r="604" spans="1:7" x14ac:dyDescent="0.25">
      <c r="A604" t="s">
        <v>1473</v>
      </c>
      <c r="B604" t="s">
        <v>1472</v>
      </c>
      <c r="C604" t="s">
        <v>76</v>
      </c>
      <c r="E604">
        <v>100</v>
      </c>
      <c r="F604">
        <v>100</v>
      </c>
      <c r="G604">
        <v>100</v>
      </c>
    </row>
    <row r="605" spans="1:7" x14ac:dyDescent="0.25">
      <c r="A605" t="s">
        <v>1475</v>
      </c>
      <c r="B605" t="s">
        <v>1474</v>
      </c>
      <c r="C605" t="s">
        <v>135</v>
      </c>
      <c r="E605">
        <v>70</v>
      </c>
      <c r="F605">
        <v>90</v>
      </c>
      <c r="G605">
        <v>90</v>
      </c>
    </row>
    <row r="606" spans="1:7" x14ac:dyDescent="0.25">
      <c r="A606" t="s">
        <v>1479</v>
      </c>
      <c r="B606" t="s">
        <v>1477</v>
      </c>
      <c r="C606" t="s">
        <v>40</v>
      </c>
      <c r="E606">
        <v>100</v>
      </c>
      <c r="F606">
        <v>100</v>
      </c>
      <c r="G606">
        <v>100</v>
      </c>
    </row>
    <row r="607" spans="1:7" x14ac:dyDescent="0.25">
      <c r="A607" t="s">
        <v>1481</v>
      </c>
      <c r="B607" t="s">
        <v>1480</v>
      </c>
      <c r="C607" t="s">
        <v>40</v>
      </c>
      <c r="D607" t="s">
        <v>66</v>
      </c>
      <c r="E607">
        <v>100</v>
      </c>
      <c r="F607">
        <v>103</v>
      </c>
      <c r="G607">
        <v>75</v>
      </c>
    </row>
    <row r="608" spans="1:7" x14ac:dyDescent="0.25">
      <c r="A608" t="s">
        <v>1483</v>
      </c>
      <c r="B608" t="s">
        <v>1482</v>
      </c>
      <c r="C608" t="s">
        <v>116</v>
      </c>
      <c r="E608">
        <v>120</v>
      </c>
      <c r="F608">
        <v>120</v>
      </c>
      <c r="G608">
        <v>120</v>
      </c>
    </row>
    <row r="609" spans="1:7" x14ac:dyDescent="0.25">
      <c r="A609" t="s">
        <v>1486</v>
      </c>
      <c r="B609" t="s">
        <v>1485</v>
      </c>
      <c r="C609" t="s">
        <v>162</v>
      </c>
      <c r="D609" t="s">
        <v>57</v>
      </c>
      <c r="E609">
        <v>100</v>
      </c>
      <c r="F609">
        <v>100</v>
      </c>
      <c r="G609">
        <v>100</v>
      </c>
    </row>
    <row r="610" spans="1:7" x14ac:dyDescent="0.25">
      <c r="A610" t="s">
        <v>1489</v>
      </c>
      <c r="B610" t="s">
        <v>1488</v>
      </c>
      <c r="C610" t="s">
        <v>40</v>
      </c>
      <c r="E610">
        <v>45</v>
      </c>
      <c r="F610">
        <v>45</v>
      </c>
      <c r="G610">
        <v>55</v>
      </c>
    </row>
    <row r="611" spans="1:7" x14ac:dyDescent="0.25">
      <c r="A611" t="s">
        <v>1491</v>
      </c>
      <c r="B611" t="s">
        <v>1490</v>
      </c>
      <c r="C611" t="s">
        <v>40</v>
      </c>
      <c r="E611">
        <v>60</v>
      </c>
      <c r="F611">
        <v>60</v>
      </c>
      <c r="G611">
        <v>75</v>
      </c>
    </row>
    <row r="612" spans="1:7" x14ac:dyDescent="0.25">
      <c r="A612" t="s">
        <v>1493</v>
      </c>
      <c r="B612" t="s">
        <v>1492</v>
      </c>
      <c r="C612" t="s">
        <v>40</v>
      </c>
      <c r="E612">
        <v>75</v>
      </c>
      <c r="F612">
        <v>75</v>
      </c>
      <c r="G612">
        <v>95</v>
      </c>
    </row>
    <row r="613" spans="1:7" x14ac:dyDescent="0.25">
      <c r="A613" t="s">
        <v>1495</v>
      </c>
      <c r="B613" t="s">
        <v>1494</v>
      </c>
      <c r="C613" t="s">
        <v>57</v>
      </c>
      <c r="E613">
        <v>65</v>
      </c>
      <c r="F613">
        <v>63</v>
      </c>
      <c r="G613">
        <v>45</v>
      </c>
    </row>
    <row r="614" spans="1:7" x14ac:dyDescent="0.25">
      <c r="A614" t="s">
        <v>1497</v>
      </c>
      <c r="B614" t="s">
        <v>1496</v>
      </c>
      <c r="C614" t="s">
        <v>57</v>
      </c>
      <c r="D614" t="s">
        <v>279</v>
      </c>
      <c r="E614">
        <v>90</v>
      </c>
      <c r="F614">
        <v>93</v>
      </c>
      <c r="G614">
        <v>55</v>
      </c>
    </row>
    <row r="615" spans="1:7" x14ac:dyDescent="0.25">
      <c r="A615" t="s">
        <v>1499</v>
      </c>
      <c r="B615" t="s">
        <v>1498</v>
      </c>
      <c r="C615" t="s">
        <v>57</v>
      </c>
      <c r="D615" t="s">
        <v>279</v>
      </c>
      <c r="E615">
        <v>110</v>
      </c>
      <c r="F615">
        <v>123</v>
      </c>
      <c r="G615">
        <v>65</v>
      </c>
    </row>
    <row r="616" spans="1:7" x14ac:dyDescent="0.25">
      <c r="A616" t="s">
        <v>1501</v>
      </c>
      <c r="B616" t="s">
        <v>1500</v>
      </c>
      <c r="C616" t="s">
        <v>76</v>
      </c>
      <c r="E616">
        <v>55</v>
      </c>
      <c r="F616">
        <v>55</v>
      </c>
      <c r="G616">
        <v>45</v>
      </c>
    </row>
    <row r="617" spans="1:7" x14ac:dyDescent="0.25">
      <c r="A617" t="s">
        <v>1503</v>
      </c>
      <c r="B617" t="s">
        <v>1502</v>
      </c>
      <c r="C617" t="s">
        <v>76</v>
      </c>
      <c r="E617">
        <v>75</v>
      </c>
      <c r="F617">
        <v>75</v>
      </c>
      <c r="G617">
        <v>60</v>
      </c>
    </row>
    <row r="618" spans="1:7" x14ac:dyDescent="0.25">
      <c r="A618" t="s">
        <v>1505</v>
      </c>
      <c r="B618" t="s">
        <v>1504</v>
      </c>
      <c r="C618" t="s">
        <v>76</v>
      </c>
      <c r="E618">
        <v>95</v>
      </c>
      <c r="F618">
        <v>100</v>
      </c>
      <c r="G618">
        <v>85</v>
      </c>
    </row>
    <row r="619" spans="1:7" x14ac:dyDescent="0.25">
      <c r="A619" t="s">
        <v>1507</v>
      </c>
      <c r="B619" t="s">
        <v>1506</v>
      </c>
      <c r="C619" t="s">
        <v>76</v>
      </c>
      <c r="D619" t="s">
        <v>135</v>
      </c>
      <c r="E619">
        <v>90</v>
      </c>
      <c r="F619">
        <v>108</v>
      </c>
      <c r="G619">
        <v>80</v>
      </c>
    </row>
    <row r="620" spans="1:7" x14ac:dyDescent="0.25">
      <c r="A620" t="s">
        <v>1509</v>
      </c>
      <c r="B620" t="s">
        <v>1508</v>
      </c>
      <c r="C620" t="s">
        <v>116</v>
      </c>
      <c r="E620">
        <v>45</v>
      </c>
      <c r="F620">
        <v>55</v>
      </c>
      <c r="G620">
        <v>39</v>
      </c>
    </row>
    <row r="621" spans="1:7" x14ac:dyDescent="0.25">
      <c r="A621" t="s">
        <v>1511</v>
      </c>
      <c r="B621" t="s">
        <v>1510</v>
      </c>
      <c r="C621" t="s">
        <v>116</v>
      </c>
      <c r="E621">
        <v>60</v>
      </c>
      <c r="F621">
        <v>85</v>
      </c>
      <c r="G621">
        <v>69</v>
      </c>
    </row>
    <row r="622" spans="1:7" x14ac:dyDescent="0.25">
      <c r="A622" t="s">
        <v>1513</v>
      </c>
      <c r="B622" t="s">
        <v>1512</v>
      </c>
      <c r="C622" t="s">
        <v>116</v>
      </c>
      <c r="E622">
        <v>45</v>
      </c>
      <c r="F622">
        <v>60</v>
      </c>
      <c r="G622">
        <v>45</v>
      </c>
    </row>
    <row r="623" spans="1:7" x14ac:dyDescent="0.25">
      <c r="A623" t="s">
        <v>1515</v>
      </c>
      <c r="B623" t="s">
        <v>1514</v>
      </c>
      <c r="C623" t="s">
        <v>116</v>
      </c>
      <c r="E623">
        <v>65</v>
      </c>
      <c r="F623">
        <v>80</v>
      </c>
      <c r="G623">
        <v>65</v>
      </c>
    </row>
    <row r="624" spans="1:7" x14ac:dyDescent="0.25">
      <c r="A624" t="s">
        <v>1517</v>
      </c>
      <c r="B624" t="s">
        <v>1516</v>
      </c>
      <c r="C624" t="s">
        <v>116</v>
      </c>
      <c r="E624">
        <v>85</v>
      </c>
      <c r="F624">
        <v>110</v>
      </c>
      <c r="G624">
        <v>90</v>
      </c>
    </row>
    <row r="625" spans="1:7" x14ac:dyDescent="0.25">
      <c r="A625" t="s">
        <v>1519</v>
      </c>
      <c r="B625" t="s">
        <v>1518</v>
      </c>
      <c r="C625" t="s">
        <v>135</v>
      </c>
      <c r="E625">
        <v>41</v>
      </c>
      <c r="F625">
        <v>50</v>
      </c>
      <c r="G625">
        <v>37</v>
      </c>
    </row>
    <row r="626" spans="1:7" x14ac:dyDescent="0.25">
      <c r="A626" t="s">
        <v>1521</v>
      </c>
      <c r="B626" t="s">
        <v>1520</v>
      </c>
      <c r="C626" t="s">
        <v>135</v>
      </c>
      <c r="E626">
        <v>64</v>
      </c>
      <c r="F626">
        <v>88</v>
      </c>
      <c r="G626">
        <v>50</v>
      </c>
    </row>
    <row r="627" spans="1:7" x14ac:dyDescent="0.25">
      <c r="A627" t="s">
        <v>1523</v>
      </c>
      <c r="B627" t="s">
        <v>1522</v>
      </c>
      <c r="C627" t="s">
        <v>40</v>
      </c>
      <c r="E627">
        <v>50</v>
      </c>
      <c r="F627">
        <v>53</v>
      </c>
      <c r="G627">
        <v>48</v>
      </c>
    </row>
    <row r="628" spans="1:7" x14ac:dyDescent="0.25">
      <c r="A628" t="s">
        <v>1525</v>
      </c>
      <c r="B628" t="s">
        <v>1524</v>
      </c>
      <c r="C628" t="s">
        <v>40</v>
      </c>
      <c r="E628">
        <v>75</v>
      </c>
      <c r="F628">
        <v>98</v>
      </c>
      <c r="G628">
        <v>63</v>
      </c>
    </row>
    <row r="629" spans="1:7" x14ac:dyDescent="0.25">
      <c r="A629" t="s">
        <v>1527</v>
      </c>
      <c r="B629" t="s">
        <v>1526</v>
      </c>
      <c r="C629" t="s">
        <v>57</v>
      </c>
      <c r="E629">
        <v>50</v>
      </c>
      <c r="F629">
        <v>53</v>
      </c>
      <c r="G629">
        <v>48</v>
      </c>
    </row>
    <row r="630" spans="1:7" x14ac:dyDescent="0.25">
      <c r="A630" t="s">
        <v>1529</v>
      </c>
      <c r="B630" t="s">
        <v>1528</v>
      </c>
      <c r="C630" t="s">
        <v>57</v>
      </c>
      <c r="E630">
        <v>75</v>
      </c>
      <c r="F630">
        <v>98</v>
      </c>
      <c r="G630">
        <v>63</v>
      </c>
    </row>
    <row r="631" spans="1:7" x14ac:dyDescent="0.25">
      <c r="A631" t="s">
        <v>1531</v>
      </c>
      <c r="B631" t="s">
        <v>1530</v>
      </c>
      <c r="C631" t="s">
        <v>76</v>
      </c>
      <c r="E631">
        <v>50</v>
      </c>
      <c r="F631">
        <v>53</v>
      </c>
      <c r="G631">
        <v>48</v>
      </c>
    </row>
    <row r="632" spans="1:7" x14ac:dyDescent="0.25">
      <c r="A632" t="s">
        <v>1533</v>
      </c>
      <c r="B632" t="s">
        <v>1532</v>
      </c>
      <c r="C632" t="s">
        <v>76</v>
      </c>
      <c r="E632">
        <v>75</v>
      </c>
      <c r="F632">
        <v>98</v>
      </c>
      <c r="G632">
        <v>63</v>
      </c>
    </row>
    <row r="633" spans="1:7" x14ac:dyDescent="0.25">
      <c r="A633" t="s">
        <v>1535</v>
      </c>
      <c r="B633" t="s">
        <v>1534</v>
      </c>
      <c r="C633" t="s">
        <v>162</v>
      </c>
      <c r="E633">
        <v>76</v>
      </c>
      <c r="F633">
        <v>25</v>
      </c>
      <c r="G633">
        <v>45</v>
      </c>
    </row>
    <row r="634" spans="1:7" x14ac:dyDescent="0.25">
      <c r="A634" t="s">
        <v>1537</v>
      </c>
      <c r="B634" t="s">
        <v>1536</v>
      </c>
      <c r="C634" t="s">
        <v>162</v>
      </c>
      <c r="E634">
        <v>116</v>
      </c>
      <c r="F634">
        <v>55</v>
      </c>
      <c r="G634">
        <v>85</v>
      </c>
    </row>
    <row r="635" spans="1:7" x14ac:dyDescent="0.25">
      <c r="A635" t="s">
        <v>1539</v>
      </c>
      <c r="B635" t="s">
        <v>1538</v>
      </c>
      <c r="C635" t="s">
        <v>116</v>
      </c>
      <c r="D635" t="s">
        <v>66</v>
      </c>
      <c r="E635">
        <v>50</v>
      </c>
      <c r="F635">
        <v>55</v>
      </c>
      <c r="G635">
        <v>50</v>
      </c>
    </row>
    <row r="636" spans="1:7" x14ac:dyDescent="0.25">
      <c r="A636" t="s">
        <v>1541</v>
      </c>
      <c r="B636" t="s">
        <v>1540</v>
      </c>
      <c r="C636" t="s">
        <v>116</v>
      </c>
      <c r="D636" t="s">
        <v>66</v>
      </c>
      <c r="E636">
        <v>62</v>
      </c>
      <c r="F636">
        <v>77</v>
      </c>
      <c r="G636">
        <v>62</v>
      </c>
    </row>
    <row r="637" spans="1:7" x14ac:dyDescent="0.25">
      <c r="A637" t="s">
        <v>1543</v>
      </c>
      <c r="B637" t="s">
        <v>1542</v>
      </c>
      <c r="C637" t="s">
        <v>116</v>
      </c>
      <c r="D637" t="s">
        <v>66</v>
      </c>
      <c r="E637">
        <v>80</v>
      </c>
      <c r="F637">
        <v>115</v>
      </c>
      <c r="G637">
        <v>80</v>
      </c>
    </row>
    <row r="638" spans="1:7" x14ac:dyDescent="0.25">
      <c r="A638" t="s">
        <v>1545</v>
      </c>
      <c r="B638" t="s">
        <v>1544</v>
      </c>
      <c r="C638" t="s">
        <v>154</v>
      </c>
      <c r="E638">
        <v>45</v>
      </c>
      <c r="F638">
        <v>60</v>
      </c>
      <c r="G638">
        <v>32</v>
      </c>
    </row>
    <row r="639" spans="1:7" x14ac:dyDescent="0.25">
      <c r="A639" t="s">
        <v>1547</v>
      </c>
      <c r="B639" t="s">
        <v>1546</v>
      </c>
      <c r="C639" t="s">
        <v>154</v>
      </c>
      <c r="E639">
        <v>75</v>
      </c>
      <c r="F639">
        <v>100</v>
      </c>
      <c r="G639">
        <v>63</v>
      </c>
    </row>
    <row r="640" spans="1:7" x14ac:dyDescent="0.25">
      <c r="A640" t="s">
        <v>1549</v>
      </c>
      <c r="B640" t="s">
        <v>1548</v>
      </c>
      <c r="C640" t="s">
        <v>290</v>
      </c>
      <c r="E640">
        <v>55</v>
      </c>
      <c r="F640">
        <v>75</v>
      </c>
      <c r="G640">
        <v>85</v>
      </c>
    </row>
    <row r="641" spans="1:7" x14ac:dyDescent="0.25">
      <c r="A641" t="s">
        <v>1551</v>
      </c>
      <c r="B641" t="s">
        <v>1550</v>
      </c>
      <c r="C641" t="s">
        <v>290</v>
      </c>
      <c r="E641">
        <v>70</v>
      </c>
      <c r="F641">
        <v>105</v>
      </c>
      <c r="G641">
        <v>105</v>
      </c>
    </row>
    <row r="642" spans="1:7" x14ac:dyDescent="0.25">
      <c r="A642" t="s">
        <v>1553</v>
      </c>
      <c r="B642" t="s">
        <v>1552</v>
      </c>
      <c r="C642" t="s">
        <v>290</v>
      </c>
      <c r="E642">
        <v>85</v>
      </c>
      <c r="F642">
        <v>135</v>
      </c>
      <c r="G642">
        <v>130</v>
      </c>
    </row>
    <row r="643" spans="1:7" x14ac:dyDescent="0.25">
      <c r="A643" t="s">
        <v>1555</v>
      </c>
      <c r="B643" t="s">
        <v>1554</v>
      </c>
      <c r="C643" t="s">
        <v>162</v>
      </c>
      <c r="D643" t="s">
        <v>66</v>
      </c>
      <c r="E643">
        <v>65</v>
      </c>
      <c r="F643">
        <v>45</v>
      </c>
      <c r="G643">
        <v>43</v>
      </c>
    </row>
    <row r="644" spans="1:7" x14ac:dyDescent="0.25">
      <c r="A644" t="s">
        <v>1557</v>
      </c>
      <c r="B644" t="s">
        <v>1556</v>
      </c>
      <c r="C644" t="s">
        <v>162</v>
      </c>
      <c r="D644" t="s">
        <v>66</v>
      </c>
      <c r="E644">
        <v>67</v>
      </c>
      <c r="F644">
        <v>57</v>
      </c>
      <c r="G644">
        <v>55</v>
      </c>
    </row>
    <row r="645" spans="1:7" x14ac:dyDescent="0.25">
      <c r="A645" t="s">
        <v>1559</v>
      </c>
      <c r="B645" t="s">
        <v>1558</v>
      </c>
      <c r="C645" t="s">
        <v>132</v>
      </c>
      <c r="E645">
        <v>60</v>
      </c>
      <c r="F645">
        <v>85</v>
      </c>
      <c r="G645">
        <v>40</v>
      </c>
    </row>
    <row r="646" spans="1:7" x14ac:dyDescent="0.25">
      <c r="A646" t="s">
        <v>1561</v>
      </c>
      <c r="B646" t="s">
        <v>1560</v>
      </c>
      <c r="C646" t="s">
        <v>132</v>
      </c>
      <c r="D646" t="s">
        <v>171</v>
      </c>
      <c r="E646">
        <v>110</v>
      </c>
      <c r="F646">
        <v>135</v>
      </c>
      <c r="G646">
        <v>60</v>
      </c>
    </row>
    <row r="647" spans="1:7" x14ac:dyDescent="0.25">
      <c r="A647" t="s">
        <v>1563</v>
      </c>
      <c r="B647" t="s">
        <v>1562</v>
      </c>
      <c r="C647" t="s">
        <v>116</v>
      </c>
      <c r="E647">
        <v>103</v>
      </c>
      <c r="F647">
        <v>60</v>
      </c>
      <c r="G647">
        <v>86</v>
      </c>
    </row>
    <row r="648" spans="1:7" x14ac:dyDescent="0.25">
      <c r="A648" t="s">
        <v>1565</v>
      </c>
      <c r="B648" t="s">
        <v>1564</v>
      </c>
      <c r="C648" t="s">
        <v>116</v>
      </c>
      <c r="D648" t="s">
        <v>157</v>
      </c>
      <c r="E648">
        <v>103</v>
      </c>
      <c r="F648">
        <v>60</v>
      </c>
      <c r="G648">
        <v>126</v>
      </c>
    </row>
    <row r="649" spans="1:7" x14ac:dyDescent="0.25">
      <c r="A649" t="s">
        <v>1567</v>
      </c>
      <c r="B649" t="s">
        <v>1566</v>
      </c>
      <c r="C649" t="s">
        <v>279</v>
      </c>
      <c r="E649">
        <v>75</v>
      </c>
      <c r="F649">
        <v>80</v>
      </c>
      <c r="G649">
        <v>55</v>
      </c>
    </row>
    <row r="650" spans="1:7" x14ac:dyDescent="0.25">
      <c r="A650" t="s">
        <v>1569</v>
      </c>
      <c r="B650" t="s">
        <v>1568</v>
      </c>
      <c r="C650" t="s">
        <v>279</v>
      </c>
      <c r="E650">
        <v>85</v>
      </c>
      <c r="F650">
        <v>105</v>
      </c>
      <c r="G650">
        <v>85</v>
      </c>
    </row>
    <row r="651" spans="1:7" x14ac:dyDescent="0.25">
      <c r="A651" t="s">
        <v>1571</v>
      </c>
      <c r="B651" t="s">
        <v>1570</v>
      </c>
      <c r="C651" t="s">
        <v>279</v>
      </c>
      <c r="E651">
        <v>105</v>
      </c>
      <c r="F651">
        <v>140</v>
      </c>
      <c r="G651">
        <v>95</v>
      </c>
    </row>
    <row r="652" spans="1:7" x14ac:dyDescent="0.25">
      <c r="A652" t="s">
        <v>1573</v>
      </c>
      <c r="B652" t="s">
        <v>1572</v>
      </c>
      <c r="C652" t="s">
        <v>76</v>
      </c>
      <c r="E652">
        <v>50</v>
      </c>
      <c r="F652">
        <v>50</v>
      </c>
      <c r="G652">
        <v>40</v>
      </c>
    </row>
    <row r="653" spans="1:7" x14ac:dyDescent="0.25">
      <c r="A653" t="s">
        <v>1575</v>
      </c>
      <c r="B653" t="s">
        <v>1574</v>
      </c>
      <c r="C653" t="s">
        <v>76</v>
      </c>
      <c r="D653" t="s">
        <v>132</v>
      </c>
      <c r="E653">
        <v>75</v>
      </c>
      <c r="F653">
        <v>65</v>
      </c>
      <c r="G653">
        <v>55</v>
      </c>
    </row>
    <row r="654" spans="1:7" x14ac:dyDescent="0.25">
      <c r="A654" t="s">
        <v>1577</v>
      </c>
      <c r="B654" t="s">
        <v>1576</v>
      </c>
      <c r="C654" t="s">
        <v>76</v>
      </c>
      <c r="D654" t="s">
        <v>132</v>
      </c>
      <c r="E654">
        <v>105</v>
      </c>
      <c r="F654">
        <v>95</v>
      </c>
      <c r="G654">
        <v>75</v>
      </c>
    </row>
    <row r="655" spans="1:7" x14ac:dyDescent="0.25">
      <c r="A655" t="s">
        <v>1579</v>
      </c>
      <c r="B655" t="s">
        <v>1578</v>
      </c>
      <c r="C655" t="s">
        <v>279</v>
      </c>
      <c r="E655">
        <v>120</v>
      </c>
      <c r="F655">
        <v>100</v>
      </c>
      <c r="G655">
        <v>85</v>
      </c>
    </row>
    <row r="656" spans="1:7" x14ac:dyDescent="0.25">
      <c r="A656" t="s">
        <v>1581</v>
      </c>
      <c r="B656" t="s">
        <v>1580</v>
      </c>
      <c r="C656" t="s">
        <v>279</v>
      </c>
      <c r="E656">
        <v>75</v>
      </c>
      <c r="F656">
        <v>125</v>
      </c>
      <c r="G656">
        <v>75</v>
      </c>
    </row>
    <row r="657" spans="1:7" x14ac:dyDescent="0.25">
      <c r="A657" t="s">
        <v>1583</v>
      </c>
      <c r="B657" t="s">
        <v>1582</v>
      </c>
      <c r="C657" t="s">
        <v>90</v>
      </c>
      <c r="D657" t="s">
        <v>40</v>
      </c>
      <c r="E657">
        <v>45</v>
      </c>
      <c r="F657">
        <v>53</v>
      </c>
      <c r="G657">
        <v>70</v>
      </c>
    </row>
    <row r="658" spans="1:7" x14ac:dyDescent="0.25">
      <c r="A658" t="s">
        <v>1585</v>
      </c>
      <c r="B658" t="s">
        <v>1584</v>
      </c>
      <c r="C658" t="s">
        <v>90</v>
      </c>
      <c r="D658" t="s">
        <v>40</v>
      </c>
      <c r="E658">
        <v>55</v>
      </c>
      <c r="F658">
        <v>63</v>
      </c>
      <c r="G658">
        <v>90</v>
      </c>
    </row>
    <row r="659" spans="1:7" x14ac:dyDescent="0.25">
      <c r="A659" t="s">
        <v>1587</v>
      </c>
      <c r="B659" t="s">
        <v>1586</v>
      </c>
      <c r="C659" t="s">
        <v>90</v>
      </c>
      <c r="D659" t="s">
        <v>40</v>
      </c>
      <c r="E659">
        <v>75</v>
      </c>
      <c r="F659">
        <v>103</v>
      </c>
      <c r="G659">
        <v>80</v>
      </c>
    </row>
    <row r="660" spans="1:7" x14ac:dyDescent="0.25">
      <c r="A660" t="s">
        <v>1589</v>
      </c>
      <c r="B660" t="s">
        <v>1588</v>
      </c>
      <c r="C660" t="s">
        <v>90</v>
      </c>
      <c r="D660" t="s">
        <v>41</v>
      </c>
      <c r="E660">
        <v>30</v>
      </c>
      <c r="F660">
        <v>45</v>
      </c>
      <c r="G660">
        <v>59</v>
      </c>
    </row>
    <row r="661" spans="1:7" x14ac:dyDescent="0.25">
      <c r="A661" t="s">
        <v>1591</v>
      </c>
      <c r="B661" t="s">
        <v>1590</v>
      </c>
      <c r="C661" t="s">
        <v>90</v>
      </c>
      <c r="D661" t="s">
        <v>41</v>
      </c>
      <c r="E661">
        <v>40</v>
      </c>
      <c r="F661">
        <v>55</v>
      </c>
      <c r="G661">
        <v>99</v>
      </c>
    </row>
    <row r="662" spans="1:7" x14ac:dyDescent="0.25">
      <c r="A662" t="s">
        <v>1593</v>
      </c>
      <c r="B662" t="s">
        <v>1592</v>
      </c>
      <c r="C662" t="s">
        <v>90</v>
      </c>
      <c r="D662" t="s">
        <v>41</v>
      </c>
      <c r="E662">
        <v>60</v>
      </c>
      <c r="F662">
        <v>100</v>
      </c>
      <c r="G662">
        <v>89</v>
      </c>
    </row>
    <row r="663" spans="1:7" x14ac:dyDescent="0.25">
      <c r="A663" t="s">
        <v>1595</v>
      </c>
      <c r="B663" t="s">
        <v>1594</v>
      </c>
      <c r="C663" t="s">
        <v>40</v>
      </c>
      <c r="D663" t="s">
        <v>157</v>
      </c>
      <c r="E663">
        <v>40</v>
      </c>
      <c r="F663">
        <v>27</v>
      </c>
      <c r="G663">
        <v>60</v>
      </c>
    </row>
    <row r="664" spans="1:7" x14ac:dyDescent="0.25">
      <c r="A664" t="s">
        <v>1597</v>
      </c>
      <c r="B664" t="s">
        <v>1596</v>
      </c>
      <c r="C664" t="s">
        <v>40</v>
      </c>
      <c r="D664" t="s">
        <v>157</v>
      </c>
      <c r="E664">
        <v>60</v>
      </c>
      <c r="F664">
        <v>67</v>
      </c>
      <c r="G664">
        <v>85</v>
      </c>
    </row>
    <row r="665" spans="1:7" x14ac:dyDescent="0.25">
      <c r="A665" t="s">
        <v>1599</v>
      </c>
      <c r="B665" t="s">
        <v>1598</v>
      </c>
      <c r="C665" t="s">
        <v>40</v>
      </c>
      <c r="E665">
        <v>45</v>
      </c>
      <c r="F665">
        <v>35</v>
      </c>
      <c r="G665">
        <v>50</v>
      </c>
    </row>
    <row r="666" spans="1:7" x14ac:dyDescent="0.25">
      <c r="A666" t="s">
        <v>1601</v>
      </c>
      <c r="B666" t="s">
        <v>1600</v>
      </c>
      <c r="C666" t="s">
        <v>40</v>
      </c>
      <c r="E666">
        <v>70</v>
      </c>
      <c r="F666">
        <v>60</v>
      </c>
      <c r="G666">
        <v>75</v>
      </c>
    </row>
    <row r="667" spans="1:7" x14ac:dyDescent="0.25">
      <c r="A667" t="s">
        <v>1603</v>
      </c>
      <c r="B667" t="s">
        <v>1602</v>
      </c>
      <c r="C667" t="s">
        <v>40</v>
      </c>
      <c r="D667" t="s">
        <v>279</v>
      </c>
      <c r="E667">
        <v>70</v>
      </c>
      <c r="F667">
        <v>105</v>
      </c>
      <c r="G667">
        <v>75</v>
      </c>
    </row>
    <row r="668" spans="1:7" x14ac:dyDescent="0.25">
      <c r="A668" t="s">
        <v>1606</v>
      </c>
      <c r="B668" t="s">
        <v>1604</v>
      </c>
      <c r="C668" t="s">
        <v>76</v>
      </c>
      <c r="E668">
        <v>70</v>
      </c>
      <c r="F668">
        <v>92</v>
      </c>
      <c r="G668">
        <v>65</v>
      </c>
    </row>
    <row r="669" spans="1:7" x14ac:dyDescent="0.25">
      <c r="A669" t="s">
        <v>1608</v>
      </c>
      <c r="B669" t="s">
        <v>1607</v>
      </c>
      <c r="C669" t="s">
        <v>76</v>
      </c>
      <c r="E669">
        <v>70</v>
      </c>
      <c r="F669">
        <v>92</v>
      </c>
      <c r="G669">
        <v>65</v>
      </c>
    </row>
    <row r="670" spans="1:7" x14ac:dyDescent="0.25">
      <c r="A670" t="s">
        <v>1610</v>
      </c>
      <c r="B670" t="s">
        <v>1609</v>
      </c>
      <c r="C670" t="s">
        <v>76</v>
      </c>
      <c r="E670">
        <v>70</v>
      </c>
      <c r="F670">
        <v>92</v>
      </c>
      <c r="G670">
        <v>65</v>
      </c>
    </row>
    <row r="671" spans="1:7" x14ac:dyDescent="0.25">
      <c r="A671" t="s">
        <v>1612</v>
      </c>
      <c r="B671" t="s">
        <v>1611</v>
      </c>
      <c r="C671" t="s">
        <v>132</v>
      </c>
      <c r="D671" t="s">
        <v>135</v>
      </c>
      <c r="E671">
        <v>50</v>
      </c>
      <c r="F671">
        <v>72</v>
      </c>
      <c r="G671">
        <v>35</v>
      </c>
    </row>
    <row r="672" spans="1:7" x14ac:dyDescent="0.25">
      <c r="A672" t="s">
        <v>1614</v>
      </c>
      <c r="B672" t="s">
        <v>1613</v>
      </c>
      <c r="C672" t="s">
        <v>132</v>
      </c>
      <c r="D672" t="s">
        <v>135</v>
      </c>
      <c r="E672">
        <v>60</v>
      </c>
      <c r="F672">
        <v>82</v>
      </c>
      <c r="G672">
        <v>45</v>
      </c>
    </row>
    <row r="673" spans="1:7" x14ac:dyDescent="0.25">
      <c r="A673" t="s">
        <v>1616</v>
      </c>
      <c r="B673" t="s">
        <v>1615</v>
      </c>
      <c r="C673" t="s">
        <v>132</v>
      </c>
      <c r="D673" t="s">
        <v>135</v>
      </c>
      <c r="E673">
        <v>95</v>
      </c>
      <c r="F673">
        <v>117</v>
      </c>
      <c r="G673">
        <v>80</v>
      </c>
    </row>
    <row r="674" spans="1:7" x14ac:dyDescent="0.25">
      <c r="A674" t="s">
        <v>1618</v>
      </c>
      <c r="B674" t="s">
        <v>1617</v>
      </c>
      <c r="C674" t="s">
        <v>57</v>
      </c>
      <c r="E674">
        <v>70</v>
      </c>
      <c r="F674">
        <v>90</v>
      </c>
      <c r="G674">
        <v>45</v>
      </c>
    </row>
    <row r="675" spans="1:7" x14ac:dyDescent="0.25">
      <c r="A675" t="s">
        <v>1620</v>
      </c>
      <c r="B675" t="s">
        <v>1619</v>
      </c>
      <c r="C675" t="s">
        <v>170</v>
      </c>
      <c r="E675">
        <v>70</v>
      </c>
      <c r="F675">
        <v>90</v>
      </c>
      <c r="G675">
        <v>45</v>
      </c>
    </row>
    <row r="676" spans="1:7" x14ac:dyDescent="0.25">
      <c r="A676" t="s">
        <v>1622</v>
      </c>
      <c r="B676" t="s">
        <v>1621</v>
      </c>
      <c r="C676" t="s">
        <v>57</v>
      </c>
      <c r="E676">
        <v>105</v>
      </c>
      <c r="F676">
        <v>140</v>
      </c>
      <c r="G676">
        <v>55</v>
      </c>
    </row>
    <row r="677" spans="1:7" x14ac:dyDescent="0.25">
      <c r="A677" t="s">
        <v>1625</v>
      </c>
      <c r="B677" t="s">
        <v>1624</v>
      </c>
      <c r="C677" t="s">
        <v>57</v>
      </c>
      <c r="D677" t="s">
        <v>162</v>
      </c>
      <c r="E677">
        <v>105</v>
      </c>
      <c r="F677">
        <v>30</v>
      </c>
      <c r="G677">
        <v>105</v>
      </c>
    </row>
    <row r="678" spans="1:7" x14ac:dyDescent="0.25">
      <c r="A678" t="s">
        <v>1627</v>
      </c>
      <c r="B678" t="s">
        <v>1626</v>
      </c>
      <c r="C678" t="s">
        <v>170</v>
      </c>
      <c r="E678">
        <v>105</v>
      </c>
      <c r="F678">
        <v>140</v>
      </c>
      <c r="G678">
        <v>55</v>
      </c>
    </row>
    <row r="679" spans="1:7" x14ac:dyDescent="0.25">
      <c r="A679" t="s">
        <v>1630</v>
      </c>
      <c r="B679" t="s">
        <v>1629</v>
      </c>
      <c r="C679" t="s">
        <v>170</v>
      </c>
      <c r="D679" t="s">
        <v>57</v>
      </c>
      <c r="E679">
        <v>105</v>
      </c>
      <c r="F679">
        <v>160</v>
      </c>
      <c r="G679">
        <v>55</v>
      </c>
    </row>
    <row r="680" spans="1:7" x14ac:dyDescent="0.25">
      <c r="A680" t="s">
        <v>1632</v>
      </c>
      <c r="B680" t="s">
        <v>1631</v>
      </c>
      <c r="C680" t="s">
        <v>40</v>
      </c>
      <c r="E680">
        <v>75</v>
      </c>
      <c r="F680">
        <v>86</v>
      </c>
      <c r="G680">
        <v>67</v>
      </c>
    </row>
    <row r="681" spans="1:7" x14ac:dyDescent="0.25">
      <c r="A681" t="s">
        <v>1634</v>
      </c>
      <c r="B681" t="s">
        <v>1633</v>
      </c>
      <c r="C681" t="s">
        <v>90</v>
      </c>
      <c r="D681" t="s">
        <v>290</v>
      </c>
      <c r="E681">
        <v>50</v>
      </c>
      <c r="F681">
        <v>65</v>
      </c>
      <c r="G681">
        <v>85</v>
      </c>
    </row>
    <row r="682" spans="1:7" x14ac:dyDescent="0.25">
      <c r="A682" t="s">
        <v>1636</v>
      </c>
      <c r="B682" t="s">
        <v>1635</v>
      </c>
      <c r="C682" t="s">
        <v>90</v>
      </c>
      <c r="D682" t="s">
        <v>290</v>
      </c>
      <c r="E682">
        <v>70</v>
      </c>
      <c r="F682">
        <v>105</v>
      </c>
      <c r="G682">
        <v>125</v>
      </c>
    </row>
    <row r="683" spans="1:7" x14ac:dyDescent="0.25">
      <c r="A683" t="s">
        <v>1638</v>
      </c>
      <c r="B683" t="s">
        <v>1637</v>
      </c>
      <c r="C683" t="s">
        <v>135</v>
      </c>
      <c r="D683" t="s">
        <v>279</v>
      </c>
      <c r="E683">
        <v>50</v>
      </c>
      <c r="F683">
        <v>75</v>
      </c>
      <c r="G683">
        <v>70</v>
      </c>
    </row>
    <row r="684" spans="1:7" x14ac:dyDescent="0.25">
      <c r="A684" t="s">
        <v>1640</v>
      </c>
      <c r="B684" t="s">
        <v>1639</v>
      </c>
      <c r="C684" t="s">
        <v>135</v>
      </c>
      <c r="D684" t="s">
        <v>279</v>
      </c>
      <c r="E684">
        <v>65</v>
      </c>
      <c r="F684">
        <v>90</v>
      </c>
      <c r="G684">
        <v>115</v>
      </c>
    </row>
    <row r="685" spans="1:7" x14ac:dyDescent="0.25">
      <c r="A685" t="s">
        <v>1642</v>
      </c>
      <c r="B685" t="s">
        <v>1641</v>
      </c>
      <c r="C685" t="s">
        <v>162</v>
      </c>
      <c r="D685" t="s">
        <v>66</v>
      </c>
      <c r="E685">
        <v>72</v>
      </c>
      <c r="F685">
        <v>58</v>
      </c>
      <c r="G685">
        <v>80</v>
      </c>
    </row>
    <row r="686" spans="1:7" x14ac:dyDescent="0.25">
      <c r="A686" t="s">
        <v>1644</v>
      </c>
      <c r="B686" t="s">
        <v>1643</v>
      </c>
      <c r="C686" t="s">
        <v>419</v>
      </c>
      <c r="E686">
        <v>38</v>
      </c>
      <c r="F686">
        <v>30</v>
      </c>
      <c r="G686">
        <v>85</v>
      </c>
    </row>
    <row r="687" spans="1:7" x14ac:dyDescent="0.25">
      <c r="A687" t="s">
        <v>1647</v>
      </c>
      <c r="B687" t="s">
        <v>1646</v>
      </c>
      <c r="C687" t="s">
        <v>132</v>
      </c>
      <c r="D687" t="s">
        <v>419</v>
      </c>
      <c r="E687">
        <v>38</v>
      </c>
      <c r="F687">
        <v>55</v>
      </c>
      <c r="G687">
        <v>85</v>
      </c>
    </row>
    <row r="688" spans="1:7" x14ac:dyDescent="0.25">
      <c r="A688" t="s">
        <v>1650</v>
      </c>
      <c r="B688" t="s">
        <v>1649</v>
      </c>
      <c r="C688" t="s">
        <v>419</v>
      </c>
      <c r="E688">
        <v>58</v>
      </c>
      <c r="F688">
        <v>50</v>
      </c>
      <c r="G688">
        <v>145</v>
      </c>
    </row>
    <row r="689" spans="1:7" x14ac:dyDescent="0.25">
      <c r="A689" t="s">
        <v>1652</v>
      </c>
      <c r="B689" t="s">
        <v>1651</v>
      </c>
      <c r="C689" t="s">
        <v>76</v>
      </c>
      <c r="D689" t="s">
        <v>290</v>
      </c>
      <c r="E689">
        <v>54</v>
      </c>
      <c r="F689">
        <v>78</v>
      </c>
      <c r="G689">
        <v>103</v>
      </c>
    </row>
    <row r="690" spans="1:7" x14ac:dyDescent="0.25">
      <c r="A690" t="s">
        <v>1654</v>
      </c>
      <c r="B690" t="s">
        <v>1653</v>
      </c>
      <c r="C690" t="s">
        <v>76</v>
      </c>
      <c r="D690" t="s">
        <v>290</v>
      </c>
      <c r="E690">
        <v>74</v>
      </c>
      <c r="F690">
        <v>108</v>
      </c>
      <c r="G690">
        <v>133</v>
      </c>
    </row>
    <row r="691" spans="1:7" x14ac:dyDescent="0.25">
      <c r="A691" t="s">
        <v>1656</v>
      </c>
      <c r="B691" t="s">
        <v>1655</v>
      </c>
      <c r="C691" t="s">
        <v>290</v>
      </c>
      <c r="D691" t="s">
        <v>66</v>
      </c>
      <c r="E691">
        <v>55</v>
      </c>
      <c r="F691">
        <v>112</v>
      </c>
      <c r="G691">
        <v>45</v>
      </c>
    </row>
    <row r="692" spans="1:7" x14ac:dyDescent="0.25">
      <c r="A692" t="s">
        <v>1659</v>
      </c>
      <c r="B692" t="s">
        <v>1658</v>
      </c>
      <c r="C692" t="s">
        <v>290</v>
      </c>
      <c r="D692" t="s">
        <v>66</v>
      </c>
      <c r="E692">
        <v>75</v>
      </c>
      <c r="F692">
        <v>140</v>
      </c>
      <c r="G692">
        <v>65</v>
      </c>
    </row>
    <row r="693" spans="1:7" x14ac:dyDescent="0.25">
      <c r="A693" t="s">
        <v>1661</v>
      </c>
      <c r="B693" t="s">
        <v>1660</v>
      </c>
      <c r="C693" t="s">
        <v>41</v>
      </c>
      <c r="E693">
        <v>50</v>
      </c>
      <c r="F693">
        <v>50</v>
      </c>
      <c r="G693">
        <v>62</v>
      </c>
    </row>
    <row r="694" spans="1:7" x14ac:dyDescent="0.25">
      <c r="A694" t="s">
        <v>1663</v>
      </c>
      <c r="B694" t="s">
        <v>1662</v>
      </c>
      <c r="C694" t="s">
        <v>41</v>
      </c>
      <c r="E694">
        <v>80</v>
      </c>
      <c r="F694">
        <v>95</v>
      </c>
      <c r="G694">
        <v>82</v>
      </c>
    </row>
    <row r="695" spans="1:7" x14ac:dyDescent="0.25">
      <c r="A695" t="s">
        <v>1665</v>
      </c>
      <c r="B695" t="s">
        <v>1664</v>
      </c>
      <c r="C695" t="s">
        <v>135</v>
      </c>
      <c r="E695">
        <v>40</v>
      </c>
      <c r="F695">
        <v>65</v>
      </c>
      <c r="G695">
        <v>40</v>
      </c>
    </row>
    <row r="696" spans="1:7" x14ac:dyDescent="0.25">
      <c r="A696" t="s">
        <v>1668</v>
      </c>
      <c r="B696" t="s">
        <v>1667</v>
      </c>
      <c r="C696" t="s">
        <v>116</v>
      </c>
      <c r="D696" t="s">
        <v>419</v>
      </c>
      <c r="E696">
        <v>35</v>
      </c>
      <c r="F696">
        <v>60</v>
      </c>
      <c r="G696">
        <v>40</v>
      </c>
    </row>
    <row r="697" spans="1:7" x14ac:dyDescent="0.25">
      <c r="A697" t="s">
        <v>1670</v>
      </c>
      <c r="B697" t="s">
        <v>1669</v>
      </c>
      <c r="C697" t="s">
        <v>135</v>
      </c>
      <c r="E697">
        <v>60</v>
      </c>
      <c r="F697">
        <v>105</v>
      </c>
      <c r="G697">
        <v>60</v>
      </c>
    </row>
    <row r="698" spans="1:7" x14ac:dyDescent="0.25">
      <c r="A698" t="s">
        <v>1672</v>
      </c>
      <c r="B698" t="s">
        <v>1671</v>
      </c>
      <c r="C698" t="s">
        <v>116</v>
      </c>
      <c r="D698" t="s">
        <v>419</v>
      </c>
      <c r="E698">
        <v>60</v>
      </c>
      <c r="F698">
        <v>105</v>
      </c>
      <c r="G698">
        <v>60</v>
      </c>
    </row>
    <row r="699" spans="1:7" x14ac:dyDescent="0.25">
      <c r="A699" t="s">
        <v>1674</v>
      </c>
      <c r="B699" t="s">
        <v>1673</v>
      </c>
      <c r="C699" t="s">
        <v>116</v>
      </c>
      <c r="E699">
        <v>55</v>
      </c>
      <c r="F699">
        <v>50</v>
      </c>
      <c r="G699">
        <v>40</v>
      </c>
    </row>
    <row r="700" spans="1:7" x14ac:dyDescent="0.25">
      <c r="A700" t="s">
        <v>1676</v>
      </c>
      <c r="B700" t="s">
        <v>1675</v>
      </c>
      <c r="C700" t="s">
        <v>116</v>
      </c>
      <c r="E700">
        <v>75</v>
      </c>
      <c r="F700">
        <v>95</v>
      </c>
      <c r="G700">
        <v>60</v>
      </c>
    </row>
    <row r="701" spans="1:7" x14ac:dyDescent="0.25">
      <c r="A701" t="s">
        <v>1678</v>
      </c>
      <c r="B701" t="s">
        <v>1677</v>
      </c>
      <c r="C701" t="s">
        <v>162</v>
      </c>
      <c r="E701">
        <v>45</v>
      </c>
      <c r="F701">
        <v>30</v>
      </c>
      <c r="G701">
        <v>50</v>
      </c>
    </row>
    <row r="702" spans="1:7" x14ac:dyDescent="0.25">
      <c r="A702" t="s">
        <v>1680</v>
      </c>
      <c r="B702" t="s">
        <v>1679</v>
      </c>
      <c r="C702" t="s">
        <v>162</v>
      </c>
      <c r="E702">
        <v>60</v>
      </c>
      <c r="F702">
        <v>45</v>
      </c>
      <c r="G702">
        <v>70</v>
      </c>
    </row>
    <row r="703" spans="1:7" x14ac:dyDescent="0.25">
      <c r="A703" t="s">
        <v>1682</v>
      </c>
      <c r="B703" t="s">
        <v>1681</v>
      </c>
      <c r="C703" t="s">
        <v>162</v>
      </c>
      <c r="E703">
        <v>70</v>
      </c>
      <c r="F703">
        <v>55</v>
      </c>
      <c r="G703">
        <v>95</v>
      </c>
    </row>
    <row r="704" spans="1:7" x14ac:dyDescent="0.25">
      <c r="A704" t="s">
        <v>1684</v>
      </c>
      <c r="B704" t="s">
        <v>1683</v>
      </c>
      <c r="C704" t="s">
        <v>162</v>
      </c>
      <c r="E704">
        <v>45</v>
      </c>
      <c r="F704">
        <v>30</v>
      </c>
      <c r="G704">
        <v>40</v>
      </c>
    </row>
    <row r="705" spans="1:7" x14ac:dyDescent="0.25">
      <c r="A705" t="s">
        <v>1686</v>
      </c>
      <c r="B705" t="s">
        <v>1685</v>
      </c>
      <c r="C705" t="s">
        <v>162</v>
      </c>
      <c r="E705">
        <v>65</v>
      </c>
      <c r="F705">
        <v>40</v>
      </c>
      <c r="G705">
        <v>50</v>
      </c>
    </row>
    <row r="706" spans="1:7" x14ac:dyDescent="0.25">
      <c r="A706" t="s">
        <v>1688</v>
      </c>
      <c r="B706" t="s">
        <v>1687</v>
      </c>
      <c r="C706" t="s">
        <v>162</v>
      </c>
      <c r="E706">
        <v>110</v>
      </c>
      <c r="F706">
        <v>65</v>
      </c>
      <c r="G706">
        <v>75</v>
      </c>
    </row>
    <row r="707" spans="1:7" x14ac:dyDescent="0.25">
      <c r="A707" t="s">
        <v>1690</v>
      </c>
      <c r="B707" t="s">
        <v>1689</v>
      </c>
      <c r="C707" t="s">
        <v>76</v>
      </c>
      <c r="D707" t="s">
        <v>66</v>
      </c>
      <c r="E707">
        <v>62</v>
      </c>
      <c r="F707">
        <v>44</v>
      </c>
      <c r="G707">
        <v>50</v>
      </c>
    </row>
    <row r="708" spans="1:7" x14ac:dyDescent="0.25">
      <c r="A708" t="s">
        <v>1692</v>
      </c>
      <c r="B708" t="s">
        <v>1691</v>
      </c>
      <c r="C708" t="s">
        <v>76</v>
      </c>
      <c r="D708" t="s">
        <v>66</v>
      </c>
      <c r="E708">
        <v>75</v>
      </c>
      <c r="F708">
        <v>87</v>
      </c>
      <c r="G708">
        <v>63</v>
      </c>
    </row>
    <row r="709" spans="1:7" x14ac:dyDescent="0.25">
      <c r="A709" t="s">
        <v>1694</v>
      </c>
      <c r="B709" t="s">
        <v>1693</v>
      </c>
      <c r="C709" t="s">
        <v>170</v>
      </c>
      <c r="E709">
        <v>36</v>
      </c>
      <c r="F709">
        <v>50</v>
      </c>
      <c r="G709">
        <v>50</v>
      </c>
    </row>
    <row r="710" spans="1:7" x14ac:dyDescent="0.25">
      <c r="A710" t="s">
        <v>1696</v>
      </c>
      <c r="B710" t="s">
        <v>1695</v>
      </c>
      <c r="C710" t="s">
        <v>170</v>
      </c>
      <c r="E710">
        <v>51</v>
      </c>
      <c r="F710">
        <v>65</v>
      </c>
      <c r="G710">
        <v>65</v>
      </c>
    </row>
    <row r="711" spans="1:7" x14ac:dyDescent="0.25">
      <c r="A711" t="s">
        <v>1698</v>
      </c>
      <c r="B711" t="s">
        <v>1697</v>
      </c>
      <c r="C711" t="s">
        <v>170</v>
      </c>
      <c r="E711">
        <v>71</v>
      </c>
      <c r="F711">
        <v>95</v>
      </c>
      <c r="G711">
        <v>85</v>
      </c>
    </row>
    <row r="712" spans="1:7" x14ac:dyDescent="0.25">
      <c r="A712" t="s">
        <v>1701</v>
      </c>
      <c r="B712" t="s">
        <v>1699</v>
      </c>
      <c r="C712" t="s">
        <v>116</v>
      </c>
      <c r="D712" t="s">
        <v>40</v>
      </c>
      <c r="E712">
        <v>60</v>
      </c>
      <c r="F712">
        <v>60</v>
      </c>
      <c r="G712">
        <v>50</v>
      </c>
    </row>
    <row r="713" spans="1:7" x14ac:dyDescent="0.25">
      <c r="A713" t="s">
        <v>1703</v>
      </c>
      <c r="B713" t="s">
        <v>1702</v>
      </c>
      <c r="C713" t="s">
        <v>116</v>
      </c>
      <c r="D713" t="s">
        <v>40</v>
      </c>
      <c r="E713">
        <v>60</v>
      </c>
      <c r="F713">
        <v>60</v>
      </c>
      <c r="G713">
        <v>50</v>
      </c>
    </row>
    <row r="714" spans="1:7" x14ac:dyDescent="0.25">
      <c r="A714" t="s">
        <v>1705</v>
      </c>
      <c r="B714" t="s">
        <v>1704</v>
      </c>
      <c r="C714" t="s">
        <v>116</v>
      </c>
      <c r="D714" t="s">
        <v>40</v>
      </c>
      <c r="E714">
        <v>60</v>
      </c>
      <c r="F714">
        <v>60</v>
      </c>
      <c r="G714">
        <v>50</v>
      </c>
    </row>
    <row r="715" spans="1:7" x14ac:dyDescent="0.25">
      <c r="A715" t="s">
        <v>1707</v>
      </c>
      <c r="B715" t="s">
        <v>1706</v>
      </c>
      <c r="C715" t="s">
        <v>116</v>
      </c>
      <c r="D715" t="s">
        <v>40</v>
      </c>
      <c r="E715">
        <v>60</v>
      </c>
      <c r="F715">
        <v>60</v>
      </c>
      <c r="G715">
        <v>50</v>
      </c>
    </row>
    <row r="716" spans="1:7" x14ac:dyDescent="0.25">
      <c r="A716" t="s">
        <v>1709</v>
      </c>
      <c r="B716" t="s">
        <v>1708</v>
      </c>
      <c r="C716" t="s">
        <v>116</v>
      </c>
      <c r="D716" t="s">
        <v>40</v>
      </c>
      <c r="E716">
        <v>80</v>
      </c>
      <c r="F716">
        <v>100</v>
      </c>
      <c r="G716">
        <v>70</v>
      </c>
    </row>
    <row r="717" spans="1:7" x14ac:dyDescent="0.25">
      <c r="A717" t="s">
        <v>1711</v>
      </c>
      <c r="B717" t="s">
        <v>1710</v>
      </c>
      <c r="C717" t="s">
        <v>154</v>
      </c>
      <c r="D717" t="s">
        <v>66</v>
      </c>
      <c r="E717">
        <v>55</v>
      </c>
      <c r="F717">
        <v>75</v>
      </c>
      <c r="G717">
        <v>60</v>
      </c>
    </row>
    <row r="718" spans="1:7" x14ac:dyDescent="0.25">
      <c r="A718" t="s">
        <v>1713</v>
      </c>
      <c r="B718" t="s">
        <v>1712</v>
      </c>
      <c r="C718" t="s">
        <v>90</v>
      </c>
      <c r="E718">
        <v>50</v>
      </c>
      <c r="F718">
        <v>75</v>
      </c>
      <c r="G718">
        <v>45</v>
      </c>
    </row>
    <row r="719" spans="1:7" x14ac:dyDescent="0.25">
      <c r="A719" t="s">
        <v>1715</v>
      </c>
      <c r="B719" t="s">
        <v>1714</v>
      </c>
      <c r="C719" t="s">
        <v>90</v>
      </c>
      <c r="D719" t="s">
        <v>171</v>
      </c>
      <c r="E719">
        <v>70</v>
      </c>
      <c r="F719">
        <v>135</v>
      </c>
      <c r="G719">
        <v>105</v>
      </c>
    </row>
    <row r="720" spans="1:7" x14ac:dyDescent="0.25">
      <c r="A720" t="s">
        <v>1717</v>
      </c>
      <c r="B720" t="s">
        <v>1716</v>
      </c>
      <c r="C720" t="s">
        <v>40</v>
      </c>
      <c r="D720" t="s">
        <v>41</v>
      </c>
      <c r="E720">
        <v>69</v>
      </c>
      <c r="F720">
        <v>55</v>
      </c>
      <c r="G720">
        <v>45</v>
      </c>
    </row>
    <row r="721" spans="1:7" x14ac:dyDescent="0.25">
      <c r="A721" t="s">
        <v>1719</v>
      </c>
      <c r="B721" t="s">
        <v>1718</v>
      </c>
      <c r="C721" t="s">
        <v>40</v>
      </c>
      <c r="D721" t="s">
        <v>41</v>
      </c>
      <c r="E721">
        <v>114</v>
      </c>
      <c r="F721">
        <v>85</v>
      </c>
      <c r="G721">
        <v>70</v>
      </c>
    </row>
    <row r="722" spans="1:7" x14ac:dyDescent="0.25">
      <c r="A722" t="s">
        <v>1721</v>
      </c>
      <c r="B722" t="s">
        <v>1720</v>
      </c>
      <c r="C722" t="s">
        <v>76</v>
      </c>
      <c r="D722" t="s">
        <v>419</v>
      </c>
      <c r="E722">
        <v>55</v>
      </c>
      <c r="F722">
        <v>40</v>
      </c>
      <c r="G722">
        <v>50</v>
      </c>
    </row>
    <row r="723" spans="1:7" x14ac:dyDescent="0.25">
      <c r="A723" t="s">
        <v>1723</v>
      </c>
      <c r="B723" t="s">
        <v>1722</v>
      </c>
      <c r="C723" t="s">
        <v>76</v>
      </c>
      <c r="D723" t="s">
        <v>419</v>
      </c>
      <c r="E723">
        <v>100</v>
      </c>
      <c r="F723">
        <v>60</v>
      </c>
      <c r="G723">
        <v>70</v>
      </c>
    </row>
    <row r="724" spans="1:7" x14ac:dyDescent="0.25">
      <c r="A724" t="s">
        <v>1725</v>
      </c>
      <c r="B724" t="s">
        <v>1724</v>
      </c>
      <c r="C724" t="s">
        <v>76</v>
      </c>
      <c r="E724">
        <v>165</v>
      </c>
      <c r="F724">
        <v>75</v>
      </c>
      <c r="G724">
        <v>80</v>
      </c>
    </row>
    <row r="725" spans="1:7" x14ac:dyDescent="0.25">
      <c r="A725" t="s">
        <v>1727</v>
      </c>
      <c r="B725" t="s">
        <v>1726</v>
      </c>
      <c r="C725" t="s">
        <v>90</v>
      </c>
      <c r="D725" t="s">
        <v>154</v>
      </c>
      <c r="E725">
        <v>50</v>
      </c>
      <c r="F725">
        <v>47</v>
      </c>
      <c r="G725">
        <v>50</v>
      </c>
    </row>
    <row r="726" spans="1:7" x14ac:dyDescent="0.25">
      <c r="A726" t="s">
        <v>1729</v>
      </c>
      <c r="B726" t="s">
        <v>1728</v>
      </c>
      <c r="C726" t="s">
        <v>90</v>
      </c>
      <c r="D726" t="s">
        <v>154</v>
      </c>
      <c r="E726">
        <v>70</v>
      </c>
      <c r="F726">
        <v>77</v>
      </c>
      <c r="G726">
        <v>60</v>
      </c>
    </row>
    <row r="727" spans="1:7" x14ac:dyDescent="0.25">
      <c r="A727" t="s">
        <v>1731</v>
      </c>
      <c r="B727" t="s">
        <v>1730</v>
      </c>
      <c r="C727" t="s">
        <v>40</v>
      </c>
      <c r="D727" t="s">
        <v>171</v>
      </c>
      <c r="E727">
        <v>44</v>
      </c>
      <c r="F727">
        <v>50</v>
      </c>
      <c r="G727">
        <v>91</v>
      </c>
    </row>
    <row r="728" spans="1:7" x14ac:dyDescent="0.25">
      <c r="A728" t="s">
        <v>1734</v>
      </c>
      <c r="B728" t="s">
        <v>1733</v>
      </c>
      <c r="C728" t="s">
        <v>40</v>
      </c>
      <c r="D728" t="s">
        <v>171</v>
      </c>
      <c r="E728">
        <v>74</v>
      </c>
      <c r="F728">
        <v>94</v>
      </c>
      <c r="G728">
        <v>131</v>
      </c>
    </row>
    <row r="729" spans="1:7" x14ac:dyDescent="0.25">
      <c r="A729" t="s">
        <v>1736</v>
      </c>
      <c r="B729" t="s">
        <v>1735</v>
      </c>
      <c r="C729" t="s">
        <v>171</v>
      </c>
      <c r="E729">
        <v>40</v>
      </c>
      <c r="F729">
        <v>55</v>
      </c>
      <c r="G729">
        <v>70</v>
      </c>
    </row>
    <row r="730" spans="1:7" x14ac:dyDescent="0.25">
      <c r="A730" t="s">
        <v>1738</v>
      </c>
      <c r="B730" t="s">
        <v>1737</v>
      </c>
      <c r="C730" t="s">
        <v>171</v>
      </c>
      <c r="E730">
        <v>60</v>
      </c>
      <c r="F730">
        <v>80</v>
      </c>
      <c r="G730">
        <v>95</v>
      </c>
    </row>
    <row r="731" spans="1:7" x14ac:dyDescent="0.25">
      <c r="A731" t="s">
        <v>1740</v>
      </c>
      <c r="B731" t="s">
        <v>1739</v>
      </c>
      <c r="C731" t="s">
        <v>171</v>
      </c>
      <c r="E731">
        <v>60</v>
      </c>
      <c r="F731">
        <v>100</v>
      </c>
      <c r="G731">
        <v>115</v>
      </c>
    </row>
    <row r="732" spans="1:7" x14ac:dyDescent="0.25">
      <c r="A732" t="s">
        <v>1742</v>
      </c>
      <c r="B732" t="s">
        <v>1741</v>
      </c>
      <c r="C732" t="s">
        <v>154</v>
      </c>
      <c r="E732">
        <v>35</v>
      </c>
      <c r="F732">
        <v>55</v>
      </c>
      <c r="G732">
        <v>40</v>
      </c>
    </row>
    <row r="733" spans="1:7" x14ac:dyDescent="0.25">
      <c r="A733" t="s">
        <v>1744</v>
      </c>
      <c r="B733" t="s">
        <v>1743</v>
      </c>
      <c r="C733" t="s">
        <v>154</v>
      </c>
      <c r="E733">
        <v>65</v>
      </c>
      <c r="F733">
        <v>85</v>
      </c>
      <c r="G733">
        <v>70</v>
      </c>
    </row>
    <row r="734" spans="1:7" x14ac:dyDescent="0.25">
      <c r="A734" t="s">
        <v>1746</v>
      </c>
      <c r="B734" t="s">
        <v>1745</v>
      </c>
      <c r="C734" t="s">
        <v>154</v>
      </c>
      <c r="E734">
        <v>85</v>
      </c>
      <c r="F734">
        <v>115</v>
      </c>
      <c r="G734">
        <v>80</v>
      </c>
    </row>
    <row r="735" spans="1:7" x14ac:dyDescent="0.25">
      <c r="A735" t="s">
        <v>1748</v>
      </c>
      <c r="B735" t="s">
        <v>1747</v>
      </c>
      <c r="C735" t="s">
        <v>162</v>
      </c>
      <c r="E735">
        <v>55</v>
      </c>
      <c r="F735">
        <v>55</v>
      </c>
      <c r="G735">
        <v>55</v>
      </c>
    </row>
    <row r="736" spans="1:7" x14ac:dyDescent="0.25">
      <c r="A736" t="s">
        <v>1750</v>
      </c>
      <c r="B736" t="s">
        <v>1749</v>
      </c>
      <c r="C736" t="s">
        <v>162</v>
      </c>
      <c r="E736">
        <v>75</v>
      </c>
      <c r="F736">
        <v>75</v>
      </c>
      <c r="G736">
        <v>75</v>
      </c>
    </row>
    <row r="737" spans="1:7" x14ac:dyDescent="0.25">
      <c r="A737" t="s">
        <v>1752</v>
      </c>
      <c r="B737" t="s">
        <v>1751</v>
      </c>
      <c r="C737" t="s">
        <v>419</v>
      </c>
      <c r="D737" t="s">
        <v>57</v>
      </c>
      <c r="E737">
        <v>50</v>
      </c>
      <c r="F737">
        <v>30</v>
      </c>
      <c r="G737">
        <v>55</v>
      </c>
    </row>
    <row r="738" spans="1:7" x14ac:dyDescent="0.25">
      <c r="A738" t="s">
        <v>1754</v>
      </c>
      <c r="B738" t="s">
        <v>1753</v>
      </c>
      <c r="C738" t="s">
        <v>419</v>
      </c>
      <c r="D738" t="s">
        <v>57</v>
      </c>
      <c r="E738">
        <v>60</v>
      </c>
      <c r="F738">
        <v>40</v>
      </c>
      <c r="G738">
        <v>60</v>
      </c>
    </row>
    <row r="739" spans="1:7" x14ac:dyDescent="0.25">
      <c r="A739" t="s">
        <v>1756</v>
      </c>
      <c r="B739" t="s">
        <v>1755</v>
      </c>
      <c r="C739" t="s">
        <v>419</v>
      </c>
      <c r="D739" t="s">
        <v>57</v>
      </c>
      <c r="E739">
        <v>60</v>
      </c>
      <c r="F739">
        <v>55</v>
      </c>
      <c r="G739">
        <v>90</v>
      </c>
    </row>
    <row r="740" spans="1:7" x14ac:dyDescent="0.25">
      <c r="A740" t="s">
        <v>1758</v>
      </c>
      <c r="B740" t="s">
        <v>1757</v>
      </c>
      <c r="C740" t="s">
        <v>61</v>
      </c>
      <c r="E740">
        <v>46</v>
      </c>
      <c r="F740">
        <v>87</v>
      </c>
      <c r="G740">
        <v>60</v>
      </c>
    </row>
    <row r="741" spans="1:7" x14ac:dyDescent="0.25">
      <c r="A741" t="s">
        <v>1760</v>
      </c>
      <c r="B741" t="s">
        <v>1759</v>
      </c>
      <c r="C741" t="s">
        <v>61</v>
      </c>
      <c r="E741">
        <v>66</v>
      </c>
      <c r="F741">
        <v>117</v>
      </c>
      <c r="G741">
        <v>70</v>
      </c>
    </row>
    <row r="742" spans="1:7" x14ac:dyDescent="0.25">
      <c r="A742" t="s">
        <v>1762</v>
      </c>
      <c r="B742" t="s">
        <v>1761</v>
      </c>
      <c r="C742" t="s">
        <v>61</v>
      </c>
      <c r="E742">
        <v>76</v>
      </c>
      <c r="F742">
        <v>147</v>
      </c>
      <c r="G742">
        <v>90</v>
      </c>
    </row>
    <row r="743" spans="1:7" x14ac:dyDescent="0.25">
      <c r="A743" t="s">
        <v>1764</v>
      </c>
      <c r="B743" t="s">
        <v>1763</v>
      </c>
      <c r="C743" t="s">
        <v>170</v>
      </c>
      <c r="E743">
        <v>55</v>
      </c>
      <c r="F743">
        <v>70</v>
      </c>
      <c r="G743">
        <v>40</v>
      </c>
    </row>
    <row r="744" spans="1:7" x14ac:dyDescent="0.25">
      <c r="A744" t="s">
        <v>1766</v>
      </c>
      <c r="B744" t="s">
        <v>1765</v>
      </c>
      <c r="C744" t="s">
        <v>170</v>
      </c>
      <c r="E744">
        <v>95</v>
      </c>
      <c r="F744">
        <v>130</v>
      </c>
      <c r="G744">
        <v>80</v>
      </c>
    </row>
    <row r="745" spans="1:7" x14ac:dyDescent="0.25">
      <c r="A745" t="s">
        <v>1768</v>
      </c>
      <c r="B745" t="s">
        <v>1767</v>
      </c>
      <c r="C745" t="s">
        <v>170</v>
      </c>
      <c r="E745">
        <v>80</v>
      </c>
      <c r="F745">
        <v>50</v>
      </c>
      <c r="G745">
        <v>50</v>
      </c>
    </row>
    <row r="746" spans="1:7" x14ac:dyDescent="0.25">
      <c r="A746" t="s">
        <v>1770</v>
      </c>
      <c r="B746" t="s">
        <v>1769</v>
      </c>
      <c r="C746" t="s">
        <v>90</v>
      </c>
      <c r="E746">
        <v>50</v>
      </c>
      <c r="F746">
        <v>40</v>
      </c>
      <c r="G746">
        <v>85</v>
      </c>
    </row>
    <row r="747" spans="1:7" x14ac:dyDescent="0.25">
      <c r="A747" t="s">
        <v>1772</v>
      </c>
      <c r="B747" t="s">
        <v>1771</v>
      </c>
      <c r="C747" t="s">
        <v>90</v>
      </c>
      <c r="E747">
        <v>80</v>
      </c>
      <c r="F747">
        <v>70</v>
      </c>
      <c r="G747">
        <v>40</v>
      </c>
    </row>
    <row r="748" spans="1:7" x14ac:dyDescent="0.25">
      <c r="A748" t="s">
        <v>1774</v>
      </c>
      <c r="B748" t="s">
        <v>1773</v>
      </c>
      <c r="C748" t="s">
        <v>132</v>
      </c>
      <c r="D748" t="s">
        <v>154</v>
      </c>
      <c r="E748">
        <v>109</v>
      </c>
      <c r="F748">
        <v>66</v>
      </c>
      <c r="G748">
        <v>84</v>
      </c>
    </row>
    <row r="749" spans="1:7" x14ac:dyDescent="0.25">
      <c r="A749" t="s">
        <v>1776</v>
      </c>
      <c r="B749" t="s">
        <v>1775</v>
      </c>
      <c r="C749" t="s">
        <v>132</v>
      </c>
      <c r="D749" t="s">
        <v>171</v>
      </c>
      <c r="E749">
        <v>109</v>
      </c>
      <c r="F749">
        <v>81</v>
      </c>
      <c r="G749">
        <v>99</v>
      </c>
    </row>
    <row r="750" spans="1:7" x14ac:dyDescent="0.25">
      <c r="A750" t="s">
        <v>1779</v>
      </c>
      <c r="B750" t="s">
        <v>1778</v>
      </c>
      <c r="C750" t="s">
        <v>279</v>
      </c>
      <c r="E750">
        <v>45</v>
      </c>
      <c r="F750">
        <v>85</v>
      </c>
      <c r="G750">
        <v>50</v>
      </c>
    </row>
    <row r="751" spans="1:7" x14ac:dyDescent="0.25">
      <c r="A751" t="s">
        <v>1781</v>
      </c>
      <c r="B751" t="s">
        <v>1780</v>
      </c>
      <c r="C751" t="s">
        <v>279</v>
      </c>
      <c r="E751">
        <v>65</v>
      </c>
      <c r="F751">
        <v>125</v>
      </c>
      <c r="G751">
        <v>60</v>
      </c>
    </row>
    <row r="752" spans="1:7" x14ac:dyDescent="0.25">
      <c r="A752" t="s">
        <v>1783</v>
      </c>
      <c r="B752" t="s">
        <v>1782</v>
      </c>
      <c r="C752" t="s">
        <v>61</v>
      </c>
      <c r="E752">
        <v>77</v>
      </c>
      <c r="F752">
        <v>120</v>
      </c>
      <c r="G752">
        <v>90</v>
      </c>
    </row>
    <row r="753" spans="1:7" x14ac:dyDescent="0.25">
      <c r="A753" t="s">
        <v>1785</v>
      </c>
      <c r="B753" t="s">
        <v>1784</v>
      </c>
      <c r="C753" t="s">
        <v>132</v>
      </c>
      <c r="D753" t="s">
        <v>419</v>
      </c>
      <c r="E753">
        <v>59</v>
      </c>
      <c r="F753">
        <v>74</v>
      </c>
      <c r="G753">
        <v>50</v>
      </c>
    </row>
    <row r="754" spans="1:7" x14ac:dyDescent="0.25">
      <c r="A754" t="s">
        <v>1787</v>
      </c>
      <c r="B754" t="s">
        <v>1786</v>
      </c>
      <c r="C754" t="s">
        <v>132</v>
      </c>
      <c r="D754" t="s">
        <v>419</v>
      </c>
      <c r="E754">
        <v>89</v>
      </c>
      <c r="F754">
        <v>124</v>
      </c>
      <c r="G754">
        <v>80</v>
      </c>
    </row>
    <row r="755" spans="1:7" x14ac:dyDescent="0.25">
      <c r="A755" t="s">
        <v>1789</v>
      </c>
      <c r="B755" t="s">
        <v>1788</v>
      </c>
      <c r="C755" t="s">
        <v>135</v>
      </c>
      <c r="D755" t="s">
        <v>171</v>
      </c>
      <c r="E755">
        <v>45</v>
      </c>
      <c r="F755">
        <v>85</v>
      </c>
      <c r="G755">
        <v>70</v>
      </c>
    </row>
    <row r="756" spans="1:7" x14ac:dyDescent="0.25">
      <c r="A756" t="s">
        <v>1791</v>
      </c>
      <c r="B756" t="s">
        <v>1790</v>
      </c>
      <c r="C756" t="s">
        <v>135</v>
      </c>
      <c r="D756" t="s">
        <v>171</v>
      </c>
      <c r="E756">
        <v>65</v>
      </c>
      <c r="F756">
        <v>125</v>
      </c>
      <c r="G756">
        <v>100</v>
      </c>
    </row>
    <row r="757" spans="1:7" x14ac:dyDescent="0.25">
      <c r="A757" t="s">
        <v>1793</v>
      </c>
      <c r="B757" t="s">
        <v>1792</v>
      </c>
      <c r="C757" t="s">
        <v>116</v>
      </c>
      <c r="E757">
        <v>95</v>
      </c>
      <c r="F757">
        <v>110</v>
      </c>
      <c r="G757">
        <v>95</v>
      </c>
    </row>
    <row r="758" spans="1:7" x14ac:dyDescent="0.25">
      <c r="A758" t="s">
        <v>1795</v>
      </c>
      <c r="B758" t="s">
        <v>1794</v>
      </c>
      <c r="C758" t="s">
        <v>116</v>
      </c>
      <c r="D758" t="s">
        <v>66</v>
      </c>
      <c r="E758">
        <v>70</v>
      </c>
      <c r="F758">
        <v>83</v>
      </c>
      <c r="G758">
        <v>50</v>
      </c>
    </row>
    <row r="759" spans="1:7" x14ac:dyDescent="0.25">
      <c r="A759" t="s">
        <v>1797</v>
      </c>
      <c r="B759" t="s">
        <v>1796</v>
      </c>
      <c r="C759" t="s">
        <v>116</v>
      </c>
      <c r="D759" t="s">
        <v>66</v>
      </c>
      <c r="E759">
        <v>100</v>
      </c>
      <c r="F759">
        <v>123</v>
      </c>
      <c r="G759">
        <v>75</v>
      </c>
    </row>
    <row r="760" spans="1:7" x14ac:dyDescent="0.25">
      <c r="A760" t="s">
        <v>1799</v>
      </c>
      <c r="B760" t="s">
        <v>1798</v>
      </c>
      <c r="C760" t="s">
        <v>162</v>
      </c>
      <c r="D760" t="s">
        <v>66</v>
      </c>
      <c r="E760">
        <v>110</v>
      </c>
      <c r="F760">
        <v>83</v>
      </c>
      <c r="G760">
        <v>70</v>
      </c>
    </row>
    <row r="761" spans="1:7" x14ac:dyDescent="0.25">
      <c r="A761" t="s">
        <v>1801</v>
      </c>
      <c r="B761" t="s">
        <v>1800</v>
      </c>
      <c r="C761" t="s">
        <v>135</v>
      </c>
      <c r="D761" t="s">
        <v>66</v>
      </c>
      <c r="E761">
        <v>70</v>
      </c>
      <c r="F761">
        <v>55</v>
      </c>
      <c r="G761">
        <v>75</v>
      </c>
    </row>
    <row r="762" spans="1:7" x14ac:dyDescent="0.25">
      <c r="A762" t="s">
        <v>1803</v>
      </c>
      <c r="B762" t="s">
        <v>1802</v>
      </c>
      <c r="C762" t="s">
        <v>135</v>
      </c>
      <c r="D762" t="s">
        <v>66</v>
      </c>
      <c r="E762">
        <v>110</v>
      </c>
      <c r="F762">
        <v>65</v>
      </c>
      <c r="G762">
        <v>105</v>
      </c>
    </row>
    <row r="763" spans="1:7" x14ac:dyDescent="0.25">
      <c r="A763" t="s">
        <v>1805</v>
      </c>
      <c r="B763" t="s">
        <v>1804</v>
      </c>
      <c r="C763" t="s">
        <v>57</v>
      </c>
      <c r="E763">
        <v>85</v>
      </c>
      <c r="F763">
        <v>97</v>
      </c>
      <c r="G763">
        <v>66</v>
      </c>
    </row>
    <row r="764" spans="1:7" x14ac:dyDescent="0.25">
      <c r="A764" t="s">
        <v>1807</v>
      </c>
      <c r="B764" t="s">
        <v>1806</v>
      </c>
      <c r="C764" t="s">
        <v>90</v>
      </c>
      <c r="D764" t="s">
        <v>171</v>
      </c>
      <c r="E764">
        <v>58</v>
      </c>
      <c r="F764">
        <v>109</v>
      </c>
      <c r="G764">
        <v>112</v>
      </c>
    </row>
    <row r="765" spans="1:7" x14ac:dyDescent="0.25">
      <c r="A765" t="s">
        <v>1809</v>
      </c>
      <c r="B765" t="s">
        <v>1808</v>
      </c>
      <c r="C765" t="s">
        <v>135</v>
      </c>
      <c r="D765" t="s">
        <v>61</v>
      </c>
      <c r="E765">
        <v>52</v>
      </c>
      <c r="F765">
        <v>65</v>
      </c>
      <c r="G765">
        <v>50</v>
      </c>
    </row>
    <row r="766" spans="1:7" x14ac:dyDescent="0.25">
      <c r="A766" t="s">
        <v>1811</v>
      </c>
      <c r="B766" t="s">
        <v>1810</v>
      </c>
      <c r="C766" t="s">
        <v>135</v>
      </c>
      <c r="D766" t="s">
        <v>61</v>
      </c>
      <c r="E766">
        <v>72</v>
      </c>
      <c r="F766">
        <v>85</v>
      </c>
      <c r="G766">
        <v>70</v>
      </c>
    </row>
    <row r="767" spans="1:7" x14ac:dyDescent="0.25">
      <c r="A767" t="s">
        <v>1813</v>
      </c>
      <c r="B767" t="s">
        <v>1812</v>
      </c>
      <c r="C767" t="s">
        <v>135</v>
      </c>
      <c r="D767" t="s">
        <v>61</v>
      </c>
      <c r="E767">
        <v>92</v>
      </c>
      <c r="F767">
        <v>105</v>
      </c>
      <c r="G767">
        <v>90</v>
      </c>
    </row>
    <row r="768" spans="1:7" x14ac:dyDescent="0.25">
      <c r="A768" t="s">
        <v>1815</v>
      </c>
      <c r="B768" t="s">
        <v>1814</v>
      </c>
      <c r="C768" t="s">
        <v>90</v>
      </c>
      <c r="D768" t="s">
        <v>57</v>
      </c>
      <c r="E768">
        <v>55</v>
      </c>
      <c r="F768">
        <v>85</v>
      </c>
      <c r="G768">
        <v>55</v>
      </c>
    </row>
    <row r="769" spans="1:7" x14ac:dyDescent="0.25">
      <c r="A769" t="s">
        <v>1817</v>
      </c>
      <c r="B769" t="s">
        <v>1816</v>
      </c>
      <c r="C769" t="s">
        <v>90</v>
      </c>
      <c r="D769" t="s">
        <v>57</v>
      </c>
      <c r="E769">
        <v>85</v>
      </c>
      <c r="F769">
        <v>60</v>
      </c>
      <c r="G769">
        <v>65</v>
      </c>
    </row>
    <row r="770" spans="1:7" x14ac:dyDescent="0.25">
      <c r="A770" t="s">
        <v>1819</v>
      </c>
      <c r="B770" t="s">
        <v>1818</v>
      </c>
      <c r="C770" t="s">
        <v>171</v>
      </c>
      <c r="D770" t="s">
        <v>279</v>
      </c>
      <c r="E770">
        <v>91</v>
      </c>
      <c r="F770">
        <v>90</v>
      </c>
      <c r="G770">
        <v>129</v>
      </c>
    </row>
    <row r="771" spans="1:7" x14ac:dyDescent="0.25">
      <c r="A771" t="s">
        <v>1821</v>
      </c>
      <c r="B771" t="s">
        <v>1820</v>
      </c>
      <c r="C771" t="s">
        <v>290</v>
      </c>
      <c r="D771" t="s">
        <v>279</v>
      </c>
      <c r="E771">
        <v>91</v>
      </c>
      <c r="F771">
        <v>129</v>
      </c>
      <c r="G771">
        <v>90</v>
      </c>
    </row>
    <row r="772" spans="1:7" x14ac:dyDescent="0.25">
      <c r="A772" t="s">
        <v>1823</v>
      </c>
      <c r="B772" t="s">
        <v>1822</v>
      </c>
      <c r="C772" t="s">
        <v>40</v>
      </c>
      <c r="D772" t="s">
        <v>279</v>
      </c>
      <c r="E772">
        <v>91</v>
      </c>
      <c r="F772">
        <v>90</v>
      </c>
      <c r="G772">
        <v>72</v>
      </c>
    </row>
    <row r="773" spans="1:7" x14ac:dyDescent="0.25">
      <c r="A773" t="s">
        <v>1826</v>
      </c>
      <c r="B773" t="s">
        <v>1824</v>
      </c>
      <c r="C773" t="s">
        <v>66</v>
      </c>
      <c r="E773">
        <v>79</v>
      </c>
      <c r="F773">
        <v>115</v>
      </c>
      <c r="G773">
        <v>70</v>
      </c>
    </row>
    <row r="774" spans="1:7" x14ac:dyDescent="0.25">
      <c r="A774" t="s">
        <v>1828</v>
      </c>
      <c r="B774" t="s">
        <v>1827</v>
      </c>
      <c r="C774" t="s">
        <v>66</v>
      </c>
      <c r="E774">
        <v>79</v>
      </c>
      <c r="F774">
        <v>100</v>
      </c>
      <c r="G774">
        <v>80</v>
      </c>
    </row>
    <row r="775" spans="1:7" x14ac:dyDescent="0.25">
      <c r="A775" t="s">
        <v>1831</v>
      </c>
      <c r="B775" t="s">
        <v>1829</v>
      </c>
      <c r="C775" t="s">
        <v>154</v>
      </c>
      <c r="D775" t="s">
        <v>66</v>
      </c>
      <c r="E775">
        <v>79</v>
      </c>
      <c r="F775">
        <v>115</v>
      </c>
      <c r="G775">
        <v>70</v>
      </c>
    </row>
    <row r="776" spans="1:7" x14ac:dyDescent="0.25">
      <c r="A776" t="s">
        <v>1833</v>
      </c>
      <c r="B776" t="s">
        <v>1832</v>
      </c>
      <c r="C776" t="s">
        <v>154</v>
      </c>
      <c r="D776" t="s">
        <v>66</v>
      </c>
      <c r="E776">
        <v>79</v>
      </c>
      <c r="F776">
        <v>105</v>
      </c>
      <c r="G776">
        <v>70</v>
      </c>
    </row>
    <row r="777" spans="1:7" x14ac:dyDescent="0.25">
      <c r="A777" t="s">
        <v>1835</v>
      </c>
      <c r="B777" t="s">
        <v>1834</v>
      </c>
      <c r="C777" t="s">
        <v>61</v>
      </c>
      <c r="D777" t="s">
        <v>57</v>
      </c>
      <c r="E777">
        <v>100</v>
      </c>
      <c r="F777">
        <v>120</v>
      </c>
      <c r="G777">
        <v>100</v>
      </c>
    </row>
    <row r="778" spans="1:7" x14ac:dyDescent="0.25">
      <c r="A778" t="s">
        <v>1838</v>
      </c>
      <c r="B778" t="s">
        <v>1837</v>
      </c>
      <c r="C778" t="s">
        <v>61</v>
      </c>
      <c r="D778" t="s">
        <v>154</v>
      </c>
      <c r="E778">
        <v>100</v>
      </c>
      <c r="F778">
        <v>150</v>
      </c>
      <c r="G778">
        <v>120</v>
      </c>
    </row>
    <row r="779" spans="1:7" x14ac:dyDescent="0.25">
      <c r="A779" t="s">
        <v>1842</v>
      </c>
      <c r="B779" t="s">
        <v>1840</v>
      </c>
      <c r="C779" t="s">
        <v>132</v>
      </c>
      <c r="D779" t="s">
        <v>66</v>
      </c>
      <c r="E779">
        <v>89</v>
      </c>
      <c r="F779">
        <v>125</v>
      </c>
      <c r="G779">
        <v>90</v>
      </c>
    </row>
    <row r="780" spans="1:7" x14ac:dyDescent="0.25">
      <c r="A780" t="s">
        <v>1844</v>
      </c>
      <c r="B780" t="s">
        <v>1843</v>
      </c>
      <c r="C780" t="s">
        <v>132</v>
      </c>
      <c r="D780" t="s">
        <v>66</v>
      </c>
      <c r="E780">
        <v>89</v>
      </c>
      <c r="F780">
        <v>145</v>
      </c>
      <c r="G780">
        <v>90</v>
      </c>
    </row>
    <row r="781" spans="1:7" x14ac:dyDescent="0.25">
      <c r="A781" t="s">
        <v>1846</v>
      </c>
      <c r="B781" t="s">
        <v>1845</v>
      </c>
      <c r="C781" t="s">
        <v>61</v>
      </c>
      <c r="D781" t="s">
        <v>170</v>
      </c>
      <c r="E781">
        <v>125</v>
      </c>
      <c r="F781">
        <v>130</v>
      </c>
      <c r="G781">
        <v>90</v>
      </c>
    </row>
    <row r="782" spans="1:7" x14ac:dyDescent="0.25">
      <c r="A782" t="s">
        <v>1848</v>
      </c>
      <c r="B782" t="s">
        <v>1847</v>
      </c>
      <c r="C782" t="s">
        <v>61</v>
      </c>
      <c r="D782" t="s">
        <v>170</v>
      </c>
      <c r="E782">
        <v>125</v>
      </c>
      <c r="F782">
        <v>120</v>
      </c>
      <c r="G782">
        <v>90</v>
      </c>
    </row>
    <row r="783" spans="1:7" x14ac:dyDescent="0.25">
      <c r="A783" t="s">
        <v>1850</v>
      </c>
      <c r="B783" t="s">
        <v>1849</v>
      </c>
      <c r="C783" t="s">
        <v>61</v>
      </c>
      <c r="D783" t="s">
        <v>170</v>
      </c>
      <c r="E783">
        <v>125</v>
      </c>
      <c r="F783">
        <v>170</v>
      </c>
      <c r="G783">
        <v>100</v>
      </c>
    </row>
    <row r="784" spans="1:7" x14ac:dyDescent="0.25">
      <c r="A784" t="s">
        <v>1853</v>
      </c>
      <c r="B784" t="s">
        <v>1851</v>
      </c>
      <c r="C784" t="s">
        <v>76</v>
      </c>
      <c r="D784" t="s">
        <v>279</v>
      </c>
      <c r="E784">
        <v>91</v>
      </c>
      <c r="F784">
        <v>72</v>
      </c>
      <c r="G784">
        <v>90</v>
      </c>
    </row>
    <row r="785" spans="1:7" x14ac:dyDescent="0.25">
      <c r="A785" t="s">
        <v>1855</v>
      </c>
      <c r="B785" t="s">
        <v>1854</v>
      </c>
      <c r="C785" t="s">
        <v>76</v>
      </c>
      <c r="D785" t="s">
        <v>279</v>
      </c>
      <c r="E785">
        <v>91</v>
      </c>
      <c r="F785">
        <v>72</v>
      </c>
      <c r="G785">
        <v>90</v>
      </c>
    </row>
    <row r="786" spans="1:7" x14ac:dyDescent="0.25">
      <c r="A786" t="s">
        <v>1858</v>
      </c>
      <c r="B786" t="s">
        <v>1856</v>
      </c>
      <c r="C786" t="s">
        <v>116</v>
      </c>
      <c r="D786" t="s">
        <v>162</v>
      </c>
      <c r="E786">
        <v>100</v>
      </c>
      <c r="F786">
        <v>77</v>
      </c>
      <c r="G786">
        <v>77</v>
      </c>
    </row>
    <row r="787" spans="1:7" x14ac:dyDescent="0.25">
      <c r="A787" t="s">
        <v>1860</v>
      </c>
      <c r="B787" t="s">
        <v>1859</v>
      </c>
      <c r="C787" t="s">
        <v>116</v>
      </c>
      <c r="D787" t="s">
        <v>279</v>
      </c>
      <c r="E787">
        <v>100</v>
      </c>
      <c r="F787">
        <v>128</v>
      </c>
      <c r="G787">
        <v>90</v>
      </c>
    </row>
    <row r="788" spans="1:7" x14ac:dyDescent="0.25">
      <c r="A788" t="s">
        <v>1862</v>
      </c>
      <c r="B788" t="s">
        <v>1861</v>
      </c>
      <c r="C788" t="s">
        <v>90</v>
      </c>
      <c r="D788" t="s">
        <v>171</v>
      </c>
      <c r="E788">
        <v>71</v>
      </c>
      <c r="F788">
        <v>120</v>
      </c>
      <c r="G788">
        <v>95</v>
      </c>
    </row>
    <row r="789" spans="1:7" x14ac:dyDescent="0.25">
      <c r="A789" t="s">
        <v>1864</v>
      </c>
      <c r="B789" t="s">
        <v>1863</v>
      </c>
      <c r="C789" t="s">
        <v>40</v>
      </c>
      <c r="E789">
        <v>56</v>
      </c>
      <c r="F789">
        <v>61</v>
      </c>
      <c r="G789">
        <v>65</v>
      </c>
    </row>
    <row r="790" spans="1:7" x14ac:dyDescent="0.25">
      <c r="A790" t="s">
        <v>1867</v>
      </c>
      <c r="B790" t="s">
        <v>1866</v>
      </c>
      <c r="C790" t="s">
        <v>40</v>
      </c>
      <c r="E790">
        <v>61</v>
      </c>
      <c r="F790">
        <v>78</v>
      </c>
      <c r="G790">
        <v>95</v>
      </c>
    </row>
    <row r="791" spans="1:7" x14ac:dyDescent="0.25">
      <c r="A791" t="s">
        <v>1869</v>
      </c>
      <c r="B791" t="s">
        <v>1868</v>
      </c>
      <c r="C791" t="s">
        <v>40</v>
      </c>
      <c r="D791" t="s">
        <v>279</v>
      </c>
      <c r="E791">
        <v>88</v>
      </c>
      <c r="F791">
        <v>107</v>
      </c>
      <c r="G791">
        <v>122</v>
      </c>
    </row>
    <row r="792" spans="1:7" x14ac:dyDescent="0.25">
      <c r="A792" t="s">
        <v>1871</v>
      </c>
      <c r="B792" t="s">
        <v>1870</v>
      </c>
      <c r="C792" t="s">
        <v>57</v>
      </c>
      <c r="E792">
        <v>40</v>
      </c>
      <c r="F792">
        <v>45</v>
      </c>
      <c r="G792">
        <v>40</v>
      </c>
    </row>
    <row r="793" spans="1:7" x14ac:dyDescent="0.25">
      <c r="A793" t="s">
        <v>1874</v>
      </c>
      <c r="B793" t="s">
        <v>1873</v>
      </c>
      <c r="C793" t="s">
        <v>57</v>
      </c>
      <c r="E793">
        <v>59</v>
      </c>
      <c r="F793">
        <v>59</v>
      </c>
      <c r="G793">
        <v>58</v>
      </c>
    </row>
    <row r="794" spans="1:7" x14ac:dyDescent="0.25">
      <c r="A794" t="s">
        <v>1876</v>
      </c>
      <c r="B794" t="s">
        <v>1875</v>
      </c>
      <c r="C794" t="s">
        <v>57</v>
      </c>
      <c r="D794" t="s">
        <v>162</v>
      </c>
      <c r="E794">
        <v>75</v>
      </c>
      <c r="F794">
        <v>69</v>
      </c>
      <c r="G794">
        <v>72</v>
      </c>
    </row>
    <row r="795" spans="1:7" x14ac:dyDescent="0.25">
      <c r="A795" t="s">
        <v>1878</v>
      </c>
      <c r="B795" t="s">
        <v>1877</v>
      </c>
      <c r="C795" t="s">
        <v>76</v>
      </c>
      <c r="E795">
        <v>41</v>
      </c>
      <c r="F795">
        <v>56</v>
      </c>
      <c r="G795">
        <v>40</v>
      </c>
    </row>
    <row r="796" spans="1:7" x14ac:dyDescent="0.25">
      <c r="A796" t="s">
        <v>1880</v>
      </c>
      <c r="B796" t="s">
        <v>1879</v>
      </c>
      <c r="C796" t="s">
        <v>76</v>
      </c>
      <c r="E796">
        <v>54</v>
      </c>
      <c r="F796">
        <v>63</v>
      </c>
      <c r="G796">
        <v>52</v>
      </c>
    </row>
    <row r="797" spans="1:7" x14ac:dyDescent="0.25">
      <c r="A797" t="s">
        <v>1882</v>
      </c>
      <c r="B797" t="s">
        <v>1881</v>
      </c>
      <c r="C797" t="s">
        <v>76</v>
      </c>
      <c r="D797" t="s">
        <v>135</v>
      </c>
      <c r="E797">
        <v>72</v>
      </c>
      <c r="F797">
        <v>95</v>
      </c>
      <c r="G797">
        <v>67</v>
      </c>
    </row>
    <row r="798" spans="1:7" x14ac:dyDescent="0.25">
      <c r="A798" t="s">
        <v>1884</v>
      </c>
      <c r="B798" t="s">
        <v>1883</v>
      </c>
      <c r="C798" t="s">
        <v>76</v>
      </c>
      <c r="D798" t="s">
        <v>135</v>
      </c>
      <c r="E798">
        <v>72</v>
      </c>
      <c r="F798">
        <v>145</v>
      </c>
      <c r="G798">
        <v>67</v>
      </c>
    </row>
    <row r="799" spans="1:7" x14ac:dyDescent="0.25">
      <c r="A799" t="s">
        <v>1887</v>
      </c>
      <c r="B799" t="s">
        <v>1886</v>
      </c>
      <c r="C799" t="s">
        <v>116</v>
      </c>
      <c r="E799">
        <v>38</v>
      </c>
      <c r="F799">
        <v>36</v>
      </c>
      <c r="G799">
        <v>38</v>
      </c>
    </row>
    <row r="800" spans="1:7" x14ac:dyDescent="0.25">
      <c r="A800" t="s">
        <v>1890</v>
      </c>
      <c r="B800" t="s">
        <v>1889</v>
      </c>
      <c r="C800" t="s">
        <v>116</v>
      </c>
      <c r="D800" t="s">
        <v>132</v>
      </c>
      <c r="E800">
        <v>85</v>
      </c>
      <c r="F800">
        <v>56</v>
      </c>
      <c r="G800">
        <v>77</v>
      </c>
    </row>
    <row r="801" spans="1:7" x14ac:dyDescent="0.25">
      <c r="A801" t="s">
        <v>1892</v>
      </c>
      <c r="B801" t="s">
        <v>1891</v>
      </c>
      <c r="C801" t="s">
        <v>116</v>
      </c>
      <c r="D801" t="s">
        <v>66</v>
      </c>
      <c r="E801">
        <v>45</v>
      </c>
      <c r="F801">
        <v>50</v>
      </c>
      <c r="G801">
        <v>43</v>
      </c>
    </row>
    <row r="802" spans="1:7" x14ac:dyDescent="0.25">
      <c r="A802" t="s">
        <v>1895</v>
      </c>
      <c r="B802" t="s">
        <v>1894</v>
      </c>
      <c r="C802" t="s">
        <v>57</v>
      </c>
      <c r="D802" t="s">
        <v>66</v>
      </c>
      <c r="E802">
        <v>62</v>
      </c>
      <c r="F802">
        <v>73</v>
      </c>
      <c r="G802">
        <v>55</v>
      </c>
    </row>
    <row r="803" spans="1:7" x14ac:dyDescent="0.25">
      <c r="A803" t="s">
        <v>1897</v>
      </c>
      <c r="B803" t="s">
        <v>1896</v>
      </c>
      <c r="C803" t="s">
        <v>57</v>
      </c>
      <c r="D803" t="s">
        <v>66</v>
      </c>
      <c r="E803">
        <v>78</v>
      </c>
      <c r="F803">
        <v>81</v>
      </c>
      <c r="G803">
        <v>71</v>
      </c>
    </row>
    <row r="804" spans="1:7" x14ac:dyDescent="0.25">
      <c r="A804" t="s">
        <v>1899</v>
      </c>
      <c r="B804" t="s">
        <v>1898</v>
      </c>
      <c r="C804" t="s">
        <v>90</v>
      </c>
      <c r="E804">
        <v>38</v>
      </c>
      <c r="F804">
        <v>35</v>
      </c>
      <c r="G804">
        <v>40</v>
      </c>
    </row>
    <row r="805" spans="1:7" x14ac:dyDescent="0.25">
      <c r="A805" t="s">
        <v>1901</v>
      </c>
      <c r="B805" t="s">
        <v>1900</v>
      </c>
      <c r="C805" t="s">
        <v>90</v>
      </c>
      <c r="E805">
        <v>45</v>
      </c>
      <c r="F805">
        <v>22</v>
      </c>
      <c r="G805">
        <v>60</v>
      </c>
    </row>
    <row r="806" spans="1:7" x14ac:dyDescent="0.25">
      <c r="A806" t="s">
        <v>1903</v>
      </c>
      <c r="B806" t="s">
        <v>1902</v>
      </c>
      <c r="C806" t="s">
        <v>90</v>
      </c>
      <c r="D806" t="s">
        <v>66</v>
      </c>
      <c r="E806">
        <v>80</v>
      </c>
      <c r="F806">
        <v>52</v>
      </c>
      <c r="G806">
        <v>50</v>
      </c>
    </row>
    <row r="807" spans="1:7" x14ac:dyDescent="0.25">
      <c r="A807" t="s">
        <v>1905</v>
      </c>
      <c r="B807" t="s">
        <v>1904</v>
      </c>
      <c r="C807" t="s">
        <v>57</v>
      </c>
      <c r="D807" t="s">
        <v>116</v>
      </c>
      <c r="E807">
        <v>62</v>
      </c>
      <c r="F807">
        <v>50</v>
      </c>
      <c r="G807">
        <v>58</v>
      </c>
    </row>
    <row r="808" spans="1:7" x14ac:dyDescent="0.25">
      <c r="A808" t="s">
        <v>1907</v>
      </c>
      <c r="B808" t="s">
        <v>1906</v>
      </c>
      <c r="C808" t="s">
        <v>57</v>
      </c>
      <c r="D808" t="s">
        <v>116</v>
      </c>
      <c r="E808">
        <v>86</v>
      </c>
      <c r="F808">
        <v>68</v>
      </c>
      <c r="G808">
        <v>72</v>
      </c>
    </row>
    <row r="809" spans="1:7" x14ac:dyDescent="0.25">
      <c r="A809" t="s">
        <v>1909</v>
      </c>
      <c r="B809" t="s">
        <v>1908</v>
      </c>
      <c r="C809" t="s">
        <v>157</v>
      </c>
      <c r="E809">
        <v>44</v>
      </c>
      <c r="F809">
        <v>38</v>
      </c>
      <c r="G809">
        <v>39</v>
      </c>
    </row>
    <row r="810" spans="1:7" x14ac:dyDescent="0.25">
      <c r="A810" t="s">
        <v>1913</v>
      </c>
      <c r="B810" t="s">
        <v>1912</v>
      </c>
      <c r="C810" t="s">
        <v>157</v>
      </c>
      <c r="E810">
        <v>54</v>
      </c>
      <c r="F810">
        <v>45</v>
      </c>
      <c r="G810">
        <v>47</v>
      </c>
    </row>
    <row r="811" spans="1:7" x14ac:dyDescent="0.25">
      <c r="A811" t="s">
        <v>1915</v>
      </c>
      <c r="B811" t="s">
        <v>1914</v>
      </c>
      <c r="C811" t="s">
        <v>157</v>
      </c>
      <c r="E811">
        <v>78</v>
      </c>
      <c r="F811">
        <v>65</v>
      </c>
      <c r="G811">
        <v>68</v>
      </c>
    </row>
    <row r="812" spans="1:7" x14ac:dyDescent="0.25">
      <c r="A812" t="s">
        <v>1917</v>
      </c>
      <c r="B812" t="s">
        <v>1916</v>
      </c>
      <c r="C812" t="s">
        <v>40</v>
      </c>
      <c r="E812">
        <v>66</v>
      </c>
      <c r="F812">
        <v>65</v>
      </c>
      <c r="G812">
        <v>48</v>
      </c>
    </row>
    <row r="813" spans="1:7" x14ac:dyDescent="0.25">
      <c r="A813" t="s">
        <v>1920</v>
      </c>
      <c r="B813" t="s">
        <v>1919</v>
      </c>
      <c r="C813" t="s">
        <v>40</v>
      </c>
      <c r="E813">
        <v>123</v>
      </c>
      <c r="F813">
        <v>100</v>
      </c>
      <c r="G813">
        <v>62</v>
      </c>
    </row>
    <row r="814" spans="1:7" x14ac:dyDescent="0.25">
      <c r="A814" t="s">
        <v>1922</v>
      </c>
      <c r="B814" t="s">
        <v>1921</v>
      </c>
      <c r="C814" t="s">
        <v>279</v>
      </c>
      <c r="E814">
        <v>67</v>
      </c>
      <c r="F814">
        <v>82</v>
      </c>
      <c r="G814">
        <v>62</v>
      </c>
    </row>
    <row r="815" spans="1:7" x14ac:dyDescent="0.25">
      <c r="A815" t="s">
        <v>1924</v>
      </c>
      <c r="B815" t="s">
        <v>1923</v>
      </c>
      <c r="C815" t="s">
        <v>279</v>
      </c>
      <c r="D815" t="s">
        <v>135</v>
      </c>
      <c r="E815">
        <v>95</v>
      </c>
      <c r="F815">
        <v>124</v>
      </c>
      <c r="G815">
        <v>78</v>
      </c>
    </row>
    <row r="816" spans="1:7" x14ac:dyDescent="0.25">
      <c r="A816" t="s">
        <v>1926</v>
      </c>
      <c r="B816" t="s">
        <v>1925</v>
      </c>
      <c r="C816" t="s">
        <v>116</v>
      </c>
      <c r="E816">
        <v>75</v>
      </c>
      <c r="F816">
        <v>80</v>
      </c>
      <c r="G816">
        <v>60</v>
      </c>
    </row>
    <row r="817" spans="1:7" x14ac:dyDescent="0.25">
      <c r="A817" t="s">
        <v>1928</v>
      </c>
      <c r="B817" t="s">
        <v>1927</v>
      </c>
      <c r="C817" t="s">
        <v>162</v>
      </c>
      <c r="E817">
        <v>62</v>
      </c>
      <c r="F817">
        <v>48</v>
      </c>
      <c r="G817">
        <v>54</v>
      </c>
    </row>
    <row r="818" spans="1:7" x14ac:dyDescent="0.25">
      <c r="A818" t="s">
        <v>1931</v>
      </c>
      <c r="B818" t="s">
        <v>1929</v>
      </c>
      <c r="C818" t="s">
        <v>162</v>
      </c>
      <c r="E818">
        <v>74</v>
      </c>
      <c r="F818">
        <v>48</v>
      </c>
      <c r="G818">
        <v>76</v>
      </c>
    </row>
    <row r="819" spans="1:7" x14ac:dyDescent="0.25">
      <c r="A819" t="s">
        <v>1933</v>
      </c>
      <c r="B819" t="s">
        <v>1932</v>
      </c>
      <c r="C819" t="s">
        <v>162</v>
      </c>
      <c r="E819">
        <v>74</v>
      </c>
      <c r="F819">
        <v>48</v>
      </c>
      <c r="G819">
        <v>76</v>
      </c>
    </row>
    <row r="820" spans="1:7" x14ac:dyDescent="0.25">
      <c r="A820" t="s">
        <v>1935</v>
      </c>
      <c r="B820" t="s">
        <v>1934</v>
      </c>
      <c r="C820" t="s">
        <v>171</v>
      </c>
      <c r="D820" t="s">
        <v>419</v>
      </c>
      <c r="E820">
        <v>45</v>
      </c>
      <c r="F820">
        <v>80</v>
      </c>
      <c r="G820">
        <v>100</v>
      </c>
    </row>
    <row r="821" spans="1:7" x14ac:dyDescent="0.25">
      <c r="A821" t="s">
        <v>1937</v>
      </c>
      <c r="B821" t="s">
        <v>1936</v>
      </c>
      <c r="C821" t="s">
        <v>171</v>
      </c>
      <c r="D821" t="s">
        <v>419</v>
      </c>
      <c r="E821">
        <v>59</v>
      </c>
      <c r="F821">
        <v>110</v>
      </c>
      <c r="G821">
        <v>150</v>
      </c>
    </row>
    <row r="822" spans="1:7" x14ac:dyDescent="0.25">
      <c r="A822" t="s">
        <v>1940</v>
      </c>
      <c r="B822" t="s">
        <v>1938</v>
      </c>
      <c r="C822" t="s">
        <v>171</v>
      </c>
      <c r="D822" t="s">
        <v>419</v>
      </c>
      <c r="E822">
        <v>60</v>
      </c>
      <c r="F822">
        <v>50</v>
      </c>
      <c r="G822">
        <v>140</v>
      </c>
    </row>
    <row r="823" spans="1:7" x14ac:dyDescent="0.25">
      <c r="A823" t="s">
        <v>1943</v>
      </c>
      <c r="B823" t="s">
        <v>1942</v>
      </c>
      <c r="C823" t="s">
        <v>171</v>
      </c>
      <c r="D823" t="s">
        <v>419</v>
      </c>
      <c r="E823">
        <v>60</v>
      </c>
      <c r="F823">
        <v>140</v>
      </c>
      <c r="G823">
        <v>50</v>
      </c>
    </row>
    <row r="824" spans="1:7" x14ac:dyDescent="0.25">
      <c r="A824" t="s">
        <v>1945</v>
      </c>
      <c r="B824" t="s">
        <v>1944</v>
      </c>
      <c r="C824" t="s">
        <v>157</v>
      </c>
      <c r="E824">
        <v>78</v>
      </c>
      <c r="F824">
        <v>52</v>
      </c>
      <c r="G824">
        <v>60</v>
      </c>
    </row>
    <row r="825" spans="1:7" x14ac:dyDescent="0.25">
      <c r="A825" t="s">
        <v>1948</v>
      </c>
      <c r="B825" t="s">
        <v>1947</v>
      </c>
      <c r="C825" t="s">
        <v>157</v>
      </c>
      <c r="E825">
        <v>101</v>
      </c>
      <c r="F825">
        <v>72</v>
      </c>
      <c r="G825">
        <v>72</v>
      </c>
    </row>
    <row r="826" spans="1:7" x14ac:dyDescent="0.25">
      <c r="A826" t="s">
        <v>1950</v>
      </c>
      <c r="B826" t="s">
        <v>1949</v>
      </c>
      <c r="C826" t="s">
        <v>157</v>
      </c>
      <c r="E826">
        <v>62</v>
      </c>
      <c r="F826">
        <v>48</v>
      </c>
      <c r="G826">
        <v>66</v>
      </c>
    </row>
    <row r="827" spans="1:7" x14ac:dyDescent="0.25">
      <c r="A827" t="s">
        <v>1953</v>
      </c>
      <c r="B827" t="s">
        <v>1952</v>
      </c>
      <c r="C827" t="s">
        <v>157</v>
      </c>
      <c r="E827">
        <v>82</v>
      </c>
      <c r="F827">
        <v>80</v>
      </c>
      <c r="G827">
        <v>86</v>
      </c>
    </row>
    <row r="828" spans="1:7" x14ac:dyDescent="0.25">
      <c r="A828" t="s">
        <v>1955</v>
      </c>
      <c r="B828" t="s">
        <v>1954</v>
      </c>
      <c r="C828" t="s">
        <v>135</v>
      </c>
      <c r="D828" t="s">
        <v>162</v>
      </c>
      <c r="E828">
        <v>53</v>
      </c>
      <c r="F828">
        <v>54</v>
      </c>
      <c r="G828">
        <v>53</v>
      </c>
    </row>
    <row r="829" spans="1:7" x14ac:dyDescent="0.25">
      <c r="A829" t="s">
        <v>1957</v>
      </c>
      <c r="B829" t="s">
        <v>1956</v>
      </c>
      <c r="C829" t="s">
        <v>135</v>
      </c>
      <c r="D829" t="s">
        <v>162</v>
      </c>
      <c r="E829">
        <v>86</v>
      </c>
      <c r="F829">
        <v>92</v>
      </c>
      <c r="G829">
        <v>88</v>
      </c>
    </row>
    <row r="830" spans="1:7" x14ac:dyDescent="0.25">
      <c r="A830" t="s">
        <v>1959</v>
      </c>
      <c r="B830" t="s">
        <v>1958</v>
      </c>
      <c r="C830" t="s">
        <v>290</v>
      </c>
      <c r="D830" t="s">
        <v>76</v>
      </c>
      <c r="E830">
        <v>42</v>
      </c>
      <c r="F830">
        <v>52</v>
      </c>
      <c r="G830">
        <v>67</v>
      </c>
    </row>
    <row r="831" spans="1:7" x14ac:dyDescent="0.25">
      <c r="A831" t="s">
        <v>1961</v>
      </c>
      <c r="B831" t="s">
        <v>1960</v>
      </c>
      <c r="C831" t="s">
        <v>290</v>
      </c>
      <c r="D831" t="s">
        <v>76</v>
      </c>
      <c r="E831">
        <v>72</v>
      </c>
      <c r="F831">
        <v>105</v>
      </c>
      <c r="G831">
        <v>115</v>
      </c>
    </row>
    <row r="832" spans="1:7" x14ac:dyDescent="0.25">
      <c r="A832" t="s">
        <v>1963</v>
      </c>
      <c r="B832" t="s">
        <v>1962</v>
      </c>
      <c r="C832" t="s">
        <v>41</v>
      </c>
      <c r="D832" t="s">
        <v>76</v>
      </c>
      <c r="E832">
        <v>50</v>
      </c>
      <c r="F832">
        <v>60</v>
      </c>
      <c r="G832">
        <v>60</v>
      </c>
    </row>
    <row r="833" spans="1:7" x14ac:dyDescent="0.25">
      <c r="A833" t="s">
        <v>1965</v>
      </c>
      <c r="B833" t="s">
        <v>1964</v>
      </c>
      <c r="C833" t="s">
        <v>41</v>
      </c>
      <c r="D833" t="s">
        <v>61</v>
      </c>
      <c r="E833">
        <v>65</v>
      </c>
      <c r="F833">
        <v>75</v>
      </c>
      <c r="G833">
        <v>90</v>
      </c>
    </row>
    <row r="834" spans="1:7" x14ac:dyDescent="0.25">
      <c r="A834" t="s">
        <v>1967</v>
      </c>
      <c r="B834" t="s">
        <v>1966</v>
      </c>
      <c r="C834" t="s">
        <v>76</v>
      </c>
      <c r="E834">
        <v>50</v>
      </c>
      <c r="F834">
        <v>53</v>
      </c>
      <c r="G834">
        <v>62</v>
      </c>
    </row>
    <row r="835" spans="1:7" x14ac:dyDescent="0.25">
      <c r="A835" t="s">
        <v>1969</v>
      </c>
      <c r="B835" t="s">
        <v>1968</v>
      </c>
      <c r="C835" t="s">
        <v>76</v>
      </c>
      <c r="E835">
        <v>71</v>
      </c>
      <c r="F835">
        <v>73</v>
      </c>
      <c r="G835">
        <v>88</v>
      </c>
    </row>
    <row r="836" spans="1:7" x14ac:dyDescent="0.25">
      <c r="A836" t="s">
        <v>1971</v>
      </c>
      <c r="B836" t="s">
        <v>1970</v>
      </c>
      <c r="C836" t="s">
        <v>154</v>
      </c>
      <c r="D836" t="s">
        <v>116</v>
      </c>
      <c r="E836">
        <v>44</v>
      </c>
      <c r="F836">
        <v>38</v>
      </c>
      <c r="G836">
        <v>33</v>
      </c>
    </row>
    <row r="837" spans="1:7" x14ac:dyDescent="0.25">
      <c r="A837" t="s">
        <v>1973</v>
      </c>
      <c r="B837" t="s">
        <v>1972</v>
      </c>
      <c r="C837" t="s">
        <v>154</v>
      </c>
      <c r="D837" t="s">
        <v>116</v>
      </c>
      <c r="E837">
        <v>62</v>
      </c>
      <c r="F837">
        <v>55</v>
      </c>
      <c r="G837">
        <v>52</v>
      </c>
    </row>
    <row r="838" spans="1:7" x14ac:dyDescent="0.25">
      <c r="A838" t="s">
        <v>1975</v>
      </c>
      <c r="B838" t="s">
        <v>1974</v>
      </c>
      <c r="C838" t="s">
        <v>290</v>
      </c>
      <c r="D838" t="s">
        <v>61</v>
      </c>
      <c r="E838">
        <v>58</v>
      </c>
      <c r="F838">
        <v>89</v>
      </c>
      <c r="G838">
        <v>77</v>
      </c>
    </row>
    <row r="839" spans="1:7" x14ac:dyDescent="0.25">
      <c r="A839" t="s">
        <v>1977</v>
      </c>
      <c r="B839" t="s">
        <v>1976</v>
      </c>
      <c r="C839" t="s">
        <v>290</v>
      </c>
      <c r="D839" t="s">
        <v>61</v>
      </c>
      <c r="E839">
        <v>82</v>
      </c>
      <c r="F839">
        <v>121</v>
      </c>
      <c r="G839">
        <v>119</v>
      </c>
    </row>
    <row r="840" spans="1:7" x14ac:dyDescent="0.25">
      <c r="A840" t="s">
        <v>1979</v>
      </c>
      <c r="B840" t="s">
        <v>1978</v>
      </c>
      <c r="C840" t="s">
        <v>290</v>
      </c>
      <c r="D840" t="s">
        <v>170</v>
      </c>
      <c r="E840">
        <v>77</v>
      </c>
      <c r="F840">
        <v>59</v>
      </c>
      <c r="G840">
        <v>50</v>
      </c>
    </row>
    <row r="841" spans="1:7" x14ac:dyDescent="0.25">
      <c r="A841" t="s">
        <v>1981</v>
      </c>
      <c r="B841" t="s">
        <v>1980</v>
      </c>
      <c r="C841" t="s">
        <v>290</v>
      </c>
      <c r="D841" t="s">
        <v>170</v>
      </c>
      <c r="E841">
        <v>123</v>
      </c>
      <c r="F841">
        <v>77</v>
      </c>
      <c r="G841">
        <v>72</v>
      </c>
    </row>
    <row r="842" spans="1:7" x14ac:dyDescent="0.25">
      <c r="A842" t="s">
        <v>1983</v>
      </c>
      <c r="B842" t="s">
        <v>1982</v>
      </c>
      <c r="C842" t="s">
        <v>157</v>
      </c>
      <c r="E842">
        <v>95</v>
      </c>
      <c r="F842">
        <v>65</v>
      </c>
      <c r="G842">
        <v>65</v>
      </c>
    </row>
    <row r="843" spans="1:7" x14ac:dyDescent="0.25">
      <c r="A843" t="s">
        <v>1985</v>
      </c>
      <c r="B843" t="s">
        <v>1984</v>
      </c>
      <c r="C843" t="s">
        <v>279</v>
      </c>
      <c r="D843" t="s">
        <v>66</v>
      </c>
      <c r="E843">
        <v>78</v>
      </c>
      <c r="F843">
        <v>92</v>
      </c>
      <c r="G843">
        <v>75</v>
      </c>
    </row>
    <row r="844" spans="1:7" x14ac:dyDescent="0.25">
      <c r="A844" t="s">
        <v>1987</v>
      </c>
      <c r="B844" t="s">
        <v>1986</v>
      </c>
      <c r="C844" t="s">
        <v>154</v>
      </c>
      <c r="D844" t="s">
        <v>157</v>
      </c>
      <c r="E844">
        <v>67</v>
      </c>
      <c r="F844">
        <v>58</v>
      </c>
      <c r="G844">
        <v>57</v>
      </c>
    </row>
    <row r="845" spans="1:7" x14ac:dyDescent="0.25">
      <c r="A845" t="s">
        <v>1989</v>
      </c>
      <c r="B845" t="s">
        <v>1988</v>
      </c>
      <c r="C845" t="s">
        <v>290</v>
      </c>
      <c r="D845" t="s">
        <v>157</v>
      </c>
      <c r="E845">
        <v>50</v>
      </c>
      <c r="F845">
        <v>50</v>
      </c>
      <c r="G845">
        <v>150</v>
      </c>
    </row>
    <row r="846" spans="1:7" x14ac:dyDescent="0.25">
      <c r="A846" t="s">
        <v>1991</v>
      </c>
      <c r="B846" t="s">
        <v>1990</v>
      </c>
      <c r="C846" t="s">
        <v>61</v>
      </c>
      <c r="E846">
        <v>45</v>
      </c>
      <c r="F846">
        <v>50</v>
      </c>
      <c r="G846">
        <v>35</v>
      </c>
    </row>
    <row r="847" spans="1:7" x14ac:dyDescent="0.25">
      <c r="A847" t="s">
        <v>1994</v>
      </c>
      <c r="B847" t="s">
        <v>1993</v>
      </c>
      <c r="C847" t="s">
        <v>61</v>
      </c>
      <c r="E847">
        <v>68</v>
      </c>
      <c r="F847">
        <v>75</v>
      </c>
      <c r="G847">
        <v>53</v>
      </c>
    </row>
    <row r="848" spans="1:7" x14ac:dyDescent="0.25">
      <c r="A848" t="s">
        <v>1996</v>
      </c>
      <c r="B848" t="s">
        <v>1995</v>
      </c>
      <c r="C848" t="s">
        <v>171</v>
      </c>
      <c r="D848" t="s">
        <v>61</v>
      </c>
      <c r="E848">
        <v>58</v>
      </c>
      <c r="F848">
        <v>75</v>
      </c>
      <c r="G848">
        <v>83</v>
      </c>
    </row>
    <row r="849" spans="1:7" x14ac:dyDescent="0.25">
      <c r="A849" t="s">
        <v>1998</v>
      </c>
      <c r="B849" t="s">
        <v>1997</v>
      </c>
      <c r="C849" t="s">
        <v>61</v>
      </c>
      <c r="E849">
        <v>90</v>
      </c>
      <c r="F849">
        <v>100</v>
      </c>
      <c r="G849">
        <v>70</v>
      </c>
    </row>
    <row r="850" spans="1:7" x14ac:dyDescent="0.25">
      <c r="A850" t="s">
        <v>2000</v>
      </c>
      <c r="B850" t="s">
        <v>1999</v>
      </c>
      <c r="C850" t="s">
        <v>171</v>
      </c>
      <c r="D850" t="s">
        <v>61</v>
      </c>
      <c r="E850">
        <v>80</v>
      </c>
      <c r="F850">
        <v>100</v>
      </c>
      <c r="G850">
        <v>100</v>
      </c>
    </row>
    <row r="851" spans="1:7" x14ac:dyDescent="0.25">
      <c r="A851" t="s">
        <v>2002</v>
      </c>
      <c r="B851" t="s">
        <v>2001</v>
      </c>
      <c r="C851" t="s">
        <v>171</v>
      </c>
      <c r="D851" t="s">
        <v>157</v>
      </c>
      <c r="E851">
        <v>57</v>
      </c>
      <c r="F851">
        <v>80</v>
      </c>
      <c r="G851">
        <v>91</v>
      </c>
    </row>
    <row r="852" spans="1:7" x14ac:dyDescent="0.25">
      <c r="A852" t="s">
        <v>2004</v>
      </c>
      <c r="B852" t="s">
        <v>2003</v>
      </c>
      <c r="C852" t="s">
        <v>419</v>
      </c>
      <c r="D852" t="s">
        <v>40</v>
      </c>
      <c r="E852">
        <v>43</v>
      </c>
      <c r="F852">
        <v>70</v>
      </c>
      <c r="G852">
        <v>48</v>
      </c>
    </row>
    <row r="853" spans="1:7" x14ac:dyDescent="0.25">
      <c r="A853" t="s">
        <v>2006</v>
      </c>
      <c r="B853" t="s">
        <v>2005</v>
      </c>
      <c r="C853" t="s">
        <v>419</v>
      </c>
      <c r="D853" t="s">
        <v>40</v>
      </c>
      <c r="E853">
        <v>85</v>
      </c>
      <c r="F853">
        <v>110</v>
      </c>
      <c r="G853">
        <v>76</v>
      </c>
    </row>
    <row r="854" spans="1:7" x14ac:dyDescent="0.25">
      <c r="A854" t="s">
        <v>2009</v>
      </c>
      <c r="B854" t="s">
        <v>2007</v>
      </c>
      <c r="C854" t="s">
        <v>419</v>
      </c>
      <c r="D854" t="s">
        <v>40</v>
      </c>
      <c r="E854">
        <v>49</v>
      </c>
      <c r="F854">
        <v>66</v>
      </c>
      <c r="G854">
        <v>70</v>
      </c>
    </row>
    <row r="855" spans="1:7" x14ac:dyDescent="0.25">
      <c r="A855" t="s">
        <v>2011</v>
      </c>
      <c r="B855" t="s">
        <v>2010</v>
      </c>
      <c r="C855" t="s">
        <v>419</v>
      </c>
      <c r="D855" t="s">
        <v>40</v>
      </c>
      <c r="E855">
        <v>44</v>
      </c>
      <c r="F855">
        <v>66</v>
      </c>
      <c r="G855">
        <v>70</v>
      </c>
    </row>
    <row r="856" spans="1:7" x14ac:dyDescent="0.25">
      <c r="A856" t="s">
        <v>2013</v>
      </c>
      <c r="B856" t="s">
        <v>2012</v>
      </c>
      <c r="C856" t="s">
        <v>419</v>
      </c>
      <c r="D856" t="s">
        <v>40</v>
      </c>
      <c r="E856">
        <v>54</v>
      </c>
      <c r="F856">
        <v>66</v>
      </c>
      <c r="G856">
        <v>70</v>
      </c>
    </row>
    <row r="857" spans="1:7" x14ac:dyDescent="0.25">
      <c r="A857" t="s">
        <v>2015</v>
      </c>
      <c r="B857" t="s">
        <v>2014</v>
      </c>
      <c r="C857" t="s">
        <v>419</v>
      </c>
      <c r="D857" t="s">
        <v>40</v>
      </c>
      <c r="E857">
        <v>59</v>
      </c>
      <c r="F857">
        <v>66</v>
      </c>
      <c r="G857">
        <v>70</v>
      </c>
    </row>
    <row r="858" spans="1:7" x14ac:dyDescent="0.25">
      <c r="A858" t="s">
        <v>2018</v>
      </c>
      <c r="B858" t="s">
        <v>2016</v>
      </c>
      <c r="C858" t="s">
        <v>419</v>
      </c>
      <c r="D858" t="s">
        <v>40</v>
      </c>
      <c r="E858">
        <v>65</v>
      </c>
      <c r="F858">
        <v>90</v>
      </c>
      <c r="G858">
        <v>122</v>
      </c>
    </row>
    <row r="859" spans="1:7" x14ac:dyDescent="0.25">
      <c r="A859" t="s">
        <v>2020</v>
      </c>
      <c r="B859" t="s">
        <v>2019</v>
      </c>
      <c r="C859" t="s">
        <v>419</v>
      </c>
      <c r="D859" t="s">
        <v>40</v>
      </c>
      <c r="E859">
        <v>55</v>
      </c>
      <c r="F859">
        <v>85</v>
      </c>
      <c r="G859">
        <v>122</v>
      </c>
    </row>
    <row r="860" spans="1:7" x14ac:dyDescent="0.25">
      <c r="A860" t="s">
        <v>2022</v>
      </c>
      <c r="B860" t="s">
        <v>2021</v>
      </c>
      <c r="C860" t="s">
        <v>419</v>
      </c>
      <c r="D860" t="s">
        <v>40</v>
      </c>
      <c r="E860">
        <v>75</v>
      </c>
      <c r="F860">
        <v>95</v>
      </c>
      <c r="G860">
        <v>122</v>
      </c>
    </row>
    <row r="861" spans="1:7" x14ac:dyDescent="0.25">
      <c r="A861" t="s">
        <v>2024</v>
      </c>
      <c r="B861" t="s">
        <v>2023</v>
      </c>
      <c r="C861" t="s">
        <v>419</v>
      </c>
      <c r="D861" t="s">
        <v>40</v>
      </c>
      <c r="E861">
        <v>85</v>
      </c>
      <c r="F861">
        <v>100</v>
      </c>
      <c r="G861">
        <v>122</v>
      </c>
    </row>
    <row r="862" spans="1:7" x14ac:dyDescent="0.25">
      <c r="A862" t="s">
        <v>2026</v>
      </c>
      <c r="B862" t="s">
        <v>2025</v>
      </c>
      <c r="C862" t="s">
        <v>170</v>
      </c>
      <c r="E862">
        <v>55</v>
      </c>
      <c r="F862">
        <v>69</v>
      </c>
      <c r="G862">
        <v>85</v>
      </c>
    </row>
    <row r="863" spans="1:7" x14ac:dyDescent="0.25">
      <c r="A863" t="s">
        <v>2028</v>
      </c>
      <c r="B863" t="s">
        <v>2027</v>
      </c>
      <c r="C863" t="s">
        <v>170</v>
      </c>
      <c r="E863">
        <v>95</v>
      </c>
      <c r="F863">
        <v>117</v>
      </c>
      <c r="G863">
        <v>184</v>
      </c>
    </row>
    <row r="864" spans="1:7" x14ac:dyDescent="0.25">
      <c r="A864" t="s">
        <v>2030</v>
      </c>
      <c r="B864" t="s">
        <v>2029</v>
      </c>
      <c r="C864" t="s">
        <v>170</v>
      </c>
      <c r="D864" t="s">
        <v>290</v>
      </c>
      <c r="E864">
        <v>95</v>
      </c>
      <c r="F864">
        <v>127</v>
      </c>
      <c r="G864">
        <v>184</v>
      </c>
    </row>
    <row r="865" spans="1:7" x14ac:dyDescent="0.25">
      <c r="A865" t="s">
        <v>2032</v>
      </c>
      <c r="B865" t="s">
        <v>2031</v>
      </c>
      <c r="C865" t="s">
        <v>66</v>
      </c>
      <c r="D865" t="s">
        <v>61</v>
      </c>
      <c r="E865">
        <v>40</v>
      </c>
      <c r="F865">
        <v>30</v>
      </c>
      <c r="G865">
        <v>35</v>
      </c>
    </row>
    <row r="866" spans="1:7" x14ac:dyDescent="0.25">
      <c r="A866" t="s">
        <v>2034</v>
      </c>
      <c r="B866" t="s">
        <v>2033</v>
      </c>
      <c r="C866" t="s">
        <v>66</v>
      </c>
      <c r="D866" t="s">
        <v>61</v>
      </c>
      <c r="E866">
        <v>85</v>
      </c>
      <c r="F866">
        <v>70</v>
      </c>
      <c r="G866">
        <v>80</v>
      </c>
    </row>
    <row r="867" spans="1:7" x14ac:dyDescent="0.25">
      <c r="A867" t="s">
        <v>2036</v>
      </c>
      <c r="B867" t="s">
        <v>2035</v>
      </c>
      <c r="C867" t="s">
        <v>157</v>
      </c>
      <c r="E867">
        <v>126</v>
      </c>
      <c r="F867">
        <v>131</v>
      </c>
      <c r="G867">
        <v>95</v>
      </c>
    </row>
    <row r="868" spans="1:7" x14ac:dyDescent="0.25">
      <c r="A868" t="s">
        <v>2039</v>
      </c>
      <c r="B868" t="s">
        <v>2038</v>
      </c>
      <c r="C868" t="s">
        <v>135</v>
      </c>
      <c r="D868" t="s">
        <v>66</v>
      </c>
      <c r="E868">
        <v>126</v>
      </c>
      <c r="F868">
        <v>131</v>
      </c>
      <c r="G868">
        <v>95</v>
      </c>
    </row>
    <row r="869" spans="1:7" x14ac:dyDescent="0.25">
      <c r="A869" t="s">
        <v>2043</v>
      </c>
      <c r="B869" t="s">
        <v>2041</v>
      </c>
      <c r="C869" t="s">
        <v>61</v>
      </c>
      <c r="D869" t="s">
        <v>132</v>
      </c>
      <c r="E869">
        <v>108</v>
      </c>
      <c r="F869">
        <v>100</v>
      </c>
      <c r="G869">
        <v>121</v>
      </c>
    </row>
    <row r="870" spans="1:7" x14ac:dyDescent="0.25">
      <c r="A870" t="s">
        <v>2046</v>
      </c>
      <c r="B870" t="s">
        <v>2045</v>
      </c>
      <c r="C870" t="s">
        <v>61</v>
      </c>
      <c r="D870" t="s">
        <v>132</v>
      </c>
      <c r="E870">
        <v>54</v>
      </c>
      <c r="F870">
        <v>100</v>
      </c>
      <c r="G870">
        <v>71</v>
      </c>
    </row>
    <row r="871" spans="1:7" x14ac:dyDescent="0.25">
      <c r="A871" t="s">
        <v>2048</v>
      </c>
      <c r="B871" t="s">
        <v>2047</v>
      </c>
      <c r="C871" t="s">
        <v>61</v>
      </c>
      <c r="D871" t="s">
        <v>132</v>
      </c>
      <c r="E871">
        <v>216</v>
      </c>
      <c r="F871">
        <v>100</v>
      </c>
      <c r="G871">
        <v>121</v>
      </c>
    </row>
    <row r="872" spans="1:7" x14ac:dyDescent="0.25">
      <c r="A872" t="s">
        <v>2051</v>
      </c>
      <c r="B872" t="s">
        <v>2050</v>
      </c>
      <c r="C872" t="s">
        <v>290</v>
      </c>
      <c r="D872" t="s">
        <v>157</v>
      </c>
      <c r="E872">
        <v>50</v>
      </c>
      <c r="F872">
        <v>100</v>
      </c>
      <c r="G872">
        <v>150</v>
      </c>
    </row>
    <row r="873" spans="1:7" x14ac:dyDescent="0.25">
      <c r="A873" t="s">
        <v>2053</v>
      </c>
      <c r="B873" t="s">
        <v>2052</v>
      </c>
      <c r="C873" t="s">
        <v>290</v>
      </c>
      <c r="D873" t="s">
        <v>157</v>
      </c>
      <c r="E873">
        <v>50</v>
      </c>
      <c r="F873">
        <v>160</v>
      </c>
      <c r="G873">
        <v>110</v>
      </c>
    </row>
    <row r="874" spans="1:7" x14ac:dyDescent="0.25">
      <c r="A874" t="s">
        <v>2056</v>
      </c>
      <c r="B874" t="s">
        <v>2054</v>
      </c>
      <c r="C874" t="s">
        <v>162</v>
      </c>
      <c r="D874" t="s">
        <v>419</v>
      </c>
      <c r="E874">
        <v>80</v>
      </c>
      <c r="F874">
        <v>110</v>
      </c>
      <c r="G874">
        <v>60</v>
      </c>
    </row>
    <row r="875" spans="1:7" x14ac:dyDescent="0.25">
      <c r="A875" t="s">
        <v>2058</v>
      </c>
      <c r="B875" t="s">
        <v>2057</v>
      </c>
      <c r="C875" t="s">
        <v>162</v>
      </c>
      <c r="D875" t="s">
        <v>135</v>
      </c>
      <c r="E875">
        <v>80</v>
      </c>
      <c r="F875">
        <v>160</v>
      </c>
      <c r="G875">
        <v>60</v>
      </c>
    </row>
    <row r="876" spans="1:7" x14ac:dyDescent="0.25">
      <c r="A876" t="s">
        <v>2060</v>
      </c>
      <c r="B876" t="s">
        <v>2059</v>
      </c>
      <c r="C876" t="s">
        <v>57</v>
      </c>
      <c r="D876" t="s">
        <v>76</v>
      </c>
      <c r="E876">
        <v>80</v>
      </c>
      <c r="F876">
        <v>110</v>
      </c>
      <c r="G876">
        <v>120</v>
      </c>
    </row>
    <row r="877" spans="1:7" x14ac:dyDescent="0.25">
      <c r="A877" t="s">
        <v>2062</v>
      </c>
      <c r="B877" t="s">
        <v>2061</v>
      </c>
      <c r="C877" t="s">
        <v>40</v>
      </c>
      <c r="D877" t="s">
        <v>66</v>
      </c>
      <c r="E877">
        <v>68</v>
      </c>
      <c r="F877">
        <v>55</v>
      </c>
      <c r="G877">
        <v>55</v>
      </c>
    </row>
    <row r="878" spans="1:7" x14ac:dyDescent="0.25">
      <c r="A878" t="s">
        <v>2065</v>
      </c>
      <c r="B878" t="s">
        <v>2064</v>
      </c>
      <c r="C878" t="s">
        <v>40</v>
      </c>
      <c r="D878" t="s">
        <v>66</v>
      </c>
      <c r="E878">
        <v>78</v>
      </c>
      <c r="F878">
        <v>75</v>
      </c>
      <c r="G878">
        <v>75</v>
      </c>
    </row>
    <row r="879" spans="1:7" x14ac:dyDescent="0.25">
      <c r="A879" t="s">
        <v>2067</v>
      </c>
      <c r="B879" t="s">
        <v>2066</v>
      </c>
      <c r="C879" t="s">
        <v>40</v>
      </c>
      <c r="D879" t="s">
        <v>419</v>
      </c>
      <c r="E879">
        <v>78</v>
      </c>
      <c r="F879">
        <v>107</v>
      </c>
      <c r="G879">
        <v>75</v>
      </c>
    </row>
    <row r="880" spans="1:7" x14ac:dyDescent="0.25">
      <c r="A880" t="s">
        <v>2069</v>
      </c>
      <c r="B880" t="s">
        <v>2068</v>
      </c>
      <c r="C880" t="s">
        <v>40</v>
      </c>
      <c r="D880" t="s">
        <v>279</v>
      </c>
      <c r="E880">
        <v>88</v>
      </c>
      <c r="F880">
        <v>112</v>
      </c>
      <c r="G880">
        <v>80</v>
      </c>
    </row>
    <row r="881" spans="1:7" x14ac:dyDescent="0.25">
      <c r="A881" t="s">
        <v>2071</v>
      </c>
      <c r="B881" t="s">
        <v>2070</v>
      </c>
      <c r="C881" t="s">
        <v>57</v>
      </c>
      <c r="E881">
        <v>45</v>
      </c>
      <c r="F881">
        <v>65</v>
      </c>
      <c r="G881">
        <v>40</v>
      </c>
    </row>
    <row r="882" spans="1:7" x14ac:dyDescent="0.25">
      <c r="A882" t="s">
        <v>2073</v>
      </c>
      <c r="B882" t="s">
        <v>2072</v>
      </c>
      <c r="C882" t="s">
        <v>57</v>
      </c>
      <c r="E882">
        <v>65</v>
      </c>
      <c r="F882">
        <v>85</v>
      </c>
      <c r="G882">
        <v>50</v>
      </c>
    </row>
    <row r="883" spans="1:7" x14ac:dyDescent="0.25">
      <c r="A883" t="s">
        <v>2075</v>
      </c>
      <c r="B883" t="s">
        <v>2074</v>
      </c>
      <c r="C883" t="s">
        <v>57</v>
      </c>
      <c r="D883" t="s">
        <v>135</v>
      </c>
      <c r="E883">
        <v>95</v>
      </c>
      <c r="F883">
        <v>115</v>
      </c>
      <c r="G883">
        <v>90</v>
      </c>
    </row>
    <row r="884" spans="1:7" x14ac:dyDescent="0.25">
      <c r="A884" t="s">
        <v>2077</v>
      </c>
      <c r="B884" t="s">
        <v>2076</v>
      </c>
      <c r="C884" t="s">
        <v>76</v>
      </c>
      <c r="E884">
        <v>50</v>
      </c>
      <c r="F884">
        <v>54</v>
      </c>
      <c r="G884">
        <v>54</v>
      </c>
    </row>
    <row r="885" spans="1:7" x14ac:dyDescent="0.25">
      <c r="A885" t="s">
        <v>2080</v>
      </c>
      <c r="B885" t="s">
        <v>2079</v>
      </c>
      <c r="C885" t="s">
        <v>76</v>
      </c>
      <c r="E885">
        <v>60</v>
      </c>
      <c r="F885">
        <v>69</v>
      </c>
      <c r="G885">
        <v>69</v>
      </c>
    </row>
    <row r="886" spans="1:7" x14ac:dyDescent="0.25">
      <c r="A886" t="s">
        <v>2082</v>
      </c>
      <c r="B886" t="s">
        <v>2081</v>
      </c>
      <c r="C886" t="s">
        <v>76</v>
      </c>
      <c r="D886" t="s">
        <v>157</v>
      </c>
      <c r="E886">
        <v>80</v>
      </c>
      <c r="F886">
        <v>74</v>
      </c>
      <c r="G886">
        <v>74</v>
      </c>
    </row>
    <row r="887" spans="1:7" x14ac:dyDescent="0.25">
      <c r="A887" t="s">
        <v>2084</v>
      </c>
      <c r="B887" t="s">
        <v>2083</v>
      </c>
      <c r="C887" t="s">
        <v>116</v>
      </c>
      <c r="D887" t="s">
        <v>66</v>
      </c>
      <c r="E887">
        <v>35</v>
      </c>
      <c r="F887">
        <v>75</v>
      </c>
      <c r="G887">
        <v>30</v>
      </c>
    </row>
    <row r="888" spans="1:7" x14ac:dyDescent="0.25">
      <c r="A888" t="s">
        <v>2086</v>
      </c>
      <c r="B888" t="s">
        <v>2085</v>
      </c>
      <c r="C888" t="s">
        <v>116</v>
      </c>
      <c r="D888" t="s">
        <v>66</v>
      </c>
      <c r="E888">
        <v>55</v>
      </c>
      <c r="F888">
        <v>85</v>
      </c>
      <c r="G888">
        <v>50</v>
      </c>
    </row>
    <row r="889" spans="1:7" x14ac:dyDescent="0.25">
      <c r="A889" t="s">
        <v>2088</v>
      </c>
      <c r="B889" t="s">
        <v>2087</v>
      </c>
      <c r="C889" t="s">
        <v>116</v>
      </c>
      <c r="D889" t="s">
        <v>66</v>
      </c>
      <c r="E889">
        <v>80</v>
      </c>
      <c r="F889">
        <v>120</v>
      </c>
      <c r="G889">
        <v>75</v>
      </c>
    </row>
    <row r="890" spans="1:7" x14ac:dyDescent="0.25">
      <c r="A890" t="s">
        <v>2090</v>
      </c>
      <c r="B890" t="s">
        <v>2089</v>
      </c>
      <c r="C890" t="s">
        <v>116</v>
      </c>
      <c r="E890">
        <v>48</v>
      </c>
      <c r="F890">
        <v>70</v>
      </c>
      <c r="G890">
        <v>30</v>
      </c>
    </row>
    <row r="891" spans="1:7" x14ac:dyDescent="0.25">
      <c r="A891" t="s">
        <v>2093</v>
      </c>
      <c r="B891" t="s">
        <v>2092</v>
      </c>
      <c r="C891" t="s">
        <v>116</v>
      </c>
      <c r="E891">
        <v>88</v>
      </c>
      <c r="F891">
        <v>110</v>
      </c>
      <c r="G891">
        <v>60</v>
      </c>
    </row>
    <row r="892" spans="1:7" x14ac:dyDescent="0.25">
      <c r="A892" t="s">
        <v>2095</v>
      </c>
      <c r="B892" t="s">
        <v>2094</v>
      </c>
      <c r="C892" t="s">
        <v>90</v>
      </c>
      <c r="E892">
        <v>47</v>
      </c>
      <c r="F892">
        <v>62</v>
      </c>
      <c r="G892">
        <v>45</v>
      </c>
    </row>
    <row r="893" spans="1:7" x14ac:dyDescent="0.25">
      <c r="A893" t="s">
        <v>2097</v>
      </c>
      <c r="B893" t="s">
        <v>2096</v>
      </c>
      <c r="C893" t="s">
        <v>90</v>
      </c>
      <c r="D893" t="s">
        <v>154</v>
      </c>
      <c r="E893">
        <v>57</v>
      </c>
      <c r="F893">
        <v>82</v>
      </c>
      <c r="G893">
        <v>95</v>
      </c>
    </row>
    <row r="894" spans="1:7" x14ac:dyDescent="0.25">
      <c r="A894" t="s">
        <v>2100</v>
      </c>
      <c r="B894" t="s">
        <v>2099</v>
      </c>
      <c r="C894" t="s">
        <v>90</v>
      </c>
      <c r="D894" t="s">
        <v>154</v>
      </c>
      <c r="E894">
        <v>77</v>
      </c>
      <c r="F894">
        <v>70</v>
      </c>
      <c r="G894">
        <v>90</v>
      </c>
    </row>
    <row r="895" spans="1:7" x14ac:dyDescent="0.25">
      <c r="A895" t="s">
        <v>2102</v>
      </c>
      <c r="B895" t="s">
        <v>2101</v>
      </c>
      <c r="C895" t="s">
        <v>279</v>
      </c>
      <c r="E895">
        <v>47</v>
      </c>
      <c r="F895">
        <v>82</v>
      </c>
      <c r="G895">
        <v>57</v>
      </c>
    </row>
    <row r="896" spans="1:7" x14ac:dyDescent="0.25">
      <c r="A896" t="s">
        <v>2104</v>
      </c>
      <c r="B896" t="s">
        <v>2103</v>
      </c>
      <c r="C896" t="s">
        <v>279</v>
      </c>
      <c r="D896" t="s">
        <v>170</v>
      </c>
      <c r="E896">
        <v>97</v>
      </c>
      <c r="F896">
        <v>132</v>
      </c>
      <c r="G896">
        <v>77</v>
      </c>
    </row>
    <row r="897" spans="1:7" x14ac:dyDescent="0.25">
      <c r="A897" t="s">
        <v>2107</v>
      </c>
      <c r="B897" t="s">
        <v>2105</v>
      </c>
      <c r="C897" t="s">
        <v>57</v>
      </c>
      <c r="D897" t="s">
        <v>66</v>
      </c>
      <c r="E897">
        <v>75</v>
      </c>
      <c r="F897">
        <v>70</v>
      </c>
      <c r="G897">
        <v>70</v>
      </c>
    </row>
    <row r="898" spans="1:7" x14ac:dyDescent="0.25">
      <c r="A898" t="s">
        <v>2110</v>
      </c>
      <c r="B898" t="s">
        <v>2109</v>
      </c>
      <c r="C898" t="s">
        <v>154</v>
      </c>
      <c r="D898" t="s">
        <v>66</v>
      </c>
      <c r="E898">
        <v>75</v>
      </c>
      <c r="F898">
        <v>70</v>
      </c>
      <c r="G898">
        <v>70</v>
      </c>
    </row>
    <row r="899" spans="1:7" x14ac:dyDescent="0.25">
      <c r="A899" t="s">
        <v>2112</v>
      </c>
      <c r="B899" t="s">
        <v>2111</v>
      </c>
      <c r="C899" t="s">
        <v>162</v>
      </c>
      <c r="D899" t="s">
        <v>66</v>
      </c>
      <c r="E899">
        <v>75</v>
      </c>
      <c r="F899">
        <v>70</v>
      </c>
      <c r="G899">
        <v>70</v>
      </c>
    </row>
    <row r="900" spans="1:7" x14ac:dyDescent="0.25">
      <c r="A900" t="s">
        <v>2114</v>
      </c>
      <c r="B900" t="s">
        <v>2113</v>
      </c>
      <c r="C900" t="s">
        <v>419</v>
      </c>
      <c r="D900" t="s">
        <v>66</v>
      </c>
      <c r="E900">
        <v>75</v>
      </c>
      <c r="F900">
        <v>70</v>
      </c>
      <c r="G900">
        <v>70</v>
      </c>
    </row>
    <row r="901" spans="1:7" x14ac:dyDescent="0.25">
      <c r="A901" t="s">
        <v>2116</v>
      </c>
      <c r="B901" t="s">
        <v>2115</v>
      </c>
      <c r="C901" t="s">
        <v>90</v>
      </c>
      <c r="D901" t="s">
        <v>157</v>
      </c>
      <c r="E901">
        <v>40</v>
      </c>
      <c r="F901">
        <v>45</v>
      </c>
      <c r="G901">
        <v>40</v>
      </c>
    </row>
    <row r="902" spans="1:7" x14ac:dyDescent="0.25">
      <c r="A902" t="s">
        <v>2118</v>
      </c>
      <c r="B902" t="s">
        <v>2117</v>
      </c>
      <c r="C902" t="s">
        <v>90</v>
      </c>
      <c r="D902" t="s">
        <v>157</v>
      </c>
      <c r="E902">
        <v>60</v>
      </c>
      <c r="F902">
        <v>55</v>
      </c>
      <c r="G902">
        <v>60</v>
      </c>
    </row>
    <row r="903" spans="1:7" x14ac:dyDescent="0.25">
      <c r="A903" t="s">
        <v>2120</v>
      </c>
      <c r="B903" t="s">
        <v>2119</v>
      </c>
      <c r="C903" t="s">
        <v>290</v>
      </c>
      <c r="E903">
        <v>45</v>
      </c>
      <c r="F903">
        <v>65</v>
      </c>
      <c r="G903">
        <v>40</v>
      </c>
    </row>
    <row r="904" spans="1:7" x14ac:dyDescent="0.25">
      <c r="A904" t="s">
        <v>2123</v>
      </c>
      <c r="B904" t="s">
        <v>2121</v>
      </c>
      <c r="C904" t="s">
        <v>290</v>
      </c>
      <c r="E904">
        <v>75</v>
      </c>
      <c r="F904">
        <v>115</v>
      </c>
      <c r="G904">
        <v>65</v>
      </c>
    </row>
    <row r="905" spans="1:7" x14ac:dyDescent="0.25">
      <c r="A905" t="s">
        <v>2125</v>
      </c>
      <c r="B905" t="s">
        <v>2124</v>
      </c>
      <c r="C905" t="s">
        <v>290</v>
      </c>
      <c r="E905">
        <v>85</v>
      </c>
      <c r="F905">
        <v>115</v>
      </c>
      <c r="G905">
        <v>75</v>
      </c>
    </row>
    <row r="906" spans="1:7" x14ac:dyDescent="0.25">
      <c r="A906" t="s">
        <v>2127</v>
      </c>
      <c r="B906" t="s">
        <v>2126</v>
      </c>
      <c r="C906" t="s">
        <v>290</v>
      </c>
      <c r="E906">
        <v>75</v>
      </c>
      <c r="F906">
        <v>117</v>
      </c>
      <c r="G906">
        <v>65</v>
      </c>
    </row>
    <row r="907" spans="1:7" x14ac:dyDescent="0.25">
      <c r="A907" t="s">
        <v>2130</v>
      </c>
      <c r="B907" t="s">
        <v>2128</v>
      </c>
      <c r="C907" t="s">
        <v>76</v>
      </c>
      <c r="E907">
        <v>45</v>
      </c>
      <c r="F907">
        <v>20</v>
      </c>
      <c r="G907">
        <v>20</v>
      </c>
    </row>
    <row r="908" spans="1:7" x14ac:dyDescent="0.25">
      <c r="A908" t="s">
        <v>2133</v>
      </c>
      <c r="B908" t="s">
        <v>2132</v>
      </c>
      <c r="C908" t="s">
        <v>76</v>
      </c>
      <c r="E908">
        <v>45</v>
      </c>
      <c r="F908">
        <v>140</v>
      </c>
      <c r="G908">
        <v>130</v>
      </c>
    </row>
    <row r="909" spans="1:7" x14ac:dyDescent="0.25">
      <c r="A909" t="s">
        <v>2135</v>
      </c>
      <c r="B909" t="s">
        <v>2134</v>
      </c>
      <c r="C909" t="s">
        <v>41</v>
      </c>
      <c r="D909" t="s">
        <v>76</v>
      </c>
      <c r="E909">
        <v>50</v>
      </c>
      <c r="F909">
        <v>53</v>
      </c>
      <c r="G909">
        <v>62</v>
      </c>
    </row>
    <row r="910" spans="1:7" x14ac:dyDescent="0.25">
      <c r="A910" t="s">
        <v>2138</v>
      </c>
      <c r="B910" t="s">
        <v>2137</v>
      </c>
      <c r="C910" t="s">
        <v>41</v>
      </c>
      <c r="D910" t="s">
        <v>76</v>
      </c>
      <c r="E910">
        <v>50</v>
      </c>
      <c r="F910">
        <v>63</v>
      </c>
      <c r="G910">
        <v>152</v>
      </c>
    </row>
    <row r="911" spans="1:7" x14ac:dyDescent="0.25">
      <c r="A911" t="s">
        <v>2140</v>
      </c>
      <c r="B911" t="s">
        <v>2139</v>
      </c>
      <c r="C911" t="s">
        <v>132</v>
      </c>
      <c r="E911">
        <v>70</v>
      </c>
      <c r="F911">
        <v>100</v>
      </c>
      <c r="G911">
        <v>70</v>
      </c>
    </row>
    <row r="912" spans="1:7" x14ac:dyDescent="0.25">
      <c r="A912" t="s">
        <v>2143</v>
      </c>
      <c r="B912" t="s">
        <v>2142</v>
      </c>
      <c r="C912" t="s">
        <v>132</v>
      </c>
      <c r="E912">
        <v>100</v>
      </c>
      <c r="F912">
        <v>125</v>
      </c>
      <c r="G912">
        <v>100</v>
      </c>
    </row>
    <row r="913" spans="1:7" x14ac:dyDescent="0.25">
      <c r="A913" t="s">
        <v>2145</v>
      </c>
      <c r="B913" t="s">
        <v>2144</v>
      </c>
      <c r="C913" t="s">
        <v>76</v>
      </c>
      <c r="D913" t="s">
        <v>90</v>
      </c>
      <c r="E913">
        <v>38</v>
      </c>
      <c r="F913">
        <v>40</v>
      </c>
      <c r="G913">
        <v>52</v>
      </c>
    </row>
    <row r="914" spans="1:7" x14ac:dyDescent="0.25">
      <c r="A914" t="s">
        <v>2148</v>
      </c>
      <c r="B914" t="s">
        <v>2147</v>
      </c>
      <c r="C914" t="s">
        <v>76</v>
      </c>
      <c r="D914" t="s">
        <v>90</v>
      </c>
      <c r="E914">
        <v>68</v>
      </c>
      <c r="F914">
        <v>70</v>
      </c>
      <c r="G914">
        <v>92</v>
      </c>
    </row>
    <row r="915" spans="1:7" x14ac:dyDescent="0.25">
      <c r="A915" t="s">
        <v>2150</v>
      </c>
      <c r="B915" t="s">
        <v>2149</v>
      </c>
      <c r="C915" t="s">
        <v>40</v>
      </c>
      <c r="E915">
        <v>40</v>
      </c>
      <c r="F915">
        <v>55</v>
      </c>
      <c r="G915">
        <v>35</v>
      </c>
    </row>
    <row r="916" spans="1:7" x14ac:dyDescent="0.25">
      <c r="A916" t="s">
        <v>2152</v>
      </c>
      <c r="B916" t="s">
        <v>2151</v>
      </c>
      <c r="C916" t="s">
        <v>40</v>
      </c>
      <c r="E916">
        <v>70</v>
      </c>
      <c r="F916">
        <v>105</v>
      </c>
      <c r="G916">
        <v>90</v>
      </c>
    </row>
    <row r="917" spans="1:7" x14ac:dyDescent="0.25">
      <c r="A917" t="s">
        <v>2154</v>
      </c>
      <c r="B917" t="s">
        <v>2153</v>
      </c>
      <c r="C917" t="s">
        <v>40</v>
      </c>
      <c r="D917" t="s">
        <v>157</v>
      </c>
      <c r="E917">
        <v>40</v>
      </c>
      <c r="F917">
        <v>35</v>
      </c>
      <c r="G917">
        <v>55</v>
      </c>
    </row>
    <row r="918" spans="1:7" x14ac:dyDescent="0.25">
      <c r="A918" t="s">
        <v>2156</v>
      </c>
      <c r="B918" t="s">
        <v>2155</v>
      </c>
      <c r="C918" t="s">
        <v>40</v>
      </c>
      <c r="D918" t="s">
        <v>157</v>
      </c>
      <c r="E918">
        <v>60</v>
      </c>
      <c r="F918">
        <v>45</v>
      </c>
      <c r="G918">
        <v>80</v>
      </c>
    </row>
    <row r="919" spans="1:7" x14ac:dyDescent="0.25">
      <c r="A919" t="s">
        <v>2158</v>
      </c>
      <c r="B919" t="s">
        <v>2157</v>
      </c>
      <c r="C919" t="s">
        <v>41</v>
      </c>
      <c r="D919" t="s">
        <v>57</v>
      </c>
      <c r="E919">
        <v>48</v>
      </c>
      <c r="F919">
        <v>44</v>
      </c>
      <c r="G919">
        <v>40</v>
      </c>
    </row>
    <row r="920" spans="1:7" x14ac:dyDescent="0.25">
      <c r="A920" t="s">
        <v>2161</v>
      </c>
      <c r="B920" t="s">
        <v>2160</v>
      </c>
      <c r="C920" t="s">
        <v>41</v>
      </c>
      <c r="D920" t="s">
        <v>57</v>
      </c>
      <c r="E920">
        <v>68</v>
      </c>
      <c r="F920">
        <v>64</v>
      </c>
      <c r="G920">
        <v>60</v>
      </c>
    </row>
    <row r="921" spans="1:7" x14ac:dyDescent="0.25">
      <c r="A921" t="s">
        <v>2163</v>
      </c>
      <c r="B921" t="s">
        <v>2162</v>
      </c>
      <c r="C921" t="s">
        <v>116</v>
      </c>
      <c r="D921" t="s">
        <v>279</v>
      </c>
      <c r="E921">
        <v>70</v>
      </c>
      <c r="F921">
        <v>75</v>
      </c>
      <c r="G921">
        <v>50</v>
      </c>
    </row>
    <row r="922" spans="1:7" x14ac:dyDescent="0.25">
      <c r="A922" t="s">
        <v>2166</v>
      </c>
      <c r="B922" t="s">
        <v>2165</v>
      </c>
      <c r="C922" t="s">
        <v>116</v>
      </c>
      <c r="D922" t="s">
        <v>279</v>
      </c>
      <c r="E922">
        <v>120</v>
      </c>
      <c r="F922">
        <v>125</v>
      </c>
      <c r="G922">
        <v>80</v>
      </c>
    </row>
    <row r="923" spans="1:7" x14ac:dyDescent="0.25">
      <c r="A923" t="s">
        <v>2168</v>
      </c>
      <c r="B923" t="s">
        <v>2167</v>
      </c>
      <c r="C923" t="s">
        <v>40</v>
      </c>
      <c r="E923">
        <v>42</v>
      </c>
      <c r="F923">
        <v>30</v>
      </c>
      <c r="G923">
        <v>38</v>
      </c>
    </row>
    <row r="924" spans="1:7" x14ac:dyDescent="0.25">
      <c r="A924" t="s">
        <v>2170</v>
      </c>
      <c r="B924" t="s">
        <v>2169</v>
      </c>
      <c r="C924" t="s">
        <v>40</v>
      </c>
      <c r="E924">
        <v>52</v>
      </c>
      <c r="F924">
        <v>40</v>
      </c>
      <c r="G924">
        <v>48</v>
      </c>
    </row>
    <row r="925" spans="1:7" x14ac:dyDescent="0.25">
      <c r="A925" t="s">
        <v>2172</v>
      </c>
      <c r="B925" t="s">
        <v>2171</v>
      </c>
      <c r="C925" t="s">
        <v>40</v>
      </c>
      <c r="E925">
        <v>72</v>
      </c>
      <c r="F925">
        <v>120</v>
      </c>
      <c r="G925">
        <v>98</v>
      </c>
    </row>
    <row r="926" spans="1:7" x14ac:dyDescent="0.25">
      <c r="A926" t="s">
        <v>2175</v>
      </c>
      <c r="B926" t="s">
        <v>2174</v>
      </c>
      <c r="C926" t="s">
        <v>157</v>
      </c>
      <c r="E926">
        <v>51</v>
      </c>
      <c r="F926">
        <v>52</v>
      </c>
      <c r="G926">
        <v>90</v>
      </c>
    </row>
    <row r="927" spans="1:7" x14ac:dyDescent="0.25">
      <c r="A927" t="s">
        <v>2178</v>
      </c>
      <c r="B927" t="s">
        <v>2177</v>
      </c>
      <c r="C927" t="s">
        <v>116</v>
      </c>
      <c r="D927" t="s">
        <v>162</v>
      </c>
      <c r="E927">
        <v>90</v>
      </c>
      <c r="F927">
        <v>60</v>
      </c>
      <c r="G927">
        <v>80</v>
      </c>
    </row>
    <row r="928" spans="1:7" x14ac:dyDescent="0.25">
      <c r="A928" t="s">
        <v>2180</v>
      </c>
      <c r="B928" t="s">
        <v>2179</v>
      </c>
      <c r="C928" t="s">
        <v>279</v>
      </c>
      <c r="E928">
        <v>100</v>
      </c>
      <c r="F928">
        <v>120</v>
      </c>
      <c r="G928">
        <v>90</v>
      </c>
    </row>
    <row r="929" spans="1:7" x14ac:dyDescent="0.25">
      <c r="A929" t="s">
        <v>2183</v>
      </c>
      <c r="B929" t="s">
        <v>2182</v>
      </c>
      <c r="C929" t="s">
        <v>90</v>
      </c>
      <c r="D929" t="s">
        <v>76</v>
      </c>
      <c r="E929">
        <v>25</v>
      </c>
      <c r="F929">
        <v>35</v>
      </c>
      <c r="G929">
        <v>40</v>
      </c>
    </row>
    <row r="930" spans="1:7" x14ac:dyDescent="0.25">
      <c r="A930" t="s">
        <v>2186</v>
      </c>
      <c r="B930" t="s">
        <v>2185</v>
      </c>
      <c r="C930" t="s">
        <v>90</v>
      </c>
      <c r="D930" t="s">
        <v>76</v>
      </c>
      <c r="E930">
        <v>75</v>
      </c>
      <c r="F930">
        <v>125</v>
      </c>
      <c r="G930">
        <v>140</v>
      </c>
    </row>
    <row r="931" spans="1:7" x14ac:dyDescent="0.25">
      <c r="A931" t="s">
        <v>2189</v>
      </c>
      <c r="B931" t="s">
        <v>2188</v>
      </c>
      <c r="C931" t="s">
        <v>419</v>
      </c>
      <c r="D931" t="s">
        <v>132</v>
      </c>
      <c r="E931">
        <v>55</v>
      </c>
      <c r="F931">
        <v>55</v>
      </c>
      <c r="G931">
        <v>80</v>
      </c>
    </row>
    <row r="932" spans="1:7" x14ac:dyDescent="0.25">
      <c r="A932" t="s">
        <v>2192</v>
      </c>
      <c r="B932" t="s">
        <v>2191</v>
      </c>
      <c r="C932" t="s">
        <v>419</v>
      </c>
      <c r="D932" t="s">
        <v>132</v>
      </c>
      <c r="E932">
        <v>85</v>
      </c>
      <c r="F932">
        <v>75</v>
      </c>
      <c r="G932">
        <v>110</v>
      </c>
    </row>
    <row r="933" spans="1:7" x14ac:dyDescent="0.25">
      <c r="A933" t="s">
        <v>2194</v>
      </c>
      <c r="B933" t="s">
        <v>2193</v>
      </c>
      <c r="C933" t="s">
        <v>76</v>
      </c>
      <c r="E933">
        <v>55</v>
      </c>
      <c r="F933">
        <v>60</v>
      </c>
      <c r="G933">
        <v>130</v>
      </c>
    </row>
    <row r="934" spans="1:7" x14ac:dyDescent="0.25">
      <c r="A934" t="s">
        <v>2197</v>
      </c>
      <c r="B934" t="s">
        <v>2196</v>
      </c>
      <c r="C934" t="s">
        <v>116</v>
      </c>
      <c r="E934">
        <v>95</v>
      </c>
      <c r="F934">
        <v>95</v>
      </c>
      <c r="G934">
        <v>95</v>
      </c>
    </row>
    <row r="935" spans="1:7" x14ac:dyDescent="0.25">
      <c r="A935" t="s">
        <v>2199</v>
      </c>
      <c r="B935" t="s">
        <v>2198</v>
      </c>
      <c r="C935" t="s">
        <v>116</v>
      </c>
      <c r="E935">
        <v>95</v>
      </c>
      <c r="F935">
        <v>95</v>
      </c>
      <c r="G935">
        <v>95</v>
      </c>
    </row>
    <row r="936" spans="1:7" x14ac:dyDescent="0.25">
      <c r="A936" t="s">
        <v>2203</v>
      </c>
      <c r="B936" t="s">
        <v>2201</v>
      </c>
      <c r="C936" t="s">
        <v>290</v>
      </c>
      <c r="D936" t="s">
        <v>66</v>
      </c>
      <c r="E936">
        <v>60</v>
      </c>
      <c r="F936">
        <v>60</v>
      </c>
      <c r="G936">
        <v>100</v>
      </c>
    </row>
    <row r="937" spans="1:7" x14ac:dyDescent="0.25">
      <c r="A937" t="s">
        <v>2206</v>
      </c>
      <c r="B937" t="s">
        <v>2205</v>
      </c>
      <c r="C937" t="s">
        <v>290</v>
      </c>
      <c r="D937" t="s">
        <v>66</v>
      </c>
      <c r="E937">
        <v>60</v>
      </c>
      <c r="F937">
        <v>100</v>
      </c>
      <c r="G937">
        <v>60</v>
      </c>
    </row>
    <row r="938" spans="1:7" x14ac:dyDescent="0.25">
      <c r="A938" t="s">
        <v>2208</v>
      </c>
      <c r="B938" t="s">
        <v>2207</v>
      </c>
      <c r="C938" t="s">
        <v>290</v>
      </c>
      <c r="D938" t="s">
        <v>66</v>
      </c>
      <c r="E938">
        <v>60</v>
      </c>
      <c r="F938">
        <v>100</v>
      </c>
      <c r="G938">
        <v>60</v>
      </c>
    </row>
    <row r="939" spans="1:7" x14ac:dyDescent="0.25">
      <c r="A939" t="s">
        <v>2210</v>
      </c>
      <c r="B939" t="s">
        <v>2209</v>
      </c>
      <c r="C939" t="s">
        <v>290</v>
      </c>
      <c r="D939" t="s">
        <v>66</v>
      </c>
      <c r="E939">
        <v>60</v>
      </c>
      <c r="F939">
        <v>100</v>
      </c>
      <c r="G939">
        <v>60</v>
      </c>
    </row>
    <row r="940" spans="1:7" x14ac:dyDescent="0.25">
      <c r="A940" t="s">
        <v>2212</v>
      </c>
      <c r="B940" t="s">
        <v>2211</v>
      </c>
      <c r="C940" t="s">
        <v>290</v>
      </c>
      <c r="D940" t="s">
        <v>66</v>
      </c>
      <c r="E940">
        <v>60</v>
      </c>
      <c r="F940">
        <v>100</v>
      </c>
      <c r="G940">
        <v>60</v>
      </c>
    </row>
    <row r="941" spans="1:7" x14ac:dyDescent="0.25">
      <c r="A941" t="s">
        <v>2214</v>
      </c>
      <c r="B941" t="s">
        <v>2213</v>
      </c>
      <c r="C941" t="s">
        <v>290</v>
      </c>
      <c r="D941" t="s">
        <v>66</v>
      </c>
      <c r="E941">
        <v>60</v>
      </c>
      <c r="F941">
        <v>100</v>
      </c>
      <c r="G941">
        <v>60</v>
      </c>
    </row>
    <row r="942" spans="1:7" x14ac:dyDescent="0.25">
      <c r="A942" t="s">
        <v>2216</v>
      </c>
      <c r="B942" t="s">
        <v>2215</v>
      </c>
      <c r="C942" t="s">
        <v>290</v>
      </c>
      <c r="D942" t="s">
        <v>66</v>
      </c>
      <c r="E942">
        <v>60</v>
      </c>
      <c r="F942">
        <v>100</v>
      </c>
      <c r="G942">
        <v>60</v>
      </c>
    </row>
    <row r="943" spans="1:7" x14ac:dyDescent="0.25">
      <c r="A943" t="s">
        <v>2218</v>
      </c>
      <c r="B943" t="s">
        <v>2217</v>
      </c>
      <c r="C943" t="s">
        <v>290</v>
      </c>
      <c r="D943" t="s">
        <v>66</v>
      </c>
      <c r="E943">
        <v>60</v>
      </c>
      <c r="F943">
        <v>100</v>
      </c>
      <c r="G943">
        <v>60</v>
      </c>
    </row>
    <row r="944" spans="1:7" x14ac:dyDescent="0.25">
      <c r="A944" t="s">
        <v>2220</v>
      </c>
      <c r="B944" t="s">
        <v>2219</v>
      </c>
      <c r="C944" t="s">
        <v>116</v>
      </c>
      <c r="E944">
        <v>65</v>
      </c>
      <c r="F944">
        <v>115</v>
      </c>
      <c r="G944">
        <v>65</v>
      </c>
    </row>
    <row r="945" spans="1:7" x14ac:dyDescent="0.25">
      <c r="A945" t="s">
        <v>2223</v>
      </c>
      <c r="B945" t="s">
        <v>2222</v>
      </c>
      <c r="C945" t="s">
        <v>57</v>
      </c>
      <c r="D945" t="s">
        <v>61</v>
      </c>
      <c r="E945">
        <v>60</v>
      </c>
      <c r="F945">
        <v>78</v>
      </c>
      <c r="G945">
        <v>135</v>
      </c>
    </row>
    <row r="946" spans="1:7" x14ac:dyDescent="0.25">
      <c r="A946" t="s">
        <v>2225</v>
      </c>
      <c r="B946" t="s">
        <v>2224</v>
      </c>
      <c r="C946" t="s">
        <v>154</v>
      </c>
      <c r="D946" t="s">
        <v>171</v>
      </c>
      <c r="E946">
        <v>65</v>
      </c>
      <c r="F946">
        <v>98</v>
      </c>
      <c r="G946">
        <v>63</v>
      </c>
    </row>
    <row r="947" spans="1:7" x14ac:dyDescent="0.25">
      <c r="A947" t="s">
        <v>2227</v>
      </c>
      <c r="B947" t="s">
        <v>2226</v>
      </c>
      <c r="C947" t="s">
        <v>419</v>
      </c>
      <c r="D947" t="s">
        <v>157</v>
      </c>
      <c r="E947">
        <v>55</v>
      </c>
      <c r="F947">
        <v>90</v>
      </c>
      <c r="G947">
        <v>80</v>
      </c>
    </row>
    <row r="948" spans="1:7" x14ac:dyDescent="0.25">
      <c r="A948" t="s">
        <v>2230</v>
      </c>
      <c r="B948" t="s">
        <v>2229</v>
      </c>
      <c r="C948" t="s">
        <v>76</v>
      </c>
      <c r="D948" t="s">
        <v>162</v>
      </c>
      <c r="E948">
        <v>68</v>
      </c>
      <c r="F948">
        <v>105</v>
      </c>
      <c r="G948">
        <v>70</v>
      </c>
    </row>
    <row r="949" spans="1:7" x14ac:dyDescent="0.25">
      <c r="A949" t="s">
        <v>2233</v>
      </c>
      <c r="B949" t="s">
        <v>2232</v>
      </c>
      <c r="C949" t="s">
        <v>116</v>
      </c>
      <c r="D949" t="s">
        <v>61</v>
      </c>
      <c r="E949">
        <v>78</v>
      </c>
      <c r="F949">
        <v>60</v>
      </c>
      <c r="G949">
        <v>85</v>
      </c>
    </row>
    <row r="950" spans="1:7" x14ac:dyDescent="0.25">
      <c r="A950" t="s">
        <v>2235</v>
      </c>
      <c r="B950" t="s">
        <v>2234</v>
      </c>
      <c r="C950" t="s">
        <v>419</v>
      </c>
      <c r="D950" t="s">
        <v>40</v>
      </c>
      <c r="E950">
        <v>70</v>
      </c>
      <c r="F950">
        <v>131</v>
      </c>
      <c r="G950">
        <v>100</v>
      </c>
    </row>
    <row r="951" spans="1:7" x14ac:dyDescent="0.25">
      <c r="A951" t="s">
        <v>2238</v>
      </c>
      <c r="B951" t="s">
        <v>2237</v>
      </c>
      <c r="C951" t="s">
        <v>61</v>
      </c>
      <c r="E951">
        <v>45</v>
      </c>
      <c r="F951">
        <v>55</v>
      </c>
      <c r="G951">
        <v>65</v>
      </c>
    </row>
    <row r="952" spans="1:7" x14ac:dyDescent="0.25">
      <c r="A952" t="s">
        <v>2240</v>
      </c>
      <c r="B952" t="s">
        <v>2239</v>
      </c>
      <c r="C952" t="s">
        <v>61</v>
      </c>
      <c r="D952" t="s">
        <v>279</v>
      </c>
      <c r="E952">
        <v>55</v>
      </c>
      <c r="F952">
        <v>75</v>
      </c>
      <c r="G952">
        <v>90</v>
      </c>
    </row>
    <row r="953" spans="1:7" x14ac:dyDescent="0.25">
      <c r="A953" t="s">
        <v>2242</v>
      </c>
      <c r="B953" t="s">
        <v>2241</v>
      </c>
      <c r="C953" t="s">
        <v>61</v>
      </c>
      <c r="D953" t="s">
        <v>279</v>
      </c>
      <c r="E953">
        <v>75</v>
      </c>
      <c r="F953">
        <v>110</v>
      </c>
      <c r="G953">
        <v>125</v>
      </c>
    </row>
    <row r="954" spans="1:7" x14ac:dyDescent="0.25">
      <c r="A954" t="s">
        <v>2244</v>
      </c>
      <c r="B954" t="s">
        <v>2243</v>
      </c>
      <c r="C954" t="s">
        <v>154</v>
      </c>
      <c r="D954" t="s">
        <v>157</v>
      </c>
      <c r="E954">
        <v>70</v>
      </c>
      <c r="F954">
        <v>115</v>
      </c>
      <c r="G954">
        <v>85</v>
      </c>
    </row>
    <row r="955" spans="1:7" x14ac:dyDescent="0.25">
      <c r="A955" t="s">
        <v>2247</v>
      </c>
      <c r="B955" t="s">
        <v>2246</v>
      </c>
      <c r="C955" t="s">
        <v>162</v>
      </c>
      <c r="D955" t="s">
        <v>157</v>
      </c>
      <c r="E955">
        <v>70</v>
      </c>
      <c r="F955">
        <v>85</v>
      </c>
      <c r="G955">
        <v>75</v>
      </c>
    </row>
    <row r="956" spans="1:7" x14ac:dyDescent="0.25">
      <c r="A956" t="s">
        <v>2250</v>
      </c>
      <c r="B956" t="s">
        <v>2249</v>
      </c>
      <c r="C956" t="s">
        <v>40</v>
      </c>
      <c r="D956" t="s">
        <v>157</v>
      </c>
      <c r="E956">
        <v>70</v>
      </c>
      <c r="F956">
        <v>130</v>
      </c>
      <c r="G956">
        <v>115</v>
      </c>
    </row>
    <row r="957" spans="1:7" x14ac:dyDescent="0.25">
      <c r="A957" t="s">
        <v>2253</v>
      </c>
      <c r="B957" t="s">
        <v>2252</v>
      </c>
      <c r="C957" t="s">
        <v>76</v>
      </c>
      <c r="D957" t="s">
        <v>157</v>
      </c>
      <c r="E957">
        <v>70</v>
      </c>
      <c r="F957">
        <v>75</v>
      </c>
      <c r="G957">
        <v>115</v>
      </c>
    </row>
    <row r="958" spans="1:7" x14ac:dyDescent="0.25">
      <c r="A958" t="s">
        <v>2255</v>
      </c>
      <c r="B958" t="s">
        <v>2254</v>
      </c>
      <c r="C958" t="s">
        <v>162</v>
      </c>
      <c r="E958">
        <v>43</v>
      </c>
      <c r="F958">
        <v>29</v>
      </c>
      <c r="G958">
        <v>31</v>
      </c>
    </row>
    <row r="959" spans="1:7" x14ac:dyDescent="0.25">
      <c r="A959" t="s">
        <v>2257</v>
      </c>
      <c r="B959" t="s">
        <v>2256</v>
      </c>
      <c r="C959" t="s">
        <v>162</v>
      </c>
      <c r="E959">
        <v>43</v>
      </c>
      <c r="F959">
        <v>29</v>
      </c>
      <c r="G959">
        <v>131</v>
      </c>
    </row>
    <row r="960" spans="1:7" x14ac:dyDescent="0.25">
      <c r="A960" t="s">
        <v>2259</v>
      </c>
      <c r="B960" t="s">
        <v>2258</v>
      </c>
      <c r="C960" t="s">
        <v>162</v>
      </c>
      <c r="D960" t="s">
        <v>171</v>
      </c>
      <c r="E960">
        <v>137</v>
      </c>
      <c r="F960">
        <v>137</v>
      </c>
      <c r="G960">
        <v>107</v>
      </c>
    </row>
    <row r="961" spans="1:7" x14ac:dyDescent="0.25">
      <c r="A961" t="s">
        <v>2262</v>
      </c>
      <c r="B961" t="s">
        <v>2261</v>
      </c>
      <c r="C961" t="s">
        <v>162</v>
      </c>
      <c r="D961" t="s">
        <v>419</v>
      </c>
      <c r="E961">
        <v>137</v>
      </c>
      <c r="F961">
        <v>113</v>
      </c>
      <c r="G961">
        <v>89</v>
      </c>
    </row>
    <row r="962" spans="1:7" x14ac:dyDescent="0.25">
      <c r="A962" t="s">
        <v>2265</v>
      </c>
      <c r="B962" t="s">
        <v>2264</v>
      </c>
      <c r="C962" t="s">
        <v>290</v>
      </c>
      <c r="D962" t="s">
        <v>41</v>
      </c>
      <c r="E962">
        <v>109</v>
      </c>
      <c r="F962">
        <v>53</v>
      </c>
      <c r="G962">
        <v>47</v>
      </c>
    </row>
    <row r="963" spans="1:7" x14ac:dyDescent="0.25">
      <c r="A963" t="s">
        <v>2268</v>
      </c>
      <c r="B963" t="s">
        <v>2267</v>
      </c>
      <c r="C963" t="s">
        <v>90</v>
      </c>
      <c r="D963" t="s">
        <v>279</v>
      </c>
      <c r="E963">
        <v>107</v>
      </c>
      <c r="F963">
        <v>139</v>
      </c>
      <c r="G963">
        <v>139</v>
      </c>
    </row>
    <row r="964" spans="1:7" x14ac:dyDescent="0.25">
      <c r="A964" t="s">
        <v>2270</v>
      </c>
      <c r="B964" t="s">
        <v>2269</v>
      </c>
      <c r="C964" t="s">
        <v>90</v>
      </c>
      <c r="D964" t="s">
        <v>279</v>
      </c>
      <c r="E964">
        <v>71</v>
      </c>
      <c r="F964">
        <v>137</v>
      </c>
      <c r="G964">
        <v>37</v>
      </c>
    </row>
    <row r="965" spans="1:7" x14ac:dyDescent="0.25">
      <c r="A965" t="s">
        <v>2272</v>
      </c>
      <c r="B965" t="s">
        <v>2271</v>
      </c>
      <c r="C965" t="s">
        <v>154</v>
      </c>
      <c r="E965">
        <v>83</v>
      </c>
      <c r="F965">
        <v>89</v>
      </c>
      <c r="G965">
        <v>71</v>
      </c>
    </row>
    <row r="966" spans="1:7" x14ac:dyDescent="0.25">
      <c r="A966" t="s">
        <v>2274</v>
      </c>
      <c r="B966" t="s">
        <v>2273</v>
      </c>
      <c r="C966" t="s">
        <v>171</v>
      </c>
      <c r="D966" t="s">
        <v>66</v>
      </c>
      <c r="E966">
        <v>97</v>
      </c>
      <c r="F966">
        <v>101</v>
      </c>
      <c r="G966">
        <v>103</v>
      </c>
    </row>
    <row r="967" spans="1:7" x14ac:dyDescent="0.25">
      <c r="A967" t="s">
        <v>2276</v>
      </c>
      <c r="B967" t="s">
        <v>2275</v>
      </c>
      <c r="C967" t="s">
        <v>40</v>
      </c>
      <c r="D967" t="s">
        <v>171</v>
      </c>
      <c r="E967">
        <v>59</v>
      </c>
      <c r="F967">
        <v>181</v>
      </c>
      <c r="G967">
        <v>131</v>
      </c>
    </row>
    <row r="968" spans="1:7" x14ac:dyDescent="0.25">
      <c r="A968" t="s">
        <v>2278</v>
      </c>
      <c r="B968" t="s">
        <v>2277</v>
      </c>
      <c r="C968" t="s">
        <v>135</v>
      </c>
      <c r="D968" t="s">
        <v>61</v>
      </c>
      <c r="E968">
        <v>223</v>
      </c>
      <c r="F968">
        <v>101</v>
      </c>
      <c r="G968">
        <v>53</v>
      </c>
    </row>
    <row r="969" spans="1:7" x14ac:dyDescent="0.25">
      <c r="A969" t="s">
        <v>2280</v>
      </c>
      <c r="B969" t="s">
        <v>2279</v>
      </c>
      <c r="C969" t="s">
        <v>162</v>
      </c>
      <c r="E969">
        <v>97</v>
      </c>
      <c r="F969">
        <v>107</v>
      </c>
      <c r="G969">
        <v>101</v>
      </c>
    </row>
    <row r="970" spans="1:7" x14ac:dyDescent="0.25">
      <c r="A970" t="s">
        <v>2283</v>
      </c>
      <c r="B970" t="s">
        <v>2282</v>
      </c>
      <c r="C970" t="s">
        <v>162</v>
      </c>
      <c r="D970" t="s">
        <v>171</v>
      </c>
      <c r="E970">
        <v>97</v>
      </c>
      <c r="F970">
        <v>157</v>
      </c>
      <c r="G970">
        <v>127</v>
      </c>
    </row>
    <row r="971" spans="1:7" x14ac:dyDescent="0.25">
      <c r="A971" t="s">
        <v>2285</v>
      </c>
      <c r="B971" t="s">
        <v>2284</v>
      </c>
      <c r="C971" t="s">
        <v>162</v>
      </c>
      <c r="D971" t="s">
        <v>419</v>
      </c>
      <c r="E971">
        <v>97</v>
      </c>
      <c r="F971">
        <v>113</v>
      </c>
      <c r="G971">
        <v>109</v>
      </c>
    </row>
    <row r="972" spans="1:7" x14ac:dyDescent="0.25">
      <c r="A972" t="s">
        <v>2287</v>
      </c>
      <c r="B972" t="s">
        <v>2286</v>
      </c>
      <c r="C972" t="s">
        <v>162</v>
      </c>
      <c r="D972" t="s">
        <v>61</v>
      </c>
      <c r="E972">
        <v>97</v>
      </c>
      <c r="F972">
        <v>167</v>
      </c>
      <c r="G972">
        <v>97</v>
      </c>
    </row>
    <row r="973" spans="1:7" x14ac:dyDescent="0.25">
      <c r="A973" t="s">
        <v>2290</v>
      </c>
      <c r="B973" t="s">
        <v>2289</v>
      </c>
      <c r="C973" t="s">
        <v>171</v>
      </c>
      <c r="D973" t="s">
        <v>157</v>
      </c>
      <c r="E973">
        <v>80</v>
      </c>
      <c r="F973">
        <v>95</v>
      </c>
      <c r="G973">
        <v>115</v>
      </c>
    </row>
    <row r="974" spans="1:7" x14ac:dyDescent="0.25">
      <c r="A974" t="s">
        <v>2293</v>
      </c>
      <c r="B974" t="s">
        <v>2292</v>
      </c>
      <c r="C974" t="s">
        <v>279</v>
      </c>
      <c r="D974" t="s">
        <v>419</v>
      </c>
      <c r="E974">
        <v>90</v>
      </c>
      <c r="F974">
        <v>125</v>
      </c>
      <c r="G974">
        <v>80</v>
      </c>
    </row>
    <row r="975" spans="1:7" x14ac:dyDescent="0.25">
      <c r="A975" t="s">
        <v>2295</v>
      </c>
      <c r="B975" t="s">
        <v>2294</v>
      </c>
      <c r="C975" t="s">
        <v>41</v>
      </c>
      <c r="E975">
        <v>67</v>
      </c>
      <c r="F975">
        <v>73</v>
      </c>
      <c r="G975">
        <v>67</v>
      </c>
    </row>
    <row r="976" spans="1:7" x14ac:dyDescent="0.25">
      <c r="A976" t="s">
        <v>2297</v>
      </c>
      <c r="B976" t="s">
        <v>2296</v>
      </c>
      <c r="C976" t="s">
        <v>41</v>
      </c>
      <c r="D976" t="s">
        <v>61</v>
      </c>
      <c r="E976">
        <v>73</v>
      </c>
      <c r="F976">
        <v>73</v>
      </c>
      <c r="G976">
        <v>73</v>
      </c>
    </row>
    <row r="977" spans="1:7" x14ac:dyDescent="0.25">
      <c r="A977" t="s">
        <v>2299</v>
      </c>
      <c r="B977" t="s">
        <v>2298</v>
      </c>
      <c r="C977" t="s">
        <v>290</v>
      </c>
      <c r="D977" t="s">
        <v>171</v>
      </c>
      <c r="E977">
        <v>61</v>
      </c>
      <c r="F977">
        <v>131</v>
      </c>
      <c r="G977">
        <v>211</v>
      </c>
    </row>
    <row r="978" spans="1:7" x14ac:dyDescent="0.25">
      <c r="A978" t="s">
        <v>2301</v>
      </c>
      <c r="B978" t="s">
        <v>2300</v>
      </c>
      <c r="C978" t="s">
        <v>57</v>
      </c>
      <c r="D978" t="s">
        <v>419</v>
      </c>
      <c r="E978">
        <v>53</v>
      </c>
      <c r="F978">
        <v>127</v>
      </c>
      <c r="G978">
        <v>53</v>
      </c>
    </row>
    <row r="979" spans="1:7" x14ac:dyDescent="0.25">
      <c r="A979" t="s">
        <v>2303</v>
      </c>
      <c r="B979" t="s">
        <v>2302</v>
      </c>
      <c r="C979" t="s">
        <v>154</v>
      </c>
      <c r="E979">
        <v>88</v>
      </c>
      <c r="F979">
        <v>112</v>
      </c>
      <c r="G979">
        <v>75</v>
      </c>
    </row>
    <row r="980" spans="1:7" x14ac:dyDescent="0.25">
      <c r="A980" t="s">
        <v>2305</v>
      </c>
      <c r="B980" t="s">
        <v>2304</v>
      </c>
      <c r="C980" t="s">
        <v>171</v>
      </c>
      <c r="E980">
        <v>46</v>
      </c>
      <c r="F980">
        <v>65</v>
      </c>
      <c r="G980">
        <v>65</v>
      </c>
    </row>
    <row r="981" spans="1:7" x14ac:dyDescent="0.25">
      <c r="A981" t="s">
        <v>2307</v>
      </c>
      <c r="B981" t="s">
        <v>2306</v>
      </c>
      <c r="C981" t="s">
        <v>171</v>
      </c>
      <c r="E981">
        <v>135</v>
      </c>
      <c r="F981">
        <v>143</v>
      </c>
      <c r="G981">
        <v>143</v>
      </c>
    </row>
    <row r="982" spans="1:7" x14ac:dyDescent="0.25">
      <c r="A982" t="s">
        <v>2309</v>
      </c>
      <c r="B982" t="s">
        <v>2308</v>
      </c>
      <c r="C982" t="s">
        <v>40</v>
      </c>
      <c r="E982">
        <v>50</v>
      </c>
      <c r="F982">
        <v>65</v>
      </c>
      <c r="G982">
        <v>50</v>
      </c>
    </row>
    <row r="983" spans="1:7" x14ac:dyDescent="0.25">
      <c r="A983" t="s">
        <v>2311</v>
      </c>
      <c r="B983" t="s">
        <v>2310</v>
      </c>
      <c r="C983" t="s">
        <v>40</v>
      </c>
      <c r="E983">
        <v>70</v>
      </c>
      <c r="F983">
        <v>85</v>
      </c>
      <c r="G983">
        <v>70</v>
      </c>
    </row>
    <row r="984" spans="1:7" x14ac:dyDescent="0.25">
      <c r="A984" t="s">
        <v>2313</v>
      </c>
      <c r="B984" t="s">
        <v>2312</v>
      </c>
      <c r="C984" t="s">
        <v>40</v>
      </c>
      <c r="E984">
        <v>100</v>
      </c>
      <c r="F984">
        <v>125</v>
      </c>
      <c r="G984">
        <v>90</v>
      </c>
    </row>
    <row r="985" spans="1:7" x14ac:dyDescent="0.25">
      <c r="A985" t="s">
        <v>2315</v>
      </c>
      <c r="B985" t="s">
        <v>2314</v>
      </c>
      <c r="C985" t="s">
        <v>57</v>
      </c>
      <c r="E985">
        <v>50</v>
      </c>
      <c r="F985">
        <v>71</v>
      </c>
      <c r="G985">
        <v>40</v>
      </c>
    </row>
    <row r="986" spans="1:7" x14ac:dyDescent="0.25">
      <c r="A986" t="s">
        <v>2318</v>
      </c>
      <c r="B986" t="s">
        <v>2317</v>
      </c>
      <c r="C986" t="s">
        <v>57</v>
      </c>
      <c r="E986">
        <v>65</v>
      </c>
      <c r="F986">
        <v>86</v>
      </c>
      <c r="G986">
        <v>60</v>
      </c>
    </row>
    <row r="987" spans="1:7" x14ac:dyDescent="0.25">
      <c r="A987" t="s">
        <v>2320</v>
      </c>
      <c r="B987" t="s">
        <v>2319</v>
      </c>
      <c r="C987" t="s">
        <v>57</v>
      </c>
      <c r="E987">
        <v>80</v>
      </c>
      <c r="F987">
        <v>116</v>
      </c>
      <c r="G987">
        <v>75</v>
      </c>
    </row>
    <row r="988" spans="1:7" x14ac:dyDescent="0.25">
      <c r="A988" t="s">
        <v>2322</v>
      </c>
      <c r="B988" t="s">
        <v>2321</v>
      </c>
      <c r="C988" t="s">
        <v>76</v>
      </c>
      <c r="E988">
        <v>50</v>
      </c>
      <c r="F988">
        <v>40</v>
      </c>
      <c r="G988">
        <v>40</v>
      </c>
    </row>
    <row r="989" spans="1:7" x14ac:dyDescent="0.25">
      <c r="A989" t="s">
        <v>2324</v>
      </c>
      <c r="B989" t="s">
        <v>2323</v>
      </c>
      <c r="C989" t="s">
        <v>76</v>
      </c>
      <c r="E989">
        <v>65</v>
      </c>
      <c r="F989">
        <v>60</v>
      </c>
      <c r="G989">
        <v>55</v>
      </c>
    </row>
    <row r="990" spans="1:7" x14ac:dyDescent="0.25">
      <c r="A990" t="s">
        <v>2326</v>
      </c>
      <c r="B990" t="s">
        <v>2325</v>
      </c>
      <c r="C990" t="s">
        <v>76</v>
      </c>
      <c r="E990">
        <v>70</v>
      </c>
      <c r="F990">
        <v>85</v>
      </c>
      <c r="G990">
        <v>65</v>
      </c>
    </row>
    <row r="991" spans="1:7" x14ac:dyDescent="0.25">
      <c r="A991" t="s">
        <v>2328</v>
      </c>
      <c r="B991" t="s">
        <v>2327</v>
      </c>
      <c r="C991" t="s">
        <v>116</v>
      </c>
      <c r="E991">
        <v>70</v>
      </c>
      <c r="F991">
        <v>55</v>
      </c>
      <c r="G991">
        <v>55</v>
      </c>
    </row>
    <row r="992" spans="1:7" x14ac:dyDescent="0.25">
      <c r="A992" t="s">
        <v>2330</v>
      </c>
      <c r="B992" t="s">
        <v>2329</v>
      </c>
      <c r="C992" t="s">
        <v>116</v>
      </c>
      <c r="E992">
        <v>120</v>
      </c>
      <c r="F992">
        <v>95</v>
      </c>
      <c r="G992">
        <v>95</v>
      </c>
    </row>
    <row r="993" spans="1:7" x14ac:dyDescent="0.25">
      <c r="A993" t="s">
        <v>2332</v>
      </c>
      <c r="B993" t="s">
        <v>2331</v>
      </c>
      <c r="C993" t="s">
        <v>66</v>
      </c>
      <c r="E993">
        <v>38</v>
      </c>
      <c r="F993">
        <v>47</v>
      </c>
      <c r="G993">
        <v>35</v>
      </c>
    </row>
    <row r="994" spans="1:7" x14ac:dyDescent="0.25">
      <c r="A994" t="s">
        <v>2334</v>
      </c>
      <c r="B994" t="s">
        <v>2333</v>
      </c>
      <c r="C994" t="s">
        <v>66</v>
      </c>
      <c r="E994">
        <v>68</v>
      </c>
      <c r="F994">
        <v>67</v>
      </c>
      <c r="G994">
        <v>55</v>
      </c>
    </row>
    <row r="995" spans="1:7" x14ac:dyDescent="0.25">
      <c r="A995" t="s">
        <v>2336</v>
      </c>
      <c r="B995" t="s">
        <v>2335</v>
      </c>
      <c r="C995" t="s">
        <v>66</v>
      </c>
      <c r="D995" t="s">
        <v>171</v>
      </c>
      <c r="E995">
        <v>98</v>
      </c>
      <c r="F995">
        <v>87</v>
      </c>
      <c r="G995">
        <v>105</v>
      </c>
    </row>
    <row r="996" spans="1:7" x14ac:dyDescent="0.25">
      <c r="A996" t="s">
        <v>2339</v>
      </c>
      <c r="B996" t="s">
        <v>2338</v>
      </c>
      <c r="C996" t="s">
        <v>90</v>
      </c>
      <c r="E996">
        <v>25</v>
      </c>
      <c r="F996">
        <v>20</v>
      </c>
      <c r="G996">
        <v>20</v>
      </c>
    </row>
    <row r="997" spans="1:7" x14ac:dyDescent="0.25">
      <c r="A997" t="s">
        <v>2341</v>
      </c>
      <c r="B997" t="s">
        <v>2340</v>
      </c>
      <c r="C997" t="s">
        <v>90</v>
      </c>
      <c r="D997" t="s">
        <v>162</v>
      </c>
      <c r="E997">
        <v>50</v>
      </c>
      <c r="F997">
        <v>35</v>
      </c>
      <c r="G997">
        <v>80</v>
      </c>
    </row>
    <row r="998" spans="1:7" x14ac:dyDescent="0.25">
      <c r="A998" t="s">
        <v>2343</v>
      </c>
      <c r="B998" t="s">
        <v>2342</v>
      </c>
      <c r="C998" t="s">
        <v>90</v>
      </c>
      <c r="D998" t="s">
        <v>162</v>
      </c>
      <c r="E998">
        <v>60</v>
      </c>
      <c r="F998">
        <v>45</v>
      </c>
      <c r="G998">
        <v>110</v>
      </c>
    </row>
    <row r="999" spans="1:7" x14ac:dyDescent="0.25">
      <c r="A999" t="s">
        <v>2345</v>
      </c>
      <c r="B999" t="s">
        <v>2344</v>
      </c>
      <c r="C999" t="s">
        <v>135</v>
      </c>
      <c r="E999">
        <v>40</v>
      </c>
      <c r="F999">
        <v>28</v>
      </c>
      <c r="G999">
        <v>28</v>
      </c>
    </row>
    <row r="1000" spans="1:7" x14ac:dyDescent="0.25">
      <c r="A1000" t="s">
        <v>2347</v>
      </c>
      <c r="B1000" t="s">
        <v>2346</v>
      </c>
      <c r="C1000" t="s">
        <v>135</v>
      </c>
      <c r="E1000">
        <v>70</v>
      </c>
      <c r="F1000">
        <v>58</v>
      </c>
      <c r="G1000">
        <v>58</v>
      </c>
    </row>
    <row r="1001" spans="1:7" x14ac:dyDescent="0.25">
      <c r="A1001" t="s">
        <v>2349</v>
      </c>
      <c r="B1001" t="s">
        <v>2348</v>
      </c>
      <c r="C1001" t="s">
        <v>40</v>
      </c>
      <c r="E1001">
        <v>40</v>
      </c>
      <c r="F1001">
        <v>40</v>
      </c>
      <c r="G1001">
        <v>60</v>
      </c>
    </row>
    <row r="1002" spans="1:7" x14ac:dyDescent="0.25">
      <c r="A1002" t="s">
        <v>2352</v>
      </c>
      <c r="B1002" t="s">
        <v>2351</v>
      </c>
      <c r="C1002" t="s">
        <v>40</v>
      </c>
      <c r="E1002">
        <v>60</v>
      </c>
      <c r="F1002">
        <v>50</v>
      </c>
      <c r="G1002">
        <v>90</v>
      </c>
    </row>
    <row r="1003" spans="1:7" x14ac:dyDescent="0.25">
      <c r="A1003" t="s">
        <v>2354</v>
      </c>
      <c r="B1003" t="s">
        <v>2353</v>
      </c>
      <c r="C1003" t="s">
        <v>116</v>
      </c>
      <c r="E1003">
        <v>42</v>
      </c>
      <c r="F1003">
        <v>40</v>
      </c>
      <c r="G1003">
        <v>55</v>
      </c>
    </row>
    <row r="1004" spans="1:7" x14ac:dyDescent="0.25">
      <c r="A1004" t="s">
        <v>2356</v>
      </c>
      <c r="B1004" t="s">
        <v>2355</v>
      </c>
      <c r="C1004" t="s">
        <v>116</v>
      </c>
      <c r="E1004">
        <v>72</v>
      </c>
      <c r="F1004">
        <v>80</v>
      </c>
      <c r="G1004">
        <v>100</v>
      </c>
    </row>
    <row r="1005" spans="1:7" x14ac:dyDescent="0.25">
      <c r="A1005" t="s">
        <v>2358</v>
      </c>
      <c r="B1005" t="s">
        <v>2357</v>
      </c>
      <c r="C1005" t="s">
        <v>76</v>
      </c>
      <c r="E1005">
        <v>50</v>
      </c>
      <c r="F1005">
        <v>64</v>
      </c>
      <c r="G1005">
        <v>50</v>
      </c>
    </row>
    <row r="1006" spans="1:7" x14ac:dyDescent="0.25">
      <c r="A1006" t="s">
        <v>2360</v>
      </c>
      <c r="B1006" t="s">
        <v>2359</v>
      </c>
      <c r="C1006" t="s">
        <v>76</v>
      </c>
      <c r="D1006" t="s">
        <v>290</v>
      </c>
      <c r="E1006">
        <v>90</v>
      </c>
      <c r="F1006">
        <v>115</v>
      </c>
      <c r="G1006">
        <v>90</v>
      </c>
    </row>
    <row r="1007" spans="1:7" x14ac:dyDescent="0.25">
      <c r="A1007" t="s">
        <v>2362</v>
      </c>
      <c r="B1007" t="s">
        <v>2361</v>
      </c>
      <c r="C1007" t="s">
        <v>154</v>
      </c>
      <c r="E1007">
        <v>59</v>
      </c>
      <c r="F1007">
        <v>45</v>
      </c>
      <c r="G1007">
        <v>50</v>
      </c>
    </row>
    <row r="1008" spans="1:7" x14ac:dyDescent="0.25">
      <c r="A1008" t="s">
        <v>2365</v>
      </c>
      <c r="B1008" t="s">
        <v>2364</v>
      </c>
      <c r="C1008" t="s">
        <v>154</v>
      </c>
      <c r="E1008">
        <v>69</v>
      </c>
      <c r="F1008">
        <v>90</v>
      </c>
      <c r="G1008">
        <v>60</v>
      </c>
    </row>
    <row r="1009" spans="1:7" x14ac:dyDescent="0.25">
      <c r="A1009" t="s">
        <v>2367</v>
      </c>
      <c r="B1009" t="s">
        <v>2366</v>
      </c>
      <c r="C1009" t="s">
        <v>290</v>
      </c>
      <c r="E1009">
        <v>30</v>
      </c>
      <c r="F1009">
        <v>40</v>
      </c>
      <c r="G1009">
        <v>50</v>
      </c>
    </row>
    <row r="1010" spans="1:7" x14ac:dyDescent="0.25">
      <c r="A1010" t="s">
        <v>2370</v>
      </c>
      <c r="B1010" t="s">
        <v>2369</v>
      </c>
      <c r="C1010" t="s">
        <v>290</v>
      </c>
      <c r="D1010" t="s">
        <v>57</v>
      </c>
      <c r="E1010">
        <v>80</v>
      </c>
      <c r="F1010">
        <v>60</v>
      </c>
      <c r="G1010">
        <v>90</v>
      </c>
    </row>
    <row r="1011" spans="1:7" x14ac:dyDescent="0.25">
      <c r="A1011" t="s">
        <v>2372</v>
      </c>
      <c r="B1011" t="s">
        <v>2371</v>
      </c>
      <c r="C1011" t="s">
        <v>290</v>
      </c>
      <c r="D1011" t="s">
        <v>57</v>
      </c>
      <c r="E1011">
        <v>110</v>
      </c>
      <c r="F1011">
        <v>80</v>
      </c>
      <c r="G1011">
        <v>120</v>
      </c>
    </row>
    <row r="1012" spans="1:7" x14ac:dyDescent="0.25">
      <c r="A1012" t="s">
        <v>2374</v>
      </c>
      <c r="B1012" t="s">
        <v>2373</v>
      </c>
      <c r="C1012" t="s">
        <v>40</v>
      </c>
      <c r="D1012" t="s">
        <v>61</v>
      </c>
      <c r="E1012">
        <v>40</v>
      </c>
      <c r="F1012">
        <v>40</v>
      </c>
      <c r="G1012">
        <v>80</v>
      </c>
    </row>
    <row r="1013" spans="1:7" x14ac:dyDescent="0.25">
      <c r="A1013" t="s">
        <v>2377</v>
      </c>
      <c r="B1013" t="s">
        <v>2376</v>
      </c>
      <c r="C1013" t="s">
        <v>40</v>
      </c>
      <c r="D1013" t="s">
        <v>61</v>
      </c>
      <c r="E1013">
        <v>70</v>
      </c>
      <c r="F1013">
        <v>110</v>
      </c>
      <c r="G1013">
        <v>80</v>
      </c>
    </row>
    <row r="1014" spans="1:7" x14ac:dyDescent="0.25">
      <c r="A1014" t="s">
        <v>2379</v>
      </c>
      <c r="B1014" t="s">
        <v>2378</v>
      </c>
      <c r="C1014" t="s">
        <v>40</v>
      </c>
      <c r="D1014" t="s">
        <v>61</v>
      </c>
      <c r="E1014">
        <v>110</v>
      </c>
      <c r="F1014">
        <v>85</v>
      </c>
      <c r="G1014">
        <v>80</v>
      </c>
    </row>
    <row r="1015" spans="1:7" x14ac:dyDescent="0.25">
      <c r="A1015" t="s">
        <v>2381</v>
      </c>
      <c r="B1015" t="s">
        <v>2380</v>
      </c>
      <c r="C1015" t="s">
        <v>132</v>
      </c>
      <c r="E1015">
        <v>52</v>
      </c>
      <c r="F1015">
        <v>57</v>
      </c>
      <c r="G1015">
        <v>75</v>
      </c>
    </row>
    <row r="1016" spans="1:7" x14ac:dyDescent="0.25">
      <c r="A1016" t="s">
        <v>2384</v>
      </c>
      <c r="B1016" t="s">
        <v>2383</v>
      </c>
      <c r="C1016" t="s">
        <v>132</v>
      </c>
      <c r="E1016">
        <v>72</v>
      </c>
      <c r="F1016">
        <v>107</v>
      </c>
      <c r="G1016">
        <v>125</v>
      </c>
    </row>
    <row r="1017" spans="1:7" x14ac:dyDescent="0.25">
      <c r="A1017" t="s">
        <v>2386</v>
      </c>
      <c r="B1017" t="s">
        <v>2385</v>
      </c>
      <c r="C1017" t="s">
        <v>66</v>
      </c>
      <c r="D1017" t="s">
        <v>76</v>
      </c>
      <c r="E1017">
        <v>70</v>
      </c>
      <c r="F1017">
        <v>85</v>
      </c>
      <c r="G1017">
        <v>55</v>
      </c>
    </row>
    <row r="1018" spans="1:7" x14ac:dyDescent="0.25">
      <c r="A1018" t="s">
        <v>2389</v>
      </c>
      <c r="B1018" t="s">
        <v>2388</v>
      </c>
      <c r="C1018" t="s">
        <v>76</v>
      </c>
      <c r="E1018">
        <v>41</v>
      </c>
      <c r="F1018">
        <v>63</v>
      </c>
      <c r="G1018">
        <v>40</v>
      </c>
    </row>
    <row r="1019" spans="1:7" x14ac:dyDescent="0.25">
      <c r="A1019" t="s">
        <v>2392</v>
      </c>
      <c r="B1019" t="s">
        <v>2391</v>
      </c>
      <c r="C1019" t="s">
        <v>76</v>
      </c>
      <c r="E1019">
        <v>61</v>
      </c>
      <c r="F1019">
        <v>123</v>
      </c>
      <c r="G1019">
        <v>60</v>
      </c>
    </row>
    <row r="1020" spans="1:7" x14ac:dyDescent="0.25">
      <c r="A1020" t="s">
        <v>2394</v>
      </c>
      <c r="B1020" t="s">
        <v>2393</v>
      </c>
      <c r="C1020" t="s">
        <v>154</v>
      </c>
      <c r="D1020" t="s">
        <v>41</v>
      </c>
      <c r="E1020">
        <v>40</v>
      </c>
      <c r="F1020">
        <v>38</v>
      </c>
      <c r="G1020">
        <v>35</v>
      </c>
    </row>
    <row r="1021" spans="1:7" x14ac:dyDescent="0.25">
      <c r="A1021" t="s">
        <v>2397</v>
      </c>
      <c r="B1021" t="s">
        <v>2395</v>
      </c>
      <c r="C1021" t="s">
        <v>154</v>
      </c>
      <c r="D1021" t="s">
        <v>41</v>
      </c>
      <c r="E1021">
        <v>75</v>
      </c>
      <c r="F1021">
        <v>98</v>
      </c>
      <c r="G1021">
        <v>70</v>
      </c>
    </row>
    <row r="1022" spans="1:7" x14ac:dyDescent="0.25">
      <c r="A1022" t="s">
        <v>2400</v>
      </c>
      <c r="B1022" t="s">
        <v>2399</v>
      </c>
      <c r="C1022" t="s">
        <v>154</v>
      </c>
      <c r="D1022" t="s">
        <v>41</v>
      </c>
      <c r="E1022">
        <v>75</v>
      </c>
      <c r="F1022">
        <v>98</v>
      </c>
      <c r="G1022">
        <v>70</v>
      </c>
    </row>
    <row r="1023" spans="1:7" x14ac:dyDescent="0.25">
      <c r="A1023" t="s">
        <v>2402</v>
      </c>
      <c r="B1023" t="s">
        <v>2401</v>
      </c>
      <c r="C1023" t="s">
        <v>57</v>
      </c>
      <c r="D1023" t="s">
        <v>90</v>
      </c>
      <c r="E1023">
        <v>50</v>
      </c>
      <c r="F1023">
        <v>65</v>
      </c>
      <c r="G1023">
        <v>45</v>
      </c>
    </row>
    <row r="1024" spans="1:7" x14ac:dyDescent="0.25">
      <c r="A1024" t="s">
        <v>2404</v>
      </c>
      <c r="B1024" t="s">
        <v>2403</v>
      </c>
      <c r="C1024" t="s">
        <v>57</v>
      </c>
      <c r="D1024" t="s">
        <v>90</v>
      </c>
      <c r="E1024">
        <v>100</v>
      </c>
      <c r="F1024">
        <v>115</v>
      </c>
      <c r="G1024">
        <v>65</v>
      </c>
    </row>
    <row r="1025" spans="1:7" x14ac:dyDescent="0.25">
      <c r="A1025" t="s">
        <v>2406</v>
      </c>
      <c r="B1025" t="s">
        <v>2405</v>
      </c>
      <c r="C1025" t="s">
        <v>279</v>
      </c>
      <c r="E1025">
        <v>50</v>
      </c>
      <c r="F1025">
        <v>68</v>
      </c>
      <c r="G1025">
        <v>60</v>
      </c>
    </row>
    <row r="1026" spans="1:7" x14ac:dyDescent="0.25">
      <c r="A1026" t="s">
        <v>2408</v>
      </c>
      <c r="B1026" t="s">
        <v>2407</v>
      </c>
      <c r="C1026" t="s">
        <v>279</v>
      </c>
      <c r="E1026">
        <v>80</v>
      </c>
      <c r="F1026">
        <v>118</v>
      </c>
      <c r="G1026">
        <v>90</v>
      </c>
    </row>
    <row r="1027" spans="1:7" x14ac:dyDescent="0.25">
      <c r="A1027" t="s">
        <v>2410</v>
      </c>
      <c r="B1027" t="s">
        <v>2409</v>
      </c>
      <c r="C1027" t="s">
        <v>419</v>
      </c>
      <c r="E1027">
        <v>40</v>
      </c>
      <c r="F1027">
        <v>45</v>
      </c>
      <c r="G1027">
        <v>45</v>
      </c>
    </row>
    <row r="1028" spans="1:7" x14ac:dyDescent="0.25">
      <c r="A1028" t="s">
        <v>2412</v>
      </c>
      <c r="B1028" t="s">
        <v>2411</v>
      </c>
      <c r="C1028" t="s">
        <v>419</v>
      </c>
      <c r="E1028">
        <v>60</v>
      </c>
      <c r="F1028">
        <v>65</v>
      </c>
      <c r="G1028">
        <v>65</v>
      </c>
    </row>
    <row r="1029" spans="1:7" x14ac:dyDescent="0.25">
      <c r="A1029" t="s">
        <v>2414</v>
      </c>
      <c r="B1029" t="s">
        <v>2413</v>
      </c>
      <c r="C1029" t="s">
        <v>162</v>
      </c>
      <c r="E1029">
        <v>42</v>
      </c>
      <c r="F1029">
        <v>30</v>
      </c>
      <c r="G1029">
        <v>45</v>
      </c>
    </row>
    <row r="1030" spans="1:7" x14ac:dyDescent="0.25">
      <c r="A1030" t="s">
        <v>2416</v>
      </c>
      <c r="B1030" t="s">
        <v>2415</v>
      </c>
      <c r="C1030" t="s">
        <v>162</v>
      </c>
      <c r="E1030">
        <v>57</v>
      </c>
      <c r="F1030">
        <v>40</v>
      </c>
      <c r="G1030">
        <v>65</v>
      </c>
    </row>
    <row r="1031" spans="1:7" x14ac:dyDescent="0.25">
      <c r="A1031" t="s">
        <v>2418</v>
      </c>
      <c r="B1031" t="s">
        <v>2417</v>
      </c>
      <c r="C1031" t="s">
        <v>162</v>
      </c>
      <c r="D1031" t="s">
        <v>157</v>
      </c>
      <c r="E1031">
        <v>57</v>
      </c>
      <c r="F1031">
        <v>90</v>
      </c>
      <c r="G1031">
        <v>95</v>
      </c>
    </row>
    <row r="1032" spans="1:7" x14ac:dyDescent="0.25">
      <c r="A1032" t="s">
        <v>2420</v>
      </c>
      <c r="B1032" t="s">
        <v>2419</v>
      </c>
      <c r="C1032" t="s">
        <v>135</v>
      </c>
      <c r="D1032" t="s">
        <v>157</v>
      </c>
      <c r="E1032">
        <v>45</v>
      </c>
      <c r="F1032">
        <v>45</v>
      </c>
      <c r="G1032">
        <v>30</v>
      </c>
    </row>
    <row r="1033" spans="1:7" x14ac:dyDescent="0.25">
      <c r="A1033" t="s">
        <v>2422</v>
      </c>
      <c r="B1033" t="s">
        <v>2421</v>
      </c>
      <c r="C1033" t="s">
        <v>135</v>
      </c>
      <c r="D1033" t="s">
        <v>157</v>
      </c>
      <c r="E1033">
        <v>65</v>
      </c>
      <c r="F1033">
        <v>60</v>
      </c>
      <c r="G1033">
        <v>45</v>
      </c>
    </row>
    <row r="1034" spans="1:7" x14ac:dyDescent="0.25">
      <c r="A1034" t="s">
        <v>2424</v>
      </c>
      <c r="B1034" t="s">
        <v>2423</v>
      </c>
      <c r="C1034" t="s">
        <v>135</v>
      </c>
      <c r="D1034" t="s">
        <v>157</v>
      </c>
      <c r="E1034">
        <v>95</v>
      </c>
      <c r="F1034">
        <v>120</v>
      </c>
      <c r="G1034">
        <v>65</v>
      </c>
    </row>
    <row r="1035" spans="1:7" x14ac:dyDescent="0.25">
      <c r="A1035" t="s">
        <v>2426</v>
      </c>
      <c r="B1035" t="s">
        <v>2425</v>
      </c>
      <c r="C1035" t="s">
        <v>135</v>
      </c>
      <c r="D1035" t="s">
        <v>116</v>
      </c>
      <c r="E1035">
        <v>93</v>
      </c>
      <c r="F1035">
        <v>90</v>
      </c>
      <c r="G1035">
        <v>101</v>
      </c>
    </row>
    <row r="1036" spans="1:7" x14ac:dyDescent="0.25">
      <c r="A1036" t="s">
        <v>2428</v>
      </c>
      <c r="B1036" t="s">
        <v>2427</v>
      </c>
      <c r="C1036" t="s">
        <v>171</v>
      </c>
      <c r="E1036">
        <v>70</v>
      </c>
      <c r="F1036">
        <v>110</v>
      </c>
      <c r="G1036">
        <v>100</v>
      </c>
    </row>
    <row r="1037" spans="1:7" x14ac:dyDescent="0.25">
      <c r="A1037" t="s">
        <v>2431</v>
      </c>
      <c r="B1037" t="s">
        <v>2430</v>
      </c>
      <c r="C1037" t="s">
        <v>419</v>
      </c>
      <c r="E1037">
        <v>60</v>
      </c>
      <c r="F1037">
        <v>95</v>
      </c>
      <c r="G1037">
        <v>50</v>
      </c>
    </row>
    <row r="1038" spans="1:7" x14ac:dyDescent="0.25">
      <c r="A1038" t="s">
        <v>2434</v>
      </c>
      <c r="B1038" t="s">
        <v>2433</v>
      </c>
      <c r="C1038" t="s">
        <v>279</v>
      </c>
      <c r="E1038">
        <v>62</v>
      </c>
      <c r="F1038">
        <v>135</v>
      </c>
      <c r="G1038">
        <v>95</v>
      </c>
    </row>
    <row r="1039" spans="1:7" x14ac:dyDescent="0.25">
      <c r="A1039" t="s">
        <v>2436</v>
      </c>
      <c r="B1039" t="s">
        <v>2435</v>
      </c>
      <c r="C1039" t="s">
        <v>170</v>
      </c>
      <c r="D1039" t="s">
        <v>162</v>
      </c>
      <c r="E1039">
        <v>80</v>
      </c>
      <c r="F1039">
        <v>85</v>
      </c>
      <c r="G1039">
        <v>75</v>
      </c>
    </row>
    <row r="1040" spans="1:7" x14ac:dyDescent="0.25">
      <c r="A1040" t="s">
        <v>2438</v>
      </c>
      <c r="B1040" t="s">
        <v>2437</v>
      </c>
      <c r="C1040" t="s">
        <v>132</v>
      </c>
      <c r="D1040" t="s">
        <v>419</v>
      </c>
      <c r="E1040">
        <v>58</v>
      </c>
      <c r="F1040">
        <v>95</v>
      </c>
      <c r="G1040">
        <v>145</v>
      </c>
    </row>
    <row r="1041" spans="1:7" x14ac:dyDescent="0.25">
      <c r="A1041" t="s">
        <v>2440</v>
      </c>
      <c r="B1041" t="s">
        <v>2439</v>
      </c>
      <c r="C1041" t="s">
        <v>157</v>
      </c>
      <c r="E1041">
        <v>45</v>
      </c>
      <c r="F1041">
        <v>40</v>
      </c>
      <c r="G1041">
        <v>40</v>
      </c>
    </row>
    <row r="1042" spans="1:7" x14ac:dyDescent="0.25">
      <c r="A1042" t="s">
        <v>2442</v>
      </c>
      <c r="B1042" t="s">
        <v>2441</v>
      </c>
      <c r="C1042" t="s">
        <v>157</v>
      </c>
      <c r="E1042">
        <v>65</v>
      </c>
      <c r="F1042">
        <v>60</v>
      </c>
      <c r="G1042">
        <v>75</v>
      </c>
    </row>
    <row r="1043" spans="1:7" x14ac:dyDescent="0.25">
      <c r="A1043" t="s">
        <v>2444</v>
      </c>
      <c r="B1043" t="s">
        <v>2443</v>
      </c>
      <c r="C1043" t="s">
        <v>279</v>
      </c>
      <c r="E1043">
        <v>65</v>
      </c>
      <c r="F1043">
        <v>100</v>
      </c>
      <c r="G1043">
        <v>100</v>
      </c>
    </row>
    <row r="1044" spans="1:7" x14ac:dyDescent="0.25">
      <c r="A1044" t="s">
        <v>2446</v>
      </c>
      <c r="B1044" t="s">
        <v>2445</v>
      </c>
      <c r="C1044" t="s">
        <v>154</v>
      </c>
      <c r="E1044">
        <v>48</v>
      </c>
      <c r="F1044">
        <v>101</v>
      </c>
      <c r="G1044">
        <v>95</v>
      </c>
    </row>
    <row r="1045" spans="1:7" x14ac:dyDescent="0.25">
      <c r="A1045" t="s">
        <v>2448</v>
      </c>
      <c r="B1045" t="s">
        <v>2447</v>
      </c>
      <c r="C1045" t="s">
        <v>170</v>
      </c>
      <c r="D1045" t="s">
        <v>90</v>
      </c>
      <c r="E1045">
        <v>30</v>
      </c>
      <c r="F1045">
        <v>25</v>
      </c>
      <c r="G1045">
        <v>35</v>
      </c>
    </row>
    <row r="1046" spans="1:7" x14ac:dyDescent="0.25">
      <c r="A1046" t="s">
        <v>2451</v>
      </c>
      <c r="B1046" t="s">
        <v>2450</v>
      </c>
      <c r="C1046" t="s">
        <v>170</v>
      </c>
      <c r="D1046" t="s">
        <v>90</v>
      </c>
      <c r="E1046">
        <v>70</v>
      </c>
      <c r="F1046">
        <v>65</v>
      </c>
      <c r="G1046">
        <v>60</v>
      </c>
    </row>
    <row r="1047" spans="1:7" x14ac:dyDescent="0.25">
      <c r="A1047" t="s">
        <v>2453</v>
      </c>
      <c r="B1047" t="s">
        <v>2452</v>
      </c>
      <c r="C1047" t="s">
        <v>290</v>
      </c>
      <c r="E1047">
        <v>100</v>
      </c>
      <c r="F1047">
        <v>125</v>
      </c>
      <c r="G1047">
        <v>135</v>
      </c>
    </row>
    <row r="1048" spans="1:7" x14ac:dyDescent="0.25">
      <c r="A1048" t="s">
        <v>2457</v>
      </c>
      <c r="B1048" t="s">
        <v>2455</v>
      </c>
      <c r="C1048" t="s">
        <v>170</v>
      </c>
      <c r="E1048">
        <v>75</v>
      </c>
      <c r="F1048">
        <v>80</v>
      </c>
      <c r="G1048">
        <v>110</v>
      </c>
    </row>
    <row r="1049" spans="1:7" x14ac:dyDescent="0.25">
      <c r="A1049" t="s">
        <v>2460</v>
      </c>
      <c r="B1049" t="s">
        <v>2459</v>
      </c>
      <c r="C1049" t="s">
        <v>170</v>
      </c>
      <c r="E1049">
        <v>75</v>
      </c>
      <c r="F1049">
        <v>80</v>
      </c>
      <c r="G1049">
        <v>70</v>
      </c>
    </row>
    <row r="1050" spans="1:7" x14ac:dyDescent="0.25">
      <c r="A1050" t="s">
        <v>2463</v>
      </c>
      <c r="B1050" t="s">
        <v>2461</v>
      </c>
      <c r="C1050" t="s">
        <v>162</v>
      </c>
      <c r="D1050" t="s">
        <v>116</v>
      </c>
      <c r="E1050">
        <v>60</v>
      </c>
      <c r="F1050">
        <v>65</v>
      </c>
      <c r="G1050">
        <v>55</v>
      </c>
    </row>
    <row r="1051" spans="1:7" x14ac:dyDescent="0.25">
      <c r="A1051" t="s">
        <v>2465</v>
      </c>
      <c r="B1051" t="s">
        <v>2464</v>
      </c>
      <c r="C1051" t="s">
        <v>162</v>
      </c>
      <c r="D1051" t="s">
        <v>116</v>
      </c>
      <c r="E1051">
        <v>70</v>
      </c>
      <c r="F1051">
        <v>55</v>
      </c>
      <c r="G1051">
        <v>65</v>
      </c>
    </row>
    <row r="1052" spans="1:7" x14ac:dyDescent="0.25">
      <c r="A1052" t="s">
        <v>2468</v>
      </c>
      <c r="B1052" t="s">
        <v>2466</v>
      </c>
      <c r="C1052" t="s">
        <v>154</v>
      </c>
      <c r="D1052" t="s">
        <v>135</v>
      </c>
      <c r="E1052">
        <v>58</v>
      </c>
      <c r="F1052">
        <v>95</v>
      </c>
      <c r="G1052">
        <v>58</v>
      </c>
    </row>
    <row r="1053" spans="1:7" x14ac:dyDescent="0.25">
      <c r="A1053" t="s">
        <v>2471</v>
      </c>
      <c r="B1053" t="s">
        <v>2470</v>
      </c>
      <c r="C1053" t="s">
        <v>154</v>
      </c>
      <c r="D1053" t="s">
        <v>135</v>
      </c>
      <c r="E1053">
        <v>58</v>
      </c>
      <c r="F1053">
        <v>95</v>
      </c>
      <c r="G1053">
        <v>58</v>
      </c>
    </row>
    <row r="1054" spans="1:7" x14ac:dyDescent="0.25">
      <c r="A1054" t="s">
        <v>2473</v>
      </c>
      <c r="B1054" t="s">
        <v>2472</v>
      </c>
      <c r="C1054" t="s">
        <v>171</v>
      </c>
      <c r="E1054">
        <v>72</v>
      </c>
      <c r="F1054">
        <v>80</v>
      </c>
      <c r="G1054">
        <v>49</v>
      </c>
    </row>
    <row r="1055" spans="1:7" x14ac:dyDescent="0.25">
      <c r="A1055" t="s">
        <v>2475</v>
      </c>
      <c r="B1055" t="s">
        <v>2474</v>
      </c>
      <c r="C1055" t="s">
        <v>171</v>
      </c>
      <c r="E1055">
        <v>122</v>
      </c>
      <c r="F1055">
        <v>130</v>
      </c>
      <c r="G1055">
        <v>69</v>
      </c>
    </row>
    <row r="1056" spans="1:7" x14ac:dyDescent="0.25">
      <c r="A1056" t="s">
        <v>2477</v>
      </c>
      <c r="B1056" t="s">
        <v>2476</v>
      </c>
      <c r="C1056" t="s">
        <v>154</v>
      </c>
      <c r="D1056" t="s">
        <v>61</v>
      </c>
      <c r="E1056">
        <v>90</v>
      </c>
      <c r="F1056">
        <v>100</v>
      </c>
      <c r="G1056">
        <v>90</v>
      </c>
    </row>
    <row r="1057" spans="1:7" x14ac:dyDescent="0.25">
      <c r="A1057" t="s">
        <v>2479</v>
      </c>
      <c r="B1057" t="s">
        <v>2478</v>
      </c>
      <c r="C1057" t="s">
        <v>154</v>
      </c>
      <c r="D1057" t="s">
        <v>170</v>
      </c>
      <c r="E1057">
        <v>90</v>
      </c>
      <c r="F1057">
        <v>100</v>
      </c>
      <c r="G1057">
        <v>90</v>
      </c>
    </row>
    <row r="1058" spans="1:7" x14ac:dyDescent="0.25">
      <c r="A1058" t="s">
        <v>2481</v>
      </c>
      <c r="B1058" t="s">
        <v>2480</v>
      </c>
      <c r="C1058" t="s">
        <v>76</v>
      </c>
      <c r="D1058" t="s">
        <v>61</v>
      </c>
      <c r="E1058">
        <v>90</v>
      </c>
      <c r="F1058">
        <v>90</v>
      </c>
      <c r="G1058">
        <v>100</v>
      </c>
    </row>
    <row r="1059" spans="1:7" x14ac:dyDescent="0.25">
      <c r="A1059" t="s">
        <v>2483</v>
      </c>
      <c r="B1059" t="s">
        <v>2482</v>
      </c>
      <c r="C1059" t="s">
        <v>76</v>
      </c>
      <c r="D1059" t="s">
        <v>170</v>
      </c>
      <c r="E1059">
        <v>90</v>
      </c>
      <c r="F1059">
        <v>90</v>
      </c>
      <c r="G1059">
        <v>100</v>
      </c>
    </row>
    <row r="1060" spans="1:7" x14ac:dyDescent="0.25">
      <c r="A1060" t="s">
        <v>2485</v>
      </c>
      <c r="B1060" t="s">
        <v>2484</v>
      </c>
      <c r="C1060" t="s">
        <v>171</v>
      </c>
      <c r="D1060" t="s">
        <v>61</v>
      </c>
      <c r="E1060">
        <v>70</v>
      </c>
      <c r="F1060">
        <v>95</v>
      </c>
      <c r="G1060">
        <v>115</v>
      </c>
    </row>
    <row r="1061" spans="1:7" x14ac:dyDescent="0.25">
      <c r="A1061" t="s">
        <v>2488</v>
      </c>
      <c r="B1061" t="s">
        <v>2487</v>
      </c>
      <c r="C1061" t="s">
        <v>61</v>
      </c>
      <c r="D1061" t="s">
        <v>419</v>
      </c>
      <c r="E1061">
        <v>28</v>
      </c>
      <c r="F1061">
        <v>60</v>
      </c>
      <c r="G1061">
        <v>30</v>
      </c>
    </row>
    <row r="1062" spans="1:7" x14ac:dyDescent="0.25">
      <c r="A1062" t="s">
        <v>2490</v>
      </c>
      <c r="B1062" t="s">
        <v>2489</v>
      </c>
      <c r="C1062" t="s">
        <v>61</v>
      </c>
      <c r="D1062" t="s">
        <v>419</v>
      </c>
      <c r="E1062">
        <v>68</v>
      </c>
      <c r="F1062">
        <v>80</v>
      </c>
      <c r="G1062">
        <v>50</v>
      </c>
    </row>
    <row r="1063" spans="1:7" x14ac:dyDescent="0.25">
      <c r="A1063" t="s">
        <v>2492</v>
      </c>
      <c r="B1063" t="s">
        <v>2491</v>
      </c>
      <c r="C1063" t="s">
        <v>61</v>
      </c>
      <c r="D1063" t="s">
        <v>419</v>
      </c>
      <c r="E1063">
        <v>88</v>
      </c>
      <c r="F1063">
        <v>120</v>
      </c>
      <c r="G1063">
        <v>75</v>
      </c>
    </row>
    <row r="1064" spans="1:7" x14ac:dyDescent="0.25">
      <c r="A1064" t="s">
        <v>2495</v>
      </c>
      <c r="B1064" t="s">
        <v>2493</v>
      </c>
      <c r="C1064" t="s">
        <v>157</v>
      </c>
      <c r="E1064">
        <v>92</v>
      </c>
      <c r="F1064">
        <v>120</v>
      </c>
      <c r="G1064">
        <v>115</v>
      </c>
    </row>
    <row r="1065" spans="1:7" x14ac:dyDescent="0.25">
      <c r="A1065" t="s">
        <v>2498</v>
      </c>
      <c r="B1065" t="s">
        <v>2497</v>
      </c>
      <c r="C1065" t="s">
        <v>157</v>
      </c>
      <c r="D1065" t="s">
        <v>171</v>
      </c>
      <c r="E1065">
        <v>92</v>
      </c>
      <c r="F1065">
        <v>150</v>
      </c>
      <c r="G1065">
        <v>115</v>
      </c>
    </row>
    <row r="1066" spans="1:7" x14ac:dyDescent="0.25">
      <c r="A1066" t="s">
        <v>2501</v>
      </c>
      <c r="B1066" t="s">
        <v>2499</v>
      </c>
      <c r="C1066" t="s">
        <v>279</v>
      </c>
      <c r="E1066">
        <v>92</v>
      </c>
      <c r="F1066">
        <v>120</v>
      </c>
      <c r="G1066">
        <v>115</v>
      </c>
    </row>
    <row r="1067" spans="1:7" x14ac:dyDescent="0.25">
      <c r="A1067" t="s">
        <v>2504</v>
      </c>
      <c r="B1067" t="s">
        <v>2503</v>
      </c>
      <c r="C1067" t="s">
        <v>279</v>
      </c>
      <c r="D1067" t="s">
        <v>171</v>
      </c>
      <c r="E1067">
        <v>92</v>
      </c>
      <c r="F1067">
        <v>120</v>
      </c>
      <c r="G1067">
        <v>140</v>
      </c>
    </row>
    <row r="1068" spans="1:7" x14ac:dyDescent="0.25">
      <c r="A1068" t="s">
        <v>2506</v>
      </c>
      <c r="B1068" t="s">
        <v>2505</v>
      </c>
      <c r="C1068" t="s">
        <v>41</v>
      </c>
      <c r="D1068" t="s">
        <v>61</v>
      </c>
      <c r="E1068">
        <v>140</v>
      </c>
      <c r="F1068">
        <v>85</v>
      </c>
      <c r="G1068">
        <v>95</v>
      </c>
    </row>
    <row r="1069" spans="1:7" x14ac:dyDescent="0.25">
      <c r="A1069" t="s">
        <v>2508</v>
      </c>
      <c r="B1069" t="s">
        <v>2507</v>
      </c>
      <c r="C1069" t="s">
        <v>41</v>
      </c>
      <c r="D1069" t="s">
        <v>61</v>
      </c>
      <c r="E1069">
        <v>255</v>
      </c>
      <c r="F1069">
        <v>115</v>
      </c>
      <c r="G1069">
        <v>250</v>
      </c>
    </row>
    <row r="1070" spans="1:7" x14ac:dyDescent="0.25">
      <c r="A1070" t="s">
        <v>2510</v>
      </c>
      <c r="B1070" t="s">
        <v>2509</v>
      </c>
      <c r="C1070" t="s">
        <v>279</v>
      </c>
      <c r="E1070">
        <v>60</v>
      </c>
      <c r="F1070">
        <v>90</v>
      </c>
      <c r="G1070">
        <v>60</v>
      </c>
    </row>
    <row r="1071" spans="1:7" x14ac:dyDescent="0.25">
      <c r="A1071" t="s">
        <v>2513</v>
      </c>
      <c r="B1071" t="s">
        <v>2511</v>
      </c>
      <c r="C1071" t="s">
        <v>279</v>
      </c>
      <c r="D1071" t="s">
        <v>135</v>
      </c>
      <c r="E1071">
        <v>100</v>
      </c>
      <c r="F1071">
        <v>130</v>
      </c>
      <c r="G1071">
        <v>100</v>
      </c>
    </row>
    <row r="1072" spans="1:7" x14ac:dyDescent="0.25">
      <c r="A1072" t="s">
        <v>2516</v>
      </c>
      <c r="B1072" t="s">
        <v>2515</v>
      </c>
      <c r="C1072" t="s">
        <v>279</v>
      </c>
      <c r="D1072" t="s">
        <v>76</v>
      </c>
      <c r="E1072">
        <v>100</v>
      </c>
      <c r="F1072">
        <v>130</v>
      </c>
      <c r="G1072">
        <v>100</v>
      </c>
    </row>
    <row r="1073" spans="1:7" x14ac:dyDescent="0.25">
      <c r="A1073" t="s">
        <v>2518</v>
      </c>
      <c r="B1073" t="s">
        <v>2517</v>
      </c>
      <c r="C1073" t="s">
        <v>135</v>
      </c>
      <c r="D1073" t="s">
        <v>40</v>
      </c>
      <c r="E1073">
        <v>105</v>
      </c>
      <c r="F1073">
        <v>120</v>
      </c>
      <c r="G1073">
        <v>105</v>
      </c>
    </row>
    <row r="1074" spans="1:7" x14ac:dyDescent="0.25">
      <c r="A1074" t="s">
        <v>2520</v>
      </c>
      <c r="B1074" t="s">
        <v>2519</v>
      </c>
      <c r="C1074" t="s">
        <v>154</v>
      </c>
      <c r="E1074">
        <v>80</v>
      </c>
      <c r="F1074">
        <v>100</v>
      </c>
      <c r="G1074">
        <v>50</v>
      </c>
    </row>
    <row r="1075" spans="1:7" x14ac:dyDescent="0.25">
      <c r="A1075" t="s">
        <v>2523</v>
      </c>
      <c r="B1075" t="s">
        <v>2522</v>
      </c>
      <c r="C1075" t="s">
        <v>61</v>
      </c>
      <c r="E1075">
        <v>200</v>
      </c>
      <c r="F1075">
        <v>100</v>
      </c>
      <c r="G1075">
        <v>50</v>
      </c>
    </row>
    <row r="1076" spans="1:7" x14ac:dyDescent="0.25">
      <c r="A1076" t="s">
        <v>2526</v>
      </c>
      <c r="B1076" t="s">
        <v>2525</v>
      </c>
      <c r="C1076" t="s">
        <v>170</v>
      </c>
      <c r="E1076">
        <v>100</v>
      </c>
      <c r="F1076">
        <v>145</v>
      </c>
      <c r="G1076">
        <v>130</v>
      </c>
    </row>
    <row r="1077" spans="1:7" x14ac:dyDescent="0.25">
      <c r="A1077" t="s">
        <v>2529</v>
      </c>
      <c r="B1077" t="s">
        <v>2528</v>
      </c>
      <c r="C1077" t="s">
        <v>419</v>
      </c>
      <c r="E1077">
        <v>100</v>
      </c>
      <c r="F1077">
        <v>65</v>
      </c>
      <c r="G1077">
        <v>60</v>
      </c>
    </row>
    <row r="1078" spans="1:7" x14ac:dyDescent="0.25">
      <c r="A1078" t="s">
        <v>2532</v>
      </c>
      <c r="B1078" t="s">
        <v>2531</v>
      </c>
      <c r="C1078" t="s">
        <v>162</v>
      </c>
      <c r="D1078" t="s">
        <v>40</v>
      </c>
      <c r="E1078">
        <v>100</v>
      </c>
      <c r="F1078">
        <v>80</v>
      </c>
      <c r="G1078">
        <v>80</v>
      </c>
    </row>
    <row r="1079" spans="1:7" x14ac:dyDescent="0.25">
      <c r="A1079" t="s">
        <v>2534</v>
      </c>
      <c r="B1079" t="s">
        <v>2533</v>
      </c>
      <c r="C1079" t="s">
        <v>162</v>
      </c>
      <c r="D1079" t="s">
        <v>170</v>
      </c>
      <c r="E1079">
        <v>100</v>
      </c>
      <c r="F1079">
        <v>165</v>
      </c>
      <c r="G1079">
        <v>150</v>
      </c>
    </row>
    <row r="1080" spans="1:7" x14ac:dyDescent="0.25">
      <c r="A1080" t="s">
        <v>2537</v>
      </c>
      <c r="B1080" t="s">
        <v>2536</v>
      </c>
      <c r="C1080" t="s">
        <v>162</v>
      </c>
      <c r="D1080" t="s">
        <v>419</v>
      </c>
      <c r="E1080">
        <v>100</v>
      </c>
      <c r="F1080">
        <v>85</v>
      </c>
      <c r="G1080">
        <v>80</v>
      </c>
    </row>
    <row r="1081" spans="1:7" x14ac:dyDescent="0.25">
      <c r="A1081" t="s">
        <v>2539</v>
      </c>
      <c r="B1081" t="s">
        <v>2538</v>
      </c>
      <c r="C1081" t="s">
        <v>116</v>
      </c>
      <c r="D1081" t="s">
        <v>162</v>
      </c>
      <c r="E1081">
        <v>103</v>
      </c>
      <c r="F1081">
        <v>105</v>
      </c>
      <c r="G1081">
        <v>72</v>
      </c>
    </row>
    <row r="1082" spans="1:7" x14ac:dyDescent="0.25">
      <c r="A1082" t="s">
        <v>2541</v>
      </c>
      <c r="B1082" t="s">
        <v>2540</v>
      </c>
      <c r="C1082" t="s">
        <v>90</v>
      </c>
      <c r="D1082" t="s">
        <v>290</v>
      </c>
      <c r="E1082">
        <v>70</v>
      </c>
      <c r="F1082">
        <v>130</v>
      </c>
      <c r="G1082">
        <v>95</v>
      </c>
    </row>
    <row r="1083" spans="1:7" x14ac:dyDescent="0.25">
      <c r="A1083" t="s">
        <v>2543</v>
      </c>
      <c r="B1083" t="s">
        <v>2542</v>
      </c>
      <c r="C1083" t="s">
        <v>132</v>
      </c>
      <c r="D1083" t="s">
        <v>116</v>
      </c>
      <c r="E1083">
        <v>130</v>
      </c>
      <c r="F1083">
        <v>140</v>
      </c>
      <c r="G1083">
        <v>105</v>
      </c>
    </row>
    <row r="1084" spans="1:7" x14ac:dyDescent="0.25">
      <c r="A1084" t="s">
        <v>2546</v>
      </c>
      <c r="B1084" t="s">
        <v>2544</v>
      </c>
      <c r="C1084" t="s">
        <v>76</v>
      </c>
      <c r="D1084" t="s">
        <v>419</v>
      </c>
      <c r="E1084">
        <v>120</v>
      </c>
      <c r="F1084">
        <v>112</v>
      </c>
      <c r="G1084">
        <v>65</v>
      </c>
    </row>
    <row r="1085" spans="1:7" x14ac:dyDescent="0.25">
      <c r="A1085" t="s">
        <v>2548</v>
      </c>
      <c r="B1085" t="s">
        <v>2547</v>
      </c>
      <c r="C1085" t="s">
        <v>76</v>
      </c>
      <c r="D1085" t="s">
        <v>419</v>
      </c>
      <c r="E1085">
        <v>120</v>
      </c>
      <c r="F1085">
        <v>92</v>
      </c>
      <c r="G1085">
        <v>65</v>
      </c>
    </row>
    <row r="1086" spans="1:7" x14ac:dyDescent="0.25">
      <c r="A1086" t="s">
        <v>2550</v>
      </c>
      <c r="B1086" t="s">
        <v>2549</v>
      </c>
      <c r="C1086" t="s">
        <v>279</v>
      </c>
      <c r="D1086" t="s">
        <v>41</v>
      </c>
      <c r="E1086">
        <v>80</v>
      </c>
      <c r="F1086">
        <v>130</v>
      </c>
      <c r="G1086">
        <v>60</v>
      </c>
    </row>
    <row r="1087" spans="1:7" x14ac:dyDescent="0.25">
      <c r="A1087" t="s">
        <v>2552</v>
      </c>
      <c r="B1087" t="s">
        <v>2551</v>
      </c>
      <c r="C1087" t="s">
        <v>135</v>
      </c>
      <c r="D1087" t="s">
        <v>41</v>
      </c>
      <c r="E1087">
        <v>85</v>
      </c>
      <c r="F1087">
        <v>115</v>
      </c>
      <c r="G1087">
        <v>95</v>
      </c>
    </row>
    <row r="1088" spans="1:7" x14ac:dyDescent="0.25">
      <c r="A1088" t="s">
        <v>2555</v>
      </c>
      <c r="B1088" t="s">
        <v>2553</v>
      </c>
      <c r="C1088" t="s">
        <v>157</v>
      </c>
      <c r="D1088" t="s">
        <v>66</v>
      </c>
      <c r="E1088">
        <v>74</v>
      </c>
      <c r="F1088">
        <v>115</v>
      </c>
      <c r="G1088">
        <v>70</v>
      </c>
    </row>
    <row r="1089" spans="1:7" x14ac:dyDescent="0.25">
      <c r="A1089" t="s">
        <v>2557</v>
      </c>
      <c r="B1089" t="s">
        <v>2556</v>
      </c>
      <c r="C1089" t="s">
        <v>157</v>
      </c>
      <c r="D1089" t="s">
        <v>66</v>
      </c>
      <c r="E1089">
        <v>74</v>
      </c>
      <c r="F1089">
        <v>115</v>
      </c>
      <c r="G1089">
        <v>110</v>
      </c>
    </row>
    <row r="1090" spans="1:7" x14ac:dyDescent="0.25">
      <c r="A1090" t="s">
        <v>2559</v>
      </c>
      <c r="B1090" t="s">
        <v>2558</v>
      </c>
      <c r="C1090" t="s">
        <v>40</v>
      </c>
      <c r="E1090">
        <v>40</v>
      </c>
      <c r="F1090">
        <v>61</v>
      </c>
      <c r="G1090">
        <v>54</v>
      </c>
    </row>
    <row r="1091" spans="1:7" x14ac:dyDescent="0.25">
      <c r="A1091" t="s">
        <v>2561</v>
      </c>
      <c r="B1091" t="s">
        <v>2560</v>
      </c>
      <c r="C1091" t="s">
        <v>40</v>
      </c>
      <c r="E1091">
        <v>61</v>
      </c>
      <c r="F1091">
        <v>80</v>
      </c>
      <c r="G1091">
        <v>63</v>
      </c>
    </row>
    <row r="1092" spans="1:7" x14ac:dyDescent="0.25">
      <c r="A1092" t="s">
        <v>2563</v>
      </c>
      <c r="B1092" t="s">
        <v>2562</v>
      </c>
      <c r="C1092" t="s">
        <v>40</v>
      </c>
      <c r="D1092" t="s">
        <v>135</v>
      </c>
      <c r="E1092">
        <v>76</v>
      </c>
      <c r="F1092">
        <v>110</v>
      </c>
      <c r="G1092">
        <v>70</v>
      </c>
    </row>
    <row r="1093" spans="1:7" x14ac:dyDescent="0.25">
      <c r="A1093" t="s">
        <v>2565</v>
      </c>
      <c r="B1093" t="s">
        <v>2564</v>
      </c>
      <c r="C1093" t="s">
        <v>57</v>
      </c>
      <c r="E1093">
        <v>67</v>
      </c>
      <c r="F1093">
        <v>45</v>
      </c>
      <c r="G1093">
        <v>59</v>
      </c>
    </row>
    <row r="1094" spans="1:7" x14ac:dyDescent="0.25">
      <c r="A1094" t="s">
        <v>2567</v>
      </c>
      <c r="B1094" t="s">
        <v>2566</v>
      </c>
      <c r="C1094" t="s">
        <v>57</v>
      </c>
      <c r="E1094">
        <v>81</v>
      </c>
      <c r="F1094">
        <v>55</v>
      </c>
      <c r="G1094">
        <v>78</v>
      </c>
    </row>
    <row r="1095" spans="1:7" x14ac:dyDescent="0.25">
      <c r="A1095" t="s">
        <v>2569</v>
      </c>
      <c r="B1095" t="s">
        <v>2568</v>
      </c>
      <c r="C1095" t="s">
        <v>57</v>
      </c>
      <c r="D1095" t="s">
        <v>419</v>
      </c>
      <c r="E1095">
        <v>104</v>
      </c>
      <c r="F1095">
        <v>75</v>
      </c>
      <c r="G1095">
        <v>100</v>
      </c>
    </row>
    <row r="1096" spans="1:7" x14ac:dyDescent="0.25">
      <c r="A1096" t="s">
        <v>2571</v>
      </c>
      <c r="B1096" t="s">
        <v>2570</v>
      </c>
      <c r="C1096" t="s">
        <v>76</v>
      </c>
      <c r="E1096">
        <v>55</v>
      </c>
      <c r="F1096">
        <v>65</v>
      </c>
      <c r="G1096">
        <v>45</v>
      </c>
    </row>
    <row r="1097" spans="1:7" x14ac:dyDescent="0.25">
      <c r="A1097" t="s">
        <v>2573</v>
      </c>
      <c r="B1097" t="s">
        <v>2572</v>
      </c>
      <c r="C1097" t="s">
        <v>76</v>
      </c>
      <c r="E1097">
        <v>70</v>
      </c>
      <c r="F1097">
        <v>85</v>
      </c>
      <c r="G1097">
        <v>65</v>
      </c>
    </row>
    <row r="1098" spans="1:7" x14ac:dyDescent="0.25">
      <c r="A1098" t="s">
        <v>2575</v>
      </c>
      <c r="B1098" t="s">
        <v>2574</v>
      </c>
      <c r="C1098" t="s">
        <v>76</v>
      </c>
      <c r="D1098" t="s">
        <v>279</v>
      </c>
      <c r="E1098">
        <v>85</v>
      </c>
      <c r="F1098">
        <v>120</v>
      </c>
      <c r="G1098">
        <v>80</v>
      </c>
    </row>
    <row r="1099" spans="1:7" x14ac:dyDescent="0.25">
      <c r="A1099" t="s">
        <v>2577</v>
      </c>
      <c r="B1099" t="s">
        <v>2576</v>
      </c>
      <c r="C1099" t="s">
        <v>116</v>
      </c>
      <c r="E1099">
        <v>54</v>
      </c>
      <c r="F1099">
        <v>45</v>
      </c>
      <c r="G1099">
        <v>40</v>
      </c>
    </row>
    <row r="1100" spans="1:7" x14ac:dyDescent="0.25">
      <c r="A1100" t="s">
        <v>2579</v>
      </c>
      <c r="B1100" t="s">
        <v>2578</v>
      </c>
      <c r="C1100" t="s">
        <v>116</v>
      </c>
      <c r="E1100">
        <v>110</v>
      </c>
      <c r="F1100">
        <v>100</v>
      </c>
      <c r="G1100">
        <v>75</v>
      </c>
    </row>
    <row r="1101" spans="1:7" x14ac:dyDescent="0.25">
      <c r="A1101" t="s">
        <v>2579</v>
      </c>
      <c r="B1101" t="s">
        <v>2581</v>
      </c>
      <c r="C1101" t="s">
        <v>116</v>
      </c>
      <c r="E1101">
        <v>115</v>
      </c>
      <c r="F1101">
        <v>90</v>
      </c>
      <c r="G1101">
        <v>70</v>
      </c>
    </row>
    <row r="1102" spans="1:7" x14ac:dyDescent="0.25">
      <c r="A1102" t="s">
        <v>2583</v>
      </c>
      <c r="B1102" t="s">
        <v>2582</v>
      </c>
      <c r="C1102" t="s">
        <v>90</v>
      </c>
      <c r="E1102">
        <v>35</v>
      </c>
      <c r="F1102">
        <v>41</v>
      </c>
      <c r="G1102">
        <v>45</v>
      </c>
    </row>
    <row r="1103" spans="1:7" x14ac:dyDescent="0.25">
      <c r="A1103" t="s">
        <v>2585</v>
      </c>
      <c r="B1103" t="s">
        <v>2584</v>
      </c>
      <c r="C1103" t="s">
        <v>90</v>
      </c>
      <c r="E1103">
        <v>60</v>
      </c>
      <c r="F1103">
        <v>79</v>
      </c>
      <c r="G1103">
        <v>92</v>
      </c>
    </row>
    <row r="1104" spans="1:7" x14ac:dyDescent="0.25">
      <c r="A1104" t="s">
        <v>2587</v>
      </c>
      <c r="B1104" t="s">
        <v>2586</v>
      </c>
      <c r="C1104" t="s">
        <v>90</v>
      </c>
      <c r="E1104">
        <v>33</v>
      </c>
      <c r="F1104">
        <v>46</v>
      </c>
      <c r="G1104">
        <v>40</v>
      </c>
    </row>
    <row r="1105" spans="1:7" x14ac:dyDescent="0.25">
      <c r="A1105" t="s">
        <v>2589</v>
      </c>
      <c r="B1105" t="s">
        <v>2588</v>
      </c>
      <c r="C1105" t="s">
        <v>90</v>
      </c>
      <c r="D1105" t="s">
        <v>135</v>
      </c>
      <c r="E1105">
        <v>71</v>
      </c>
      <c r="F1105">
        <v>102</v>
      </c>
      <c r="G1105">
        <v>78</v>
      </c>
    </row>
    <row r="1106" spans="1:7" x14ac:dyDescent="0.25">
      <c r="A1106" t="s">
        <v>2591</v>
      </c>
      <c r="B1106" t="s">
        <v>2590</v>
      </c>
      <c r="C1106" t="s">
        <v>154</v>
      </c>
      <c r="E1106">
        <v>45</v>
      </c>
      <c r="F1106">
        <v>50</v>
      </c>
      <c r="G1106">
        <v>20</v>
      </c>
    </row>
    <row r="1107" spans="1:7" x14ac:dyDescent="0.25">
      <c r="A1107" t="s">
        <v>2593</v>
      </c>
      <c r="B1107" t="s">
        <v>2592</v>
      </c>
      <c r="C1107" t="s">
        <v>154</v>
      </c>
      <c r="D1107" t="s">
        <v>279</v>
      </c>
      <c r="E1107">
        <v>60</v>
      </c>
      <c r="F1107">
        <v>75</v>
      </c>
      <c r="G1107">
        <v>40</v>
      </c>
    </row>
    <row r="1108" spans="1:7" x14ac:dyDescent="0.25">
      <c r="A1108" t="s">
        <v>2595</v>
      </c>
      <c r="B1108" t="s">
        <v>2594</v>
      </c>
      <c r="C1108" t="s">
        <v>154</v>
      </c>
      <c r="D1108" t="s">
        <v>279</v>
      </c>
      <c r="E1108">
        <v>70</v>
      </c>
      <c r="F1108">
        <v>115</v>
      </c>
      <c r="G1108">
        <v>70</v>
      </c>
    </row>
    <row r="1109" spans="1:7" x14ac:dyDescent="0.25">
      <c r="A1109" t="s">
        <v>2597</v>
      </c>
      <c r="B1109" t="s">
        <v>2596</v>
      </c>
      <c r="C1109" t="s">
        <v>116</v>
      </c>
      <c r="E1109">
        <v>50</v>
      </c>
      <c r="F1109">
        <v>50</v>
      </c>
      <c r="G1109">
        <v>45</v>
      </c>
    </row>
    <row r="1110" spans="1:7" x14ac:dyDescent="0.25">
      <c r="A1110" t="s">
        <v>2600</v>
      </c>
      <c r="B1110" t="s">
        <v>2598</v>
      </c>
      <c r="C1110" t="s">
        <v>116</v>
      </c>
      <c r="E1110">
        <v>74</v>
      </c>
      <c r="F1110">
        <v>75</v>
      </c>
      <c r="G1110">
        <v>70</v>
      </c>
    </row>
    <row r="1111" spans="1:7" x14ac:dyDescent="0.25">
      <c r="A1111" t="s">
        <v>2602</v>
      </c>
      <c r="B1111" t="s">
        <v>2601</v>
      </c>
      <c r="C1111" t="s">
        <v>116</v>
      </c>
      <c r="E1111">
        <v>74</v>
      </c>
      <c r="F1111">
        <v>75</v>
      </c>
      <c r="G1111">
        <v>70</v>
      </c>
    </row>
    <row r="1112" spans="1:7" x14ac:dyDescent="0.25">
      <c r="A1112" t="s">
        <v>2604</v>
      </c>
      <c r="B1112" t="s">
        <v>2603</v>
      </c>
      <c r="C1112" t="s">
        <v>157</v>
      </c>
      <c r="E1112">
        <v>37</v>
      </c>
      <c r="F1112">
        <v>55</v>
      </c>
      <c r="G1112">
        <v>70</v>
      </c>
    </row>
    <row r="1113" spans="1:7" x14ac:dyDescent="0.25">
      <c r="A1113" t="s">
        <v>2606</v>
      </c>
      <c r="B1113" t="s">
        <v>2605</v>
      </c>
      <c r="C1113" t="s">
        <v>157</v>
      </c>
      <c r="E1113">
        <v>57</v>
      </c>
      <c r="F1113">
        <v>80</v>
      </c>
      <c r="G1113">
        <v>115</v>
      </c>
    </row>
    <row r="1114" spans="1:7" x14ac:dyDescent="0.25">
      <c r="A1114" t="s">
        <v>2609</v>
      </c>
      <c r="B1114" t="s">
        <v>2608</v>
      </c>
      <c r="C1114" t="s">
        <v>40</v>
      </c>
      <c r="D1114" t="s">
        <v>116</v>
      </c>
      <c r="E1114">
        <v>41</v>
      </c>
      <c r="F1114">
        <v>35</v>
      </c>
      <c r="G1114">
        <v>45</v>
      </c>
    </row>
    <row r="1115" spans="1:7" x14ac:dyDescent="0.25">
      <c r="A1115" t="s">
        <v>2611</v>
      </c>
      <c r="B1115" t="s">
        <v>2610</v>
      </c>
      <c r="C1115" t="s">
        <v>40</v>
      </c>
      <c r="D1115" t="s">
        <v>116</v>
      </c>
      <c r="E1115">
        <v>52</v>
      </c>
      <c r="F1115">
        <v>53</v>
      </c>
      <c r="G1115">
        <v>60</v>
      </c>
    </row>
    <row r="1116" spans="1:7" x14ac:dyDescent="0.25">
      <c r="A1116" t="s">
        <v>2613</v>
      </c>
      <c r="B1116" t="s">
        <v>2612</v>
      </c>
      <c r="C1116" t="s">
        <v>40</v>
      </c>
      <c r="D1116" t="s">
        <v>116</v>
      </c>
      <c r="E1116">
        <v>78</v>
      </c>
      <c r="F1116">
        <v>69</v>
      </c>
      <c r="G1116">
        <v>90</v>
      </c>
    </row>
    <row r="1117" spans="1:7" x14ac:dyDescent="0.25">
      <c r="A1117" t="s">
        <v>2617</v>
      </c>
      <c r="B1117" t="s">
        <v>2615</v>
      </c>
      <c r="C1117" t="s">
        <v>116</v>
      </c>
      <c r="D1117" t="s">
        <v>66</v>
      </c>
      <c r="E1117">
        <v>82</v>
      </c>
      <c r="F1117">
        <v>96</v>
      </c>
      <c r="G1117">
        <v>51</v>
      </c>
    </row>
    <row r="1118" spans="1:7" x14ac:dyDescent="0.25">
      <c r="A1118" t="s">
        <v>2619</v>
      </c>
      <c r="B1118" t="s">
        <v>2618</v>
      </c>
      <c r="C1118" t="s">
        <v>116</v>
      </c>
      <c r="D1118" t="s">
        <v>66</v>
      </c>
      <c r="E1118">
        <v>82</v>
      </c>
      <c r="F1118">
        <v>96</v>
      </c>
      <c r="G1118">
        <v>51</v>
      </c>
    </row>
    <row r="1119" spans="1:7" x14ac:dyDescent="0.25">
      <c r="A1119" t="s">
        <v>2621</v>
      </c>
      <c r="B1119" t="s">
        <v>2620</v>
      </c>
      <c r="C1119" t="s">
        <v>116</v>
      </c>
      <c r="D1119" t="s">
        <v>66</v>
      </c>
      <c r="E1119">
        <v>82</v>
      </c>
      <c r="F1119">
        <v>96</v>
      </c>
      <c r="G1119">
        <v>51</v>
      </c>
    </row>
    <row r="1120" spans="1:7" x14ac:dyDescent="0.25">
      <c r="A1120" t="s">
        <v>2623</v>
      </c>
      <c r="B1120" t="s">
        <v>2622</v>
      </c>
      <c r="C1120" t="s">
        <v>116</v>
      </c>
      <c r="D1120" t="s">
        <v>66</v>
      </c>
      <c r="E1120">
        <v>82</v>
      </c>
      <c r="F1120">
        <v>96</v>
      </c>
      <c r="G1120">
        <v>51</v>
      </c>
    </row>
    <row r="1121" spans="1:7" x14ac:dyDescent="0.25">
      <c r="A1121" t="s">
        <v>2625</v>
      </c>
      <c r="B1121" t="s">
        <v>2624</v>
      </c>
      <c r="C1121" t="s">
        <v>290</v>
      </c>
      <c r="E1121">
        <v>55</v>
      </c>
      <c r="F1121">
        <v>55</v>
      </c>
      <c r="G1121">
        <v>75</v>
      </c>
    </row>
    <row r="1122" spans="1:7" x14ac:dyDescent="0.25">
      <c r="A1122" t="s">
        <v>2628</v>
      </c>
      <c r="B1122" t="s">
        <v>2627</v>
      </c>
      <c r="C1122" t="s">
        <v>290</v>
      </c>
      <c r="E1122">
        <v>60</v>
      </c>
      <c r="F1122">
        <v>60</v>
      </c>
      <c r="G1122">
        <v>100</v>
      </c>
    </row>
    <row r="1123" spans="1:7" x14ac:dyDescent="0.25">
      <c r="A1123" t="s">
        <v>2630</v>
      </c>
      <c r="B1123" t="s">
        <v>2629</v>
      </c>
      <c r="C1123" t="s">
        <v>290</v>
      </c>
      <c r="E1123">
        <v>100</v>
      </c>
      <c r="F1123">
        <v>100</v>
      </c>
      <c r="G1123">
        <v>130</v>
      </c>
    </row>
    <row r="1124" spans="1:7" x14ac:dyDescent="0.25">
      <c r="A1124" t="s">
        <v>2632</v>
      </c>
      <c r="B1124" t="s">
        <v>2631</v>
      </c>
      <c r="C1124" t="s">
        <v>57</v>
      </c>
      <c r="E1124">
        <v>40</v>
      </c>
      <c r="F1124">
        <v>50</v>
      </c>
      <c r="G1124">
        <v>40</v>
      </c>
    </row>
    <row r="1125" spans="1:7" x14ac:dyDescent="0.25">
      <c r="A1125" t="s">
        <v>2634</v>
      </c>
      <c r="B1125" t="s">
        <v>2633</v>
      </c>
      <c r="C1125" t="s">
        <v>57</v>
      </c>
      <c r="D1125" t="s">
        <v>162</v>
      </c>
      <c r="E1125">
        <v>85</v>
      </c>
      <c r="F1125">
        <v>60</v>
      </c>
      <c r="G1125">
        <v>100</v>
      </c>
    </row>
    <row r="1126" spans="1:7" x14ac:dyDescent="0.25">
      <c r="A1126" t="s">
        <v>2636</v>
      </c>
      <c r="B1126" t="s">
        <v>2635</v>
      </c>
      <c r="C1126" t="s">
        <v>57</v>
      </c>
      <c r="D1126" t="s">
        <v>419</v>
      </c>
      <c r="E1126">
        <v>75</v>
      </c>
      <c r="F1126">
        <v>125</v>
      </c>
      <c r="G1126">
        <v>80</v>
      </c>
    </row>
    <row r="1127" spans="1:7" x14ac:dyDescent="0.25">
      <c r="A1127" t="s">
        <v>2638</v>
      </c>
      <c r="B1127" t="s">
        <v>2637</v>
      </c>
      <c r="C1127" t="s">
        <v>154</v>
      </c>
      <c r="E1127">
        <v>61</v>
      </c>
      <c r="F1127">
        <v>31</v>
      </c>
      <c r="G1127">
        <v>41</v>
      </c>
    </row>
    <row r="1128" spans="1:7" x14ac:dyDescent="0.25">
      <c r="A1128" t="s">
        <v>2640</v>
      </c>
      <c r="B1128" t="s">
        <v>2639</v>
      </c>
      <c r="C1128" t="s">
        <v>154</v>
      </c>
      <c r="E1128">
        <v>109</v>
      </c>
      <c r="F1128">
        <v>64</v>
      </c>
      <c r="G1128">
        <v>91</v>
      </c>
    </row>
    <row r="1129" spans="1:7" x14ac:dyDescent="0.25">
      <c r="A1129" t="s">
        <v>2643</v>
      </c>
      <c r="B1129" t="s">
        <v>2642</v>
      </c>
      <c r="C1129" t="s">
        <v>154</v>
      </c>
      <c r="D1129" t="s">
        <v>66</v>
      </c>
      <c r="E1129">
        <v>40</v>
      </c>
      <c r="F1129">
        <v>40</v>
      </c>
      <c r="G1129">
        <v>35</v>
      </c>
    </row>
    <row r="1130" spans="1:7" x14ac:dyDescent="0.25">
      <c r="A1130" t="s">
        <v>2646</v>
      </c>
      <c r="B1130" t="s">
        <v>2645</v>
      </c>
      <c r="C1130" t="s">
        <v>154</v>
      </c>
      <c r="D1130" t="s">
        <v>66</v>
      </c>
      <c r="E1130">
        <v>70</v>
      </c>
      <c r="F1130">
        <v>70</v>
      </c>
      <c r="G1130">
        <v>60</v>
      </c>
    </row>
    <row r="1131" spans="1:7" x14ac:dyDescent="0.25">
      <c r="A1131" t="s">
        <v>2648</v>
      </c>
      <c r="B1131" t="s">
        <v>2647</v>
      </c>
      <c r="C1131" t="s">
        <v>135</v>
      </c>
      <c r="E1131">
        <v>60</v>
      </c>
      <c r="F1131">
        <v>78</v>
      </c>
      <c r="G1131">
        <v>60</v>
      </c>
    </row>
    <row r="1132" spans="1:7" x14ac:dyDescent="0.25">
      <c r="A1132" t="s">
        <v>2650</v>
      </c>
      <c r="B1132" t="s">
        <v>2649</v>
      </c>
      <c r="C1132" t="s">
        <v>135</v>
      </c>
      <c r="E1132">
        <v>80</v>
      </c>
      <c r="F1132">
        <v>120</v>
      </c>
      <c r="G1132">
        <v>90</v>
      </c>
    </row>
    <row r="1133" spans="1:7" x14ac:dyDescent="0.25">
      <c r="A1133" t="s">
        <v>2653</v>
      </c>
      <c r="B1133" t="s">
        <v>2652</v>
      </c>
      <c r="C1133" t="s">
        <v>41</v>
      </c>
      <c r="D1133" t="s">
        <v>116</v>
      </c>
      <c r="E1133">
        <v>40</v>
      </c>
      <c r="F1133">
        <v>65</v>
      </c>
      <c r="G1133">
        <v>35</v>
      </c>
    </row>
    <row r="1134" spans="1:7" x14ac:dyDescent="0.25">
      <c r="A1134" t="s">
        <v>2655</v>
      </c>
      <c r="B1134" t="s">
        <v>2654</v>
      </c>
      <c r="C1134" t="s">
        <v>41</v>
      </c>
      <c r="D1134" t="s">
        <v>116</v>
      </c>
      <c r="E1134">
        <v>63</v>
      </c>
      <c r="F1134">
        <v>95</v>
      </c>
      <c r="G1134">
        <v>65</v>
      </c>
    </row>
    <row r="1135" spans="1:7" x14ac:dyDescent="0.25">
      <c r="A1135" t="s">
        <v>2657</v>
      </c>
      <c r="B1135" t="s">
        <v>2656</v>
      </c>
      <c r="C1135" t="s">
        <v>40</v>
      </c>
      <c r="D1135" t="s">
        <v>419</v>
      </c>
      <c r="E1135">
        <v>40</v>
      </c>
      <c r="F1135">
        <v>65</v>
      </c>
      <c r="G1135">
        <v>30</v>
      </c>
    </row>
    <row r="1136" spans="1:7" x14ac:dyDescent="0.25">
      <c r="A1136" t="s">
        <v>2660</v>
      </c>
      <c r="B1136" t="s">
        <v>2659</v>
      </c>
      <c r="C1136" t="s">
        <v>40</v>
      </c>
      <c r="D1136" t="s">
        <v>419</v>
      </c>
      <c r="E1136">
        <v>55</v>
      </c>
      <c r="F1136">
        <v>115</v>
      </c>
      <c r="G1136">
        <v>70</v>
      </c>
    </row>
    <row r="1137" spans="1:7" x14ac:dyDescent="0.25">
      <c r="A1137" t="s">
        <v>2662</v>
      </c>
      <c r="B1137" t="s">
        <v>2661</v>
      </c>
      <c r="C1137" t="s">
        <v>132</v>
      </c>
      <c r="D1137" t="s">
        <v>40</v>
      </c>
      <c r="E1137">
        <v>40</v>
      </c>
      <c r="F1137">
        <v>40</v>
      </c>
      <c r="G1137">
        <v>35</v>
      </c>
    </row>
    <row r="1138" spans="1:7" x14ac:dyDescent="0.25">
      <c r="A1138" t="s">
        <v>2665</v>
      </c>
      <c r="B1138" t="s">
        <v>2664</v>
      </c>
      <c r="C1138" t="s">
        <v>132</v>
      </c>
      <c r="D1138" t="s">
        <v>40</v>
      </c>
      <c r="E1138">
        <v>80</v>
      </c>
      <c r="F1138">
        <v>70</v>
      </c>
      <c r="G1138">
        <v>65</v>
      </c>
    </row>
    <row r="1139" spans="1:7" x14ac:dyDescent="0.25">
      <c r="A1139" t="s">
        <v>2667</v>
      </c>
      <c r="B1139" t="s">
        <v>2666</v>
      </c>
      <c r="C1139" t="s">
        <v>290</v>
      </c>
      <c r="E1139">
        <v>70</v>
      </c>
      <c r="F1139">
        <v>100</v>
      </c>
      <c r="G1139">
        <v>115</v>
      </c>
    </row>
    <row r="1140" spans="1:7" x14ac:dyDescent="0.25">
      <c r="A1140" t="s">
        <v>2670</v>
      </c>
      <c r="B1140" t="s">
        <v>2669</v>
      </c>
      <c r="C1140" t="s">
        <v>40</v>
      </c>
      <c r="E1140">
        <v>50</v>
      </c>
      <c r="F1140">
        <v>62</v>
      </c>
      <c r="G1140">
        <v>40</v>
      </c>
    </row>
    <row r="1141" spans="1:7" x14ac:dyDescent="0.25">
      <c r="A1141" t="s">
        <v>2672</v>
      </c>
      <c r="B1141" t="s">
        <v>2671</v>
      </c>
      <c r="C1141" t="s">
        <v>40</v>
      </c>
      <c r="D1141" t="s">
        <v>57</v>
      </c>
      <c r="E1141">
        <v>65</v>
      </c>
      <c r="F1141">
        <v>108</v>
      </c>
      <c r="G1141">
        <v>65</v>
      </c>
    </row>
    <row r="1142" spans="1:7" x14ac:dyDescent="0.25">
      <c r="A1142" t="s">
        <v>2674</v>
      </c>
      <c r="B1142" t="s">
        <v>2673</v>
      </c>
      <c r="C1142" t="s">
        <v>90</v>
      </c>
      <c r="E1142">
        <v>41</v>
      </c>
      <c r="F1142">
        <v>50</v>
      </c>
      <c r="G1142">
        <v>60</v>
      </c>
    </row>
    <row r="1143" spans="1:7" x14ac:dyDescent="0.25">
      <c r="A1143" t="s">
        <v>2676</v>
      </c>
      <c r="B1143" t="s">
        <v>2675</v>
      </c>
      <c r="C1143" t="s">
        <v>90</v>
      </c>
      <c r="D1143" t="s">
        <v>162</v>
      </c>
      <c r="E1143">
        <v>75</v>
      </c>
      <c r="F1143">
        <v>50</v>
      </c>
      <c r="G1143">
        <v>85</v>
      </c>
    </row>
    <row r="1144" spans="1:7" x14ac:dyDescent="0.25">
      <c r="A1144" t="s">
        <v>2678</v>
      </c>
      <c r="B1144" t="s">
        <v>2677</v>
      </c>
      <c r="C1144" t="s">
        <v>162</v>
      </c>
      <c r="E1144">
        <v>30</v>
      </c>
      <c r="F1144">
        <v>35</v>
      </c>
      <c r="G1144">
        <v>30</v>
      </c>
    </row>
    <row r="1145" spans="1:7" x14ac:dyDescent="0.25">
      <c r="A1145" t="s">
        <v>2680</v>
      </c>
      <c r="B1145" t="s">
        <v>2679</v>
      </c>
      <c r="C1145" t="s">
        <v>162</v>
      </c>
      <c r="E1145">
        <v>95</v>
      </c>
      <c r="F1145">
        <v>60</v>
      </c>
      <c r="G1145">
        <v>60</v>
      </c>
    </row>
    <row r="1146" spans="1:7" x14ac:dyDescent="0.25">
      <c r="A1146" t="s">
        <v>2683</v>
      </c>
      <c r="B1146" t="s">
        <v>2682</v>
      </c>
      <c r="C1146" t="s">
        <v>157</v>
      </c>
      <c r="D1146" t="s">
        <v>171</v>
      </c>
      <c r="E1146">
        <v>50</v>
      </c>
      <c r="F1146">
        <v>45</v>
      </c>
      <c r="G1146">
        <v>45</v>
      </c>
    </row>
    <row r="1147" spans="1:7" x14ac:dyDescent="0.25">
      <c r="A1147" t="s">
        <v>2685</v>
      </c>
      <c r="B1147" t="s">
        <v>2684</v>
      </c>
      <c r="C1147" t="s">
        <v>157</v>
      </c>
      <c r="D1147" t="s">
        <v>171</v>
      </c>
      <c r="E1147">
        <v>65</v>
      </c>
      <c r="F1147">
        <v>55</v>
      </c>
      <c r="G1147">
        <v>55</v>
      </c>
    </row>
    <row r="1148" spans="1:7" x14ac:dyDescent="0.25">
      <c r="A1148" t="s">
        <v>2687</v>
      </c>
      <c r="B1148" t="s">
        <v>2686</v>
      </c>
      <c r="C1148" t="s">
        <v>157</v>
      </c>
      <c r="D1148" t="s">
        <v>171</v>
      </c>
      <c r="E1148">
        <v>85</v>
      </c>
      <c r="F1148">
        <v>75</v>
      </c>
      <c r="G1148">
        <v>77</v>
      </c>
    </row>
    <row r="1149" spans="1:7" x14ac:dyDescent="0.25">
      <c r="A1149" t="s">
        <v>2689</v>
      </c>
      <c r="B1149" t="s">
        <v>2688</v>
      </c>
      <c r="C1149" t="s">
        <v>76</v>
      </c>
      <c r="E1149">
        <v>10</v>
      </c>
      <c r="F1149">
        <v>55</v>
      </c>
      <c r="G1149">
        <v>25</v>
      </c>
    </row>
    <row r="1150" spans="1:7" x14ac:dyDescent="0.25">
      <c r="A1150" t="s">
        <v>2691</v>
      </c>
      <c r="B1150" t="s">
        <v>2690</v>
      </c>
      <c r="C1150" t="s">
        <v>76</v>
      </c>
      <c r="E1150">
        <v>35</v>
      </c>
      <c r="F1150">
        <v>100</v>
      </c>
      <c r="G1150">
        <v>50</v>
      </c>
    </row>
    <row r="1151" spans="1:7" x14ac:dyDescent="0.25">
      <c r="A1151" t="s">
        <v>2693</v>
      </c>
      <c r="B1151" t="s">
        <v>2692</v>
      </c>
      <c r="C1151" t="s">
        <v>66</v>
      </c>
      <c r="D1151" t="s">
        <v>135</v>
      </c>
      <c r="E1151">
        <v>70</v>
      </c>
      <c r="F1151">
        <v>103</v>
      </c>
      <c r="G1151">
        <v>85</v>
      </c>
    </row>
    <row r="1152" spans="1:7" x14ac:dyDescent="0.25">
      <c r="A1152" t="s">
        <v>2696</v>
      </c>
      <c r="B1152" t="s">
        <v>2695</v>
      </c>
      <c r="C1152" t="s">
        <v>76</v>
      </c>
      <c r="E1152">
        <v>70</v>
      </c>
      <c r="F1152">
        <v>45</v>
      </c>
      <c r="G1152">
        <v>40</v>
      </c>
    </row>
    <row r="1153" spans="1:7" x14ac:dyDescent="0.25">
      <c r="A1153" t="s">
        <v>2699</v>
      </c>
      <c r="B1153" t="s">
        <v>2697</v>
      </c>
      <c r="C1153" t="s">
        <v>76</v>
      </c>
      <c r="E1153">
        <v>100</v>
      </c>
      <c r="F1153">
        <v>70</v>
      </c>
      <c r="G1153">
        <v>72</v>
      </c>
    </row>
    <row r="1154" spans="1:7" x14ac:dyDescent="0.25">
      <c r="A1154" t="s">
        <v>2702</v>
      </c>
      <c r="B1154" t="s">
        <v>2701</v>
      </c>
      <c r="C1154" t="s">
        <v>76</v>
      </c>
      <c r="E1154">
        <v>100</v>
      </c>
      <c r="F1154">
        <v>160</v>
      </c>
      <c r="G1154">
        <v>97</v>
      </c>
    </row>
    <row r="1155" spans="1:7" x14ac:dyDescent="0.25">
      <c r="A1155" t="s">
        <v>2704</v>
      </c>
      <c r="B1155" t="s">
        <v>2703</v>
      </c>
      <c r="C1155" t="s">
        <v>171</v>
      </c>
      <c r="D1155" t="s">
        <v>41</v>
      </c>
      <c r="E1155">
        <v>45</v>
      </c>
      <c r="F1155">
        <v>70</v>
      </c>
      <c r="G1155">
        <v>63</v>
      </c>
    </row>
    <row r="1156" spans="1:7" x14ac:dyDescent="0.25">
      <c r="A1156" t="s">
        <v>2706</v>
      </c>
      <c r="B1156" t="s">
        <v>2705</v>
      </c>
      <c r="C1156" t="s">
        <v>171</v>
      </c>
      <c r="D1156" t="s">
        <v>41</v>
      </c>
      <c r="E1156">
        <v>80</v>
      </c>
      <c r="F1156">
        <v>119</v>
      </c>
      <c r="G1156">
        <v>90</v>
      </c>
    </row>
    <row r="1157" spans="1:7" x14ac:dyDescent="0.25">
      <c r="A1157" t="s">
        <v>2708</v>
      </c>
      <c r="B1157" t="s">
        <v>2707</v>
      </c>
      <c r="C1157" t="s">
        <v>61</v>
      </c>
      <c r="D1157" t="s">
        <v>116</v>
      </c>
      <c r="E1157">
        <v>70</v>
      </c>
      <c r="F1157">
        <v>95</v>
      </c>
      <c r="G1157">
        <v>65</v>
      </c>
    </row>
    <row r="1158" spans="1:7" x14ac:dyDescent="0.25">
      <c r="A1158" t="s">
        <v>2710</v>
      </c>
      <c r="B1158" t="s">
        <v>2709</v>
      </c>
      <c r="C1158" t="s">
        <v>171</v>
      </c>
      <c r="E1158">
        <v>70</v>
      </c>
      <c r="F1158">
        <v>85</v>
      </c>
      <c r="G1158">
        <v>145</v>
      </c>
    </row>
    <row r="1159" spans="1:7" x14ac:dyDescent="0.25">
      <c r="A1159" t="s">
        <v>2713</v>
      </c>
      <c r="B1159" t="s">
        <v>2712</v>
      </c>
      <c r="C1159" t="s">
        <v>290</v>
      </c>
      <c r="D1159" t="s">
        <v>41</v>
      </c>
      <c r="E1159">
        <v>48</v>
      </c>
      <c r="F1159">
        <v>35</v>
      </c>
      <c r="G1159">
        <v>42</v>
      </c>
    </row>
    <row r="1160" spans="1:7" x14ac:dyDescent="0.25">
      <c r="A1160" t="s">
        <v>2716</v>
      </c>
      <c r="B1160" t="s">
        <v>2715</v>
      </c>
      <c r="C1160" t="s">
        <v>290</v>
      </c>
      <c r="D1160" t="s">
        <v>41</v>
      </c>
      <c r="E1160">
        <v>83</v>
      </c>
      <c r="F1160">
        <v>55</v>
      </c>
      <c r="G1160">
        <v>90</v>
      </c>
    </row>
    <row r="1161" spans="1:7" x14ac:dyDescent="0.25">
      <c r="A1161" t="s">
        <v>2718</v>
      </c>
      <c r="B1161" t="s">
        <v>2717</v>
      </c>
      <c r="C1161" t="s">
        <v>419</v>
      </c>
      <c r="E1161">
        <v>50</v>
      </c>
      <c r="F1161">
        <v>61</v>
      </c>
      <c r="G1161">
        <v>60</v>
      </c>
    </row>
    <row r="1162" spans="1:7" x14ac:dyDescent="0.25">
      <c r="A1162" t="s">
        <v>2720</v>
      </c>
      <c r="B1162" t="s">
        <v>2719</v>
      </c>
      <c r="C1162" t="s">
        <v>419</v>
      </c>
      <c r="E1162">
        <v>72</v>
      </c>
      <c r="F1162">
        <v>101</v>
      </c>
      <c r="G1162">
        <v>100</v>
      </c>
    </row>
    <row r="1163" spans="1:7" x14ac:dyDescent="0.25">
      <c r="A1163" t="s">
        <v>2722</v>
      </c>
      <c r="B1163" t="s">
        <v>2721</v>
      </c>
      <c r="C1163" t="s">
        <v>66</v>
      </c>
      <c r="D1163" t="s">
        <v>279</v>
      </c>
      <c r="E1163">
        <v>82</v>
      </c>
      <c r="F1163">
        <v>115</v>
      </c>
      <c r="G1163">
        <v>74</v>
      </c>
    </row>
    <row r="1164" spans="1:7" x14ac:dyDescent="0.25">
      <c r="A1164" t="s">
        <v>2725</v>
      </c>
      <c r="B1164" t="s">
        <v>2724</v>
      </c>
      <c r="C1164" t="s">
        <v>170</v>
      </c>
      <c r="E1164">
        <v>108</v>
      </c>
      <c r="F1164">
        <v>68</v>
      </c>
      <c r="G1164">
        <v>45</v>
      </c>
    </row>
    <row r="1165" spans="1:7" x14ac:dyDescent="0.25">
      <c r="A1165" t="s">
        <v>2727</v>
      </c>
      <c r="B1165" t="s">
        <v>2726</v>
      </c>
      <c r="C1165" t="s">
        <v>170</v>
      </c>
      <c r="E1165">
        <v>170</v>
      </c>
      <c r="F1165">
        <v>113</v>
      </c>
      <c r="G1165">
        <v>65</v>
      </c>
    </row>
    <row r="1166" spans="1:7" x14ac:dyDescent="0.25">
      <c r="A1166" t="s">
        <v>2729</v>
      </c>
      <c r="B1166" t="s">
        <v>2728</v>
      </c>
      <c r="C1166" t="s">
        <v>76</v>
      </c>
      <c r="D1166" t="s">
        <v>162</v>
      </c>
      <c r="E1166">
        <v>90</v>
      </c>
      <c r="F1166">
        <v>102</v>
      </c>
      <c r="G1166">
        <v>73</v>
      </c>
    </row>
    <row r="1167" spans="1:7" x14ac:dyDescent="0.25">
      <c r="A1167" t="s">
        <v>2731</v>
      </c>
      <c r="B1167" t="s">
        <v>2730</v>
      </c>
      <c r="C1167" t="s">
        <v>76</v>
      </c>
      <c r="E1167">
        <v>150</v>
      </c>
      <c r="F1167">
        <v>100</v>
      </c>
      <c r="G1167">
        <v>115</v>
      </c>
    </row>
    <row r="1168" spans="1:7" x14ac:dyDescent="0.25">
      <c r="A1168" t="s">
        <v>2734</v>
      </c>
      <c r="B1168" t="s">
        <v>2732</v>
      </c>
      <c r="C1168" t="s">
        <v>61</v>
      </c>
      <c r="D1168" t="s">
        <v>76</v>
      </c>
      <c r="E1168">
        <v>68</v>
      </c>
      <c r="F1168">
        <v>50</v>
      </c>
      <c r="G1168">
        <v>60</v>
      </c>
    </row>
    <row r="1169" spans="1:7" x14ac:dyDescent="0.25">
      <c r="A1169" t="s">
        <v>2737</v>
      </c>
      <c r="B1169" t="s">
        <v>2736</v>
      </c>
      <c r="C1169" t="s">
        <v>61</v>
      </c>
      <c r="D1169" t="s">
        <v>76</v>
      </c>
      <c r="E1169">
        <v>68</v>
      </c>
      <c r="F1169">
        <v>50</v>
      </c>
      <c r="G1169">
        <v>60</v>
      </c>
    </row>
    <row r="1170" spans="1:7" x14ac:dyDescent="0.25">
      <c r="A1170" t="s">
        <v>2739</v>
      </c>
      <c r="B1170" t="s">
        <v>2738</v>
      </c>
      <c r="C1170" t="s">
        <v>61</v>
      </c>
      <c r="D1170" t="s">
        <v>76</v>
      </c>
      <c r="E1170">
        <v>68</v>
      </c>
      <c r="F1170">
        <v>50</v>
      </c>
      <c r="G1170">
        <v>60</v>
      </c>
    </row>
    <row r="1171" spans="1:7" x14ac:dyDescent="0.25">
      <c r="A1171" t="s">
        <v>2741</v>
      </c>
      <c r="B1171" t="s">
        <v>2740</v>
      </c>
      <c r="C1171" t="s">
        <v>279</v>
      </c>
      <c r="D1171" t="s">
        <v>419</v>
      </c>
      <c r="E1171">
        <v>110</v>
      </c>
      <c r="F1171">
        <v>115</v>
      </c>
      <c r="G1171">
        <v>80</v>
      </c>
    </row>
    <row r="1172" spans="1:7" x14ac:dyDescent="0.25">
      <c r="A1172" t="s">
        <v>2743</v>
      </c>
      <c r="B1172" t="s">
        <v>2742</v>
      </c>
      <c r="C1172" t="s">
        <v>41</v>
      </c>
      <c r="D1172" t="s">
        <v>132</v>
      </c>
      <c r="E1172">
        <v>130</v>
      </c>
      <c r="F1172">
        <v>75</v>
      </c>
      <c r="G1172">
        <v>60</v>
      </c>
    </row>
    <row r="1173" spans="1:7" x14ac:dyDescent="0.25">
      <c r="A1173" t="s">
        <v>2745</v>
      </c>
      <c r="B1173" t="s">
        <v>2744</v>
      </c>
      <c r="C1173" t="s">
        <v>116</v>
      </c>
      <c r="D1173" t="s">
        <v>162</v>
      </c>
      <c r="E1173">
        <v>120</v>
      </c>
      <c r="F1173">
        <v>90</v>
      </c>
      <c r="G1173">
        <v>70</v>
      </c>
    </row>
    <row r="1174" spans="1:7" x14ac:dyDescent="0.25">
      <c r="A1174" t="s">
        <v>2749</v>
      </c>
      <c r="B1174" t="s">
        <v>2747</v>
      </c>
      <c r="C1174" t="s">
        <v>116</v>
      </c>
      <c r="E1174">
        <v>125</v>
      </c>
      <c r="F1174">
        <v>100</v>
      </c>
      <c r="G1174">
        <v>80</v>
      </c>
    </row>
    <row r="1175" spans="1:7" x14ac:dyDescent="0.25">
      <c r="A1175" t="s">
        <v>2751</v>
      </c>
      <c r="B1175" t="s">
        <v>2750</v>
      </c>
      <c r="C1175" t="s">
        <v>116</v>
      </c>
      <c r="E1175">
        <v>125</v>
      </c>
      <c r="F1175">
        <v>100</v>
      </c>
      <c r="G1175">
        <v>80</v>
      </c>
    </row>
    <row r="1176" spans="1:7" x14ac:dyDescent="0.25">
      <c r="A1176" t="s">
        <v>2753</v>
      </c>
      <c r="B1176" t="s">
        <v>2752</v>
      </c>
      <c r="C1176" t="s">
        <v>135</v>
      </c>
      <c r="D1176" t="s">
        <v>171</v>
      </c>
      <c r="E1176">
        <v>100</v>
      </c>
      <c r="F1176">
        <v>135</v>
      </c>
      <c r="G1176">
        <v>120</v>
      </c>
    </row>
    <row r="1177" spans="1:7" x14ac:dyDescent="0.25">
      <c r="A1177" t="s">
        <v>2756</v>
      </c>
      <c r="B1177" t="s">
        <v>2755</v>
      </c>
      <c r="C1177" t="s">
        <v>132</v>
      </c>
      <c r="D1177" t="s">
        <v>279</v>
      </c>
      <c r="E1177">
        <v>115</v>
      </c>
      <c r="F1177">
        <v>131</v>
      </c>
      <c r="G1177">
        <v>131</v>
      </c>
    </row>
    <row r="1178" spans="1:7" x14ac:dyDescent="0.25">
      <c r="A1178" t="s">
        <v>2759</v>
      </c>
      <c r="B1178" t="s">
        <v>2758</v>
      </c>
      <c r="C1178" t="s">
        <v>157</v>
      </c>
      <c r="D1178" t="s">
        <v>162</v>
      </c>
      <c r="E1178">
        <v>115</v>
      </c>
      <c r="F1178">
        <v>65</v>
      </c>
      <c r="G1178">
        <v>99</v>
      </c>
    </row>
    <row r="1179" spans="1:7" x14ac:dyDescent="0.25">
      <c r="A1179" t="s">
        <v>2761</v>
      </c>
      <c r="B1179" t="s">
        <v>2760</v>
      </c>
      <c r="C1179" t="s">
        <v>40</v>
      </c>
      <c r="D1179" t="s">
        <v>135</v>
      </c>
      <c r="E1179">
        <v>111</v>
      </c>
      <c r="F1179">
        <v>127</v>
      </c>
      <c r="G1179">
        <v>99</v>
      </c>
    </row>
    <row r="1180" spans="1:7" x14ac:dyDescent="0.25">
      <c r="A1180" t="s">
        <v>2763</v>
      </c>
      <c r="B1180" t="s">
        <v>2762</v>
      </c>
      <c r="C1180" t="s">
        <v>419</v>
      </c>
      <c r="D1180" t="s">
        <v>157</v>
      </c>
      <c r="E1180">
        <v>55</v>
      </c>
      <c r="F1180">
        <v>55</v>
      </c>
      <c r="G1180">
        <v>55</v>
      </c>
    </row>
    <row r="1181" spans="1:7" x14ac:dyDescent="0.25">
      <c r="A1181" t="s">
        <v>2765</v>
      </c>
      <c r="B1181" t="s">
        <v>2764</v>
      </c>
      <c r="C1181" t="s">
        <v>90</v>
      </c>
      <c r="D1181" t="s">
        <v>279</v>
      </c>
      <c r="E1181">
        <v>85</v>
      </c>
      <c r="F1181">
        <v>135</v>
      </c>
      <c r="G1181">
        <v>79</v>
      </c>
    </row>
    <row r="1182" spans="1:7" x14ac:dyDescent="0.25">
      <c r="A1182" t="s">
        <v>2767</v>
      </c>
      <c r="B1182" t="s">
        <v>2766</v>
      </c>
      <c r="C1182" t="s">
        <v>154</v>
      </c>
      <c r="D1182" t="s">
        <v>132</v>
      </c>
      <c r="E1182">
        <v>85</v>
      </c>
      <c r="F1182">
        <v>81</v>
      </c>
      <c r="G1182">
        <v>97</v>
      </c>
    </row>
    <row r="1183" spans="1:7" x14ac:dyDescent="0.25">
      <c r="A1183" t="s">
        <v>2769</v>
      </c>
      <c r="B1183" t="s">
        <v>2768</v>
      </c>
      <c r="C1183" t="s">
        <v>132</v>
      </c>
      <c r="D1183" t="s">
        <v>171</v>
      </c>
      <c r="E1183">
        <v>90</v>
      </c>
      <c r="F1183">
        <v>112</v>
      </c>
      <c r="G1183">
        <v>120</v>
      </c>
    </row>
    <row r="1184" spans="1:7" x14ac:dyDescent="0.25">
      <c r="A1184" t="s">
        <v>2772</v>
      </c>
      <c r="B1184" t="s">
        <v>2771</v>
      </c>
      <c r="C1184" t="s">
        <v>170</v>
      </c>
      <c r="D1184" t="s">
        <v>76</v>
      </c>
      <c r="E1184">
        <v>56</v>
      </c>
      <c r="F1184">
        <v>80</v>
      </c>
      <c r="G1184">
        <v>114</v>
      </c>
    </row>
    <row r="1185" spans="1:7" x14ac:dyDescent="0.25">
      <c r="A1185" t="s">
        <v>2774</v>
      </c>
      <c r="B1185" t="s">
        <v>2773</v>
      </c>
      <c r="C1185" t="s">
        <v>279</v>
      </c>
      <c r="D1185" t="s">
        <v>154</v>
      </c>
      <c r="E1185">
        <v>154</v>
      </c>
      <c r="F1185">
        <v>140</v>
      </c>
      <c r="G1185">
        <v>108</v>
      </c>
    </row>
    <row r="1186" spans="1:7" x14ac:dyDescent="0.25">
      <c r="A1186" t="s">
        <v>2776</v>
      </c>
      <c r="B1186" t="s">
        <v>2775</v>
      </c>
      <c r="C1186" t="s">
        <v>135</v>
      </c>
      <c r="D1186" t="s">
        <v>66</v>
      </c>
      <c r="E1186">
        <v>94</v>
      </c>
      <c r="F1186">
        <v>80</v>
      </c>
      <c r="G1186">
        <v>86</v>
      </c>
    </row>
    <row r="1187" spans="1:7" x14ac:dyDescent="0.25">
      <c r="A1187" t="s">
        <v>2778</v>
      </c>
      <c r="B1187" t="s">
        <v>2777</v>
      </c>
      <c r="C1187" t="s">
        <v>57</v>
      </c>
      <c r="D1187" t="s">
        <v>41</v>
      </c>
      <c r="E1187">
        <v>80</v>
      </c>
      <c r="F1187">
        <v>70</v>
      </c>
      <c r="G1187">
        <v>60</v>
      </c>
    </row>
    <row r="1188" spans="1:7" x14ac:dyDescent="0.25">
      <c r="A1188" t="s">
        <v>2780</v>
      </c>
      <c r="B1188" t="s">
        <v>2779</v>
      </c>
      <c r="C1188" t="s">
        <v>290</v>
      </c>
      <c r="D1188" t="s">
        <v>154</v>
      </c>
      <c r="E1188">
        <v>100</v>
      </c>
      <c r="F1188">
        <v>134</v>
      </c>
      <c r="G1188">
        <v>110</v>
      </c>
    </row>
    <row r="1189" spans="1:7" x14ac:dyDescent="0.25">
      <c r="A1189" t="s">
        <v>2782</v>
      </c>
      <c r="B1189" t="s">
        <v>2781</v>
      </c>
      <c r="C1189" t="s">
        <v>61</v>
      </c>
      <c r="D1189" t="s">
        <v>170</v>
      </c>
      <c r="E1189">
        <v>65</v>
      </c>
      <c r="F1189">
        <v>75</v>
      </c>
      <c r="G1189">
        <v>45</v>
      </c>
    </row>
    <row r="1190" spans="1:7" x14ac:dyDescent="0.25">
      <c r="A1190" t="s">
        <v>2785</v>
      </c>
      <c r="B1190" t="s">
        <v>2784</v>
      </c>
      <c r="C1190" t="s">
        <v>61</v>
      </c>
      <c r="D1190" t="s">
        <v>170</v>
      </c>
      <c r="E1190">
        <v>90</v>
      </c>
      <c r="F1190">
        <v>95</v>
      </c>
      <c r="G1190">
        <v>66</v>
      </c>
    </row>
    <row r="1191" spans="1:7" x14ac:dyDescent="0.25">
      <c r="A1191" t="s">
        <v>2787</v>
      </c>
      <c r="B1191" t="s">
        <v>2786</v>
      </c>
      <c r="C1191" t="s">
        <v>61</v>
      </c>
      <c r="D1191" t="s">
        <v>170</v>
      </c>
      <c r="E1191">
        <v>115</v>
      </c>
      <c r="F1191">
        <v>145</v>
      </c>
      <c r="G1191">
        <v>92</v>
      </c>
    </row>
    <row r="1192" spans="1:7" x14ac:dyDescent="0.25">
      <c r="A1192" t="s">
        <v>2790</v>
      </c>
      <c r="B1192" t="s">
        <v>2788</v>
      </c>
      <c r="C1192" t="s">
        <v>419</v>
      </c>
      <c r="E1192">
        <v>45</v>
      </c>
      <c r="F1192">
        <v>30</v>
      </c>
      <c r="G1192">
        <v>70</v>
      </c>
    </row>
    <row r="1193" spans="1:7" x14ac:dyDescent="0.25">
      <c r="A1193" t="s">
        <v>2792</v>
      </c>
      <c r="B1193" t="s">
        <v>2791</v>
      </c>
      <c r="C1193" t="s">
        <v>419</v>
      </c>
      <c r="E1193">
        <v>45</v>
      </c>
      <c r="F1193">
        <v>30</v>
      </c>
      <c r="G1193">
        <v>25</v>
      </c>
    </row>
    <row r="1194" spans="1:7" x14ac:dyDescent="0.25">
      <c r="A1194" t="s">
        <v>2794</v>
      </c>
      <c r="B1194" t="s">
        <v>2793</v>
      </c>
      <c r="C1194" t="s">
        <v>171</v>
      </c>
      <c r="D1194" t="s">
        <v>419</v>
      </c>
      <c r="E1194">
        <v>87</v>
      </c>
      <c r="F1194">
        <v>60</v>
      </c>
      <c r="G1194">
        <v>95</v>
      </c>
    </row>
    <row r="1195" spans="1:7" x14ac:dyDescent="0.25">
      <c r="A1195" t="s">
        <v>2797</v>
      </c>
      <c r="B1195" t="s">
        <v>2796</v>
      </c>
      <c r="C1195" t="s">
        <v>135</v>
      </c>
      <c r="D1195" t="s">
        <v>40</v>
      </c>
      <c r="E1195">
        <v>85</v>
      </c>
      <c r="F1195">
        <v>85</v>
      </c>
      <c r="G1195">
        <v>100</v>
      </c>
    </row>
    <row r="1196" spans="1:7" x14ac:dyDescent="0.25">
      <c r="A1196" t="s">
        <v>2800</v>
      </c>
      <c r="B1196" t="s">
        <v>2799</v>
      </c>
      <c r="C1196" t="s">
        <v>135</v>
      </c>
      <c r="D1196" t="s">
        <v>170</v>
      </c>
      <c r="E1196">
        <v>80</v>
      </c>
      <c r="F1196">
        <v>120</v>
      </c>
      <c r="G1196">
        <v>80</v>
      </c>
    </row>
    <row r="1197" spans="1:7" x14ac:dyDescent="0.25">
      <c r="A1197" t="s">
        <v>2803</v>
      </c>
      <c r="B1197" t="s">
        <v>2802</v>
      </c>
      <c r="C1197" t="s">
        <v>135</v>
      </c>
      <c r="D1197" t="s">
        <v>132</v>
      </c>
      <c r="E1197">
        <v>155</v>
      </c>
      <c r="F1197">
        <v>110</v>
      </c>
      <c r="G1197">
        <v>125</v>
      </c>
    </row>
    <row r="1198" spans="1:7" x14ac:dyDescent="0.25">
      <c r="A1198" t="s">
        <v>2806</v>
      </c>
      <c r="B1198" t="s">
        <v>2805</v>
      </c>
      <c r="C1198" t="s">
        <v>135</v>
      </c>
      <c r="D1198" t="s">
        <v>57</v>
      </c>
      <c r="E1198">
        <v>55</v>
      </c>
      <c r="F1198">
        <v>80</v>
      </c>
      <c r="G1198">
        <v>80</v>
      </c>
    </row>
    <row r="1199" spans="1:7" x14ac:dyDescent="0.25">
      <c r="A1199" t="s">
        <v>2809</v>
      </c>
      <c r="B1199" t="s">
        <v>2808</v>
      </c>
      <c r="C1199" t="s">
        <v>61</v>
      </c>
      <c r="D1199" t="s">
        <v>135</v>
      </c>
      <c r="E1199">
        <v>105</v>
      </c>
      <c r="F1199">
        <v>139</v>
      </c>
      <c r="G1199">
        <v>71</v>
      </c>
    </row>
    <row r="1200" spans="1:7" x14ac:dyDescent="0.25">
      <c r="A1200" t="s">
        <v>2811</v>
      </c>
      <c r="B1200" t="s">
        <v>2810</v>
      </c>
      <c r="C1200" t="s">
        <v>157</v>
      </c>
      <c r="D1200" t="s">
        <v>279</v>
      </c>
      <c r="E1200">
        <v>74</v>
      </c>
      <c r="F1200">
        <v>130</v>
      </c>
      <c r="G1200">
        <v>90</v>
      </c>
    </row>
    <row r="1201" spans="1:7" x14ac:dyDescent="0.25">
      <c r="A1201" t="s">
        <v>2813</v>
      </c>
      <c r="B1201" t="s">
        <v>2812</v>
      </c>
      <c r="C1201" t="s">
        <v>279</v>
      </c>
      <c r="D1201" t="s">
        <v>61</v>
      </c>
      <c r="E1201">
        <v>100</v>
      </c>
      <c r="F1201">
        <v>135</v>
      </c>
      <c r="G1201">
        <v>115</v>
      </c>
    </row>
    <row r="1202" spans="1:7" x14ac:dyDescent="0.25">
      <c r="A1202" t="s">
        <v>2816</v>
      </c>
      <c r="B1202" t="s">
        <v>2815</v>
      </c>
      <c r="C1202" t="s">
        <v>154</v>
      </c>
      <c r="D1202" t="s">
        <v>61</v>
      </c>
      <c r="E1202">
        <v>100</v>
      </c>
      <c r="F1202">
        <v>85</v>
      </c>
      <c r="G1202">
        <v>100</v>
      </c>
    </row>
    <row r="1203" spans="1:7" x14ac:dyDescent="0.25">
      <c r="A1203" t="s">
        <v>2819</v>
      </c>
      <c r="B1203" t="s">
        <v>2818</v>
      </c>
      <c r="C1203" t="s">
        <v>76</v>
      </c>
      <c r="D1203" t="s">
        <v>61</v>
      </c>
      <c r="E1203">
        <v>99</v>
      </c>
      <c r="F1203">
        <v>83</v>
      </c>
      <c r="G1203">
        <v>91</v>
      </c>
    </row>
    <row r="1204" spans="1:7" x14ac:dyDescent="0.25">
      <c r="A1204" t="s">
        <v>2821</v>
      </c>
      <c r="B1204" t="s">
        <v>2820</v>
      </c>
      <c r="C1204" t="s">
        <v>40</v>
      </c>
      <c r="D1204" t="s">
        <v>162</v>
      </c>
      <c r="E1204">
        <v>90</v>
      </c>
      <c r="F1204">
        <v>130</v>
      </c>
      <c r="G1204">
        <v>88</v>
      </c>
    </row>
    <row r="1205" spans="1:7" x14ac:dyDescent="0.25">
      <c r="A1205" t="s">
        <v>2833</v>
      </c>
      <c r="B1205" t="s">
        <v>2834</v>
      </c>
      <c r="C1205" t="s">
        <v>154</v>
      </c>
      <c r="E1205">
        <v>100</v>
      </c>
      <c r="F1205">
        <v>100</v>
      </c>
      <c r="G1205">
        <v>100</v>
      </c>
    </row>
    <row r="1206" spans="1:7" x14ac:dyDescent="0.25">
      <c r="A1206" t="s">
        <v>2848</v>
      </c>
      <c r="B1206" t="s">
        <v>2849</v>
      </c>
      <c r="C1206" t="s">
        <v>154</v>
      </c>
      <c r="E1206">
        <v>100</v>
      </c>
      <c r="F1206">
        <v>100</v>
      </c>
      <c r="G1206">
        <v>100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Input_New_Pokemon_Data">
                <anchor moveWithCells="1" sizeWithCells="1">
                  <from>
                    <xdr:col>8</xdr:col>
                    <xdr:colOff>0</xdr:colOff>
                    <xdr:row>2</xdr:row>
                    <xdr:rowOff>0</xdr:rowOff>
                  </from>
                  <to>
                    <xdr:col>10</xdr:col>
                    <xdr:colOff>0</xdr:colOff>
                    <xdr:row>5</xdr:row>
                    <xdr:rowOff>9525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70B7E-C72A-4882-B520-3144E338E5A2}">
  <dimension ref="A3:O22"/>
  <sheetViews>
    <sheetView zoomScale="71" zoomScaleNormal="71" workbookViewId="0">
      <selection activeCell="M32" sqref="M32"/>
    </sheetView>
  </sheetViews>
  <sheetFormatPr defaultRowHeight="15" x14ac:dyDescent="0.25"/>
  <cols>
    <col min="1" max="1" width="22.85546875" customWidth="1"/>
    <col min="2" max="2" width="14.42578125" bestFit="1" customWidth="1"/>
    <col min="3" max="3" width="16.42578125" bestFit="1" customWidth="1"/>
    <col min="7" max="7" width="13.140625" bestFit="1" customWidth="1"/>
    <col min="8" max="8" width="14.42578125" bestFit="1" customWidth="1"/>
    <col min="14" max="14" width="17.42578125" bestFit="1" customWidth="1"/>
    <col min="15" max="15" width="18.42578125" bestFit="1" customWidth="1"/>
  </cols>
  <sheetData>
    <row r="3" spans="1:15" x14ac:dyDescent="0.25">
      <c r="A3" s="3" t="s">
        <v>2842</v>
      </c>
      <c r="B3" t="s">
        <v>2836</v>
      </c>
      <c r="N3" s="3" t="s">
        <v>4</v>
      </c>
      <c r="O3" t="s">
        <v>2841</v>
      </c>
    </row>
    <row r="4" spans="1:15" x14ac:dyDescent="0.25">
      <c r="A4" s="4" t="s">
        <v>90</v>
      </c>
      <c r="B4" s="5">
        <v>70.857142857142861</v>
      </c>
      <c r="N4" s="4">
        <v>1</v>
      </c>
      <c r="O4">
        <v>167</v>
      </c>
    </row>
    <row r="5" spans="1:15" x14ac:dyDescent="0.25">
      <c r="A5" s="4" t="s">
        <v>135</v>
      </c>
      <c r="B5" s="5">
        <v>85.482142857142861</v>
      </c>
      <c r="N5" s="4">
        <v>2</v>
      </c>
      <c r="O5">
        <v>106</v>
      </c>
    </row>
    <row r="6" spans="1:15" x14ac:dyDescent="0.25">
      <c r="A6" s="4" t="s">
        <v>61</v>
      </c>
      <c r="B6" s="5">
        <v>103.81632653061224</v>
      </c>
      <c r="N6" s="4">
        <v>3</v>
      </c>
      <c r="O6">
        <v>163</v>
      </c>
    </row>
    <row r="7" spans="1:15" x14ac:dyDescent="0.25">
      <c r="A7" s="4" t="s">
        <v>154</v>
      </c>
      <c r="B7" s="5">
        <v>73.055555555555557</v>
      </c>
      <c r="N7" s="4">
        <v>4</v>
      </c>
      <c r="O7">
        <v>128</v>
      </c>
    </row>
    <row r="8" spans="1:15" x14ac:dyDescent="0.25">
      <c r="A8" s="4" t="s">
        <v>157</v>
      </c>
      <c r="B8" s="5">
        <v>71.064516129032256</v>
      </c>
      <c r="N8" s="4">
        <v>5</v>
      </c>
      <c r="O8">
        <v>169</v>
      </c>
    </row>
    <row r="9" spans="1:15" x14ac:dyDescent="0.25">
      <c r="A9" s="4" t="s">
        <v>279</v>
      </c>
      <c r="B9" s="5">
        <v>104.96</v>
      </c>
      <c r="N9" s="4">
        <v>6</v>
      </c>
      <c r="O9">
        <v>85</v>
      </c>
    </row>
    <row r="10" spans="1:15" x14ac:dyDescent="0.25">
      <c r="A10" s="4" t="s">
        <v>57</v>
      </c>
      <c r="B10" s="5">
        <v>84.256756756756758</v>
      </c>
      <c r="N10" s="4">
        <v>7</v>
      </c>
      <c r="O10">
        <v>122</v>
      </c>
    </row>
    <row r="11" spans="1:15" x14ac:dyDescent="0.25">
      <c r="A11" s="4" t="s">
        <v>66</v>
      </c>
      <c r="B11" s="5">
        <v>81.900000000000006</v>
      </c>
      <c r="N11" s="4">
        <v>8</v>
      </c>
      <c r="O11">
        <v>145</v>
      </c>
    </row>
    <row r="12" spans="1:15" x14ac:dyDescent="0.25">
      <c r="A12" s="4" t="s">
        <v>419</v>
      </c>
      <c r="B12" s="5">
        <v>72</v>
      </c>
      <c r="N12" s="4">
        <v>9</v>
      </c>
      <c r="O12">
        <v>118</v>
      </c>
    </row>
    <row r="13" spans="1:15" x14ac:dyDescent="0.25">
      <c r="A13" s="4" t="s">
        <v>40</v>
      </c>
      <c r="B13" s="5">
        <v>76.415094339622641</v>
      </c>
      <c r="N13" s="4" t="s">
        <v>2835</v>
      </c>
      <c r="O13">
        <v>1203</v>
      </c>
    </row>
    <row r="14" spans="1:15" x14ac:dyDescent="0.25">
      <c r="A14" s="4" t="s">
        <v>132</v>
      </c>
      <c r="B14" s="5">
        <v>94.608695652173907</v>
      </c>
    </row>
    <row r="15" spans="1:15" x14ac:dyDescent="0.25">
      <c r="A15" s="4" t="s">
        <v>170</v>
      </c>
      <c r="B15" s="5">
        <v>80.285714285714292</v>
      </c>
    </row>
    <row r="16" spans="1:15" x14ac:dyDescent="0.25">
      <c r="A16" s="4" t="s">
        <v>116</v>
      </c>
      <c r="B16" s="5">
        <v>76.095588235294116</v>
      </c>
    </row>
    <row r="17" spans="1:2" x14ac:dyDescent="0.25">
      <c r="A17" s="4" t="s">
        <v>41</v>
      </c>
      <c r="B17" s="5">
        <v>75.355555555555554</v>
      </c>
    </row>
    <row r="18" spans="1:2" x14ac:dyDescent="0.25">
      <c r="A18" s="4" t="s">
        <v>162</v>
      </c>
      <c r="B18" s="5">
        <v>75.646341463414629</v>
      </c>
    </row>
    <row r="19" spans="1:2" x14ac:dyDescent="0.25">
      <c r="A19" s="4" t="s">
        <v>290</v>
      </c>
      <c r="B19" s="5">
        <v>91.402777777777771</v>
      </c>
    </row>
    <row r="20" spans="1:2" x14ac:dyDescent="0.25">
      <c r="A20" s="4" t="s">
        <v>171</v>
      </c>
      <c r="B20" s="5">
        <v>92.697674418604649</v>
      </c>
    </row>
    <row r="21" spans="1:2" x14ac:dyDescent="0.25">
      <c r="A21" s="4" t="s">
        <v>76</v>
      </c>
      <c r="B21" s="5">
        <v>76.814569536423846</v>
      </c>
    </row>
    <row r="22" spans="1:2" x14ac:dyDescent="0.25">
      <c r="A22" s="4" t="s">
        <v>2835</v>
      </c>
      <c r="B22" s="5">
        <v>80.967581047381543</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EBED4F-DD7D-4824-8F05-44582829F687}">
  <dimension ref="A1:R1205"/>
  <sheetViews>
    <sheetView workbookViewId="0">
      <selection activeCell="R6" sqref="R6"/>
    </sheetView>
  </sheetViews>
  <sheetFormatPr defaultRowHeight="15" x14ac:dyDescent="0.25"/>
  <cols>
    <col min="17" max="17" width="16.140625" customWidth="1"/>
  </cols>
  <sheetData>
    <row r="1" spans="1:18" x14ac:dyDescent="0.25">
      <c r="A1" t="s">
        <v>3</v>
      </c>
      <c r="B1" t="s">
        <v>1</v>
      </c>
      <c r="C1" t="s">
        <v>7</v>
      </c>
      <c r="D1" t="s">
        <v>8</v>
      </c>
      <c r="E1" t="s">
        <v>25</v>
      </c>
      <c r="F1" t="s">
        <v>26</v>
      </c>
      <c r="G1" t="s">
        <v>27</v>
      </c>
      <c r="H1" t="s">
        <v>28</v>
      </c>
      <c r="I1" t="s">
        <v>29</v>
      </c>
      <c r="J1" t="s">
        <v>30</v>
      </c>
      <c r="K1" t="s">
        <v>31</v>
      </c>
      <c r="P1" s="6" t="s">
        <v>2838</v>
      </c>
      <c r="Q1" s="6" t="s">
        <v>3</v>
      </c>
      <c r="R1" s="7" t="s">
        <v>26</v>
      </c>
    </row>
    <row r="2" spans="1:18" x14ac:dyDescent="0.25">
      <c r="A2" t="s">
        <v>39</v>
      </c>
      <c r="B2" t="s">
        <v>38</v>
      </c>
      <c r="C2" t="s">
        <v>40</v>
      </c>
      <c r="D2" t="s">
        <v>41</v>
      </c>
      <c r="E2">
        <v>45</v>
      </c>
      <c r="F2">
        <v>49</v>
      </c>
      <c r="G2">
        <v>49</v>
      </c>
      <c r="H2">
        <v>65</v>
      </c>
      <c r="I2">
        <v>65</v>
      </c>
      <c r="J2">
        <v>45</v>
      </c>
      <c r="K2">
        <v>318</v>
      </c>
      <c r="P2">
        <v>1</v>
      </c>
      <c r="Q2" s="9" t="s">
        <v>56</v>
      </c>
      <c r="R2" s="10">
        <v>52</v>
      </c>
    </row>
    <row r="3" spans="1:18" x14ac:dyDescent="0.25">
      <c r="A3" t="s">
        <v>48</v>
      </c>
      <c r="B3" t="s">
        <v>47</v>
      </c>
      <c r="C3" t="s">
        <v>40</v>
      </c>
      <c r="D3" t="s">
        <v>41</v>
      </c>
      <c r="E3">
        <v>60</v>
      </c>
      <c r="F3">
        <v>62</v>
      </c>
      <c r="G3">
        <v>63</v>
      </c>
      <c r="H3">
        <v>80</v>
      </c>
      <c r="I3">
        <v>80</v>
      </c>
      <c r="J3">
        <v>60</v>
      </c>
      <c r="K3">
        <v>405</v>
      </c>
      <c r="P3">
        <v>2</v>
      </c>
      <c r="Q3" s="9" t="s">
        <v>63</v>
      </c>
      <c r="R3" s="10">
        <v>64</v>
      </c>
    </row>
    <row r="4" spans="1:18" x14ac:dyDescent="0.25">
      <c r="A4" t="s">
        <v>50</v>
      </c>
      <c r="B4" t="s">
        <v>49</v>
      </c>
      <c r="C4" t="s">
        <v>40</v>
      </c>
      <c r="D4" t="s">
        <v>41</v>
      </c>
      <c r="E4">
        <v>80</v>
      </c>
      <c r="F4">
        <v>82</v>
      </c>
      <c r="G4">
        <v>83</v>
      </c>
      <c r="H4">
        <v>100</v>
      </c>
      <c r="I4">
        <v>100</v>
      </c>
      <c r="J4">
        <v>80</v>
      </c>
      <c r="K4">
        <v>525</v>
      </c>
      <c r="P4">
        <v>3</v>
      </c>
      <c r="Q4" s="9" t="s">
        <v>65</v>
      </c>
      <c r="R4" s="10">
        <v>84</v>
      </c>
    </row>
    <row r="5" spans="1:18" x14ac:dyDescent="0.25">
      <c r="A5" t="s">
        <v>52</v>
      </c>
      <c r="B5" t="s">
        <v>51</v>
      </c>
      <c r="C5" t="s">
        <v>40</v>
      </c>
      <c r="D5" t="s">
        <v>41</v>
      </c>
      <c r="E5">
        <v>80</v>
      </c>
      <c r="F5">
        <v>100</v>
      </c>
      <c r="G5">
        <v>123</v>
      </c>
      <c r="H5">
        <v>122</v>
      </c>
      <c r="I5">
        <v>120</v>
      </c>
      <c r="J5">
        <v>80</v>
      </c>
      <c r="K5">
        <v>625</v>
      </c>
      <c r="P5">
        <v>4</v>
      </c>
      <c r="Q5" s="9" t="s">
        <v>68</v>
      </c>
      <c r="R5" s="10">
        <v>130</v>
      </c>
    </row>
    <row r="6" spans="1:18" x14ac:dyDescent="0.25">
      <c r="A6" t="s">
        <v>56</v>
      </c>
      <c r="B6" t="s">
        <v>55</v>
      </c>
      <c r="C6" t="s">
        <v>57</v>
      </c>
      <c r="E6">
        <v>39</v>
      </c>
      <c r="F6">
        <v>52</v>
      </c>
      <c r="G6">
        <v>43</v>
      </c>
      <c r="H6">
        <v>60</v>
      </c>
      <c r="I6">
        <v>50</v>
      </c>
      <c r="J6">
        <v>65</v>
      </c>
      <c r="K6">
        <v>309</v>
      </c>
      <c r="P6">
        <v>5</v>
      </c>
      <c r="Q6" s="12" t="s">
        <v>2839</v>
      </c>
      <c r="R6">
        <f>_xlfn.FORECAST.LINEAR(P6,R2:R5,P2:P5)</f>
        <v>146</v>
      </c>
    </row>
    <row r="7" spans="1:18" x14ac:dyDescent="0.25">
      <c r="A7" t="s">
        <v>63</v>
      </c>
      <c r="B7" t="s">
        <v>62</v>
      </c>
      <c r="C7" t="s">
        <v>57</v>
      </c>
      <c r="E7">
        <v>58</v>
      </c>
      <c r="F7">
        <v>64</v>
      </c>
      <c r="G7">
        <v>58</v>
      </c>
      <c r="H7">
        <v>80</v>
      </c>
      <c r="I7">
        <v>65</v>
      </c>
      <c r="J7">
        <v>80</v>
      </c>
      <c r="K7">
        <v>405</v>
      </c>
    </row>
    <row r="8" spans="1:18" x14ac:dyDescent="0.25">
      <c r="A8" t="s">
        <v>65</v>
      </c>
      <c r="B8" t="s">
        <v>64</v>
      </c>
      <c r="C8" t="s">
        <v>57</v>
      </c>
      <c r="D8" t="s">
        <v>66</v>
      </c>
      <c r="E8">
        <v>78</v>
      </c>
      <c r="F8">
        <v>84</v>
      </c>
      <c r="G8">
        <v>78</v>
      </c>
      <c r="H8">
        <v>109</v>
      </c>
      <c r="I8">
        <v>85</v>
      </c>
      <c r="J8">
        <v>100</v>
      </c>
      <c r="K8">
        <v>534</v>
      </c>
    </row>
    <row r="9" spans="1:18" x14ac:dyDescent="0.25">
      <c r="A9" t="s">
        <v>68</v>
      </c>
      <c r="B9" t="s">
        <v>67</v>
      </c>
      <c r="C9" t="s">
        <v>57</v>
      </c>
      <c r="D9" t="s">
        <v>61</v>
      </c>
      <c r="E9">
        <v>78</v>
      </c>
      <c r="F9">
        <v>130</v>
      </c>
      <c r="G9">
        <v>111</v>
      </c>
      <c r="H9">
        <v>130</v>
      </c>
      <c r="I9">
        <v>85</v>
      </c>
      <c r="J9">
        <v>100</v>
      </c>
      <c r="K9">
        <v>634</v>
      </c>
    </row>
    <row r="10" spans="1:18" x14ac:dyDescent="0.25">
      <c r="A10" t="s">
        <v>72</v>
      </c>
      <c r="B10" t="s">
        <v>71</v>
      </c>
      <c r="C10" t="s">
        <v>57</v>
      </c>
      <c r="D10" t="s">
        <v>66</v>
      </c>
      <c r="E10">
        <v>78</v>
      </c>
      <c r="F10">
        <v>104</v>
      </c>
      <c r="G10">
        <v>78</v>
      </c>
      <c r="H10">
        <v>159</v>
      </c>
      <c r="I10">
        <v>115</v>
      </c>
      <c r="J10">
        <v>100</v>
      </c>
      <c r="K10">
        <v>634</v>
      </c>
    </row>
    <row r="11" spans="1:18" x14ac:dyDescent="0.25">
      <c r="A11" t="s">
        <v>75</v>
      </c>
      <c r="B11" t="s">
        <v>74</v>
      </c>
      <c r="C11" t="s">
        <v>76</v>
      </c>
      <c r="E11">
        <v>44</v>
      </c>
      <c r="F11">
        <v>48</v>
      </c>
      <c r="G11">
        <v>65</v>
      </c>
      <c r="H11">
        <v>50</v>
      </c>
      <c r="I11">
        <v>64</v>
      </c>
      <c r="J11">
        <v>43</v>
      </c>
      <c r="K11">
        <v>314</v>
      </c>
    </row>
    <row r="12" spans="1:18" x14ac:dyDescent="0.25">
      <c r="A12" t="s">
        <v>82</v>
      </c>
      <c r="B12" t="s">
        <v>81</v>
      </c>
      <c r="C12" t="s">
        <v>76</v>
      </c>
      <c r="E12">
        <v>59</v>
      </c>
      <c r="F12">
        <v>63</v>
      </c>
      <c r="G12">
        <v>80</v>
      </c>
      <c r="H12">
        <v>65</v>
      </c>
      <c r="I12">
        <v>80</v>
      </c>
      <c r="J12">
        <v>58</v>
      </c>
      <c r="K12">
        <v>405</v>
      </c>
    </row>
    <row r="13" spans="1:18" x14ac:dyDescent="0.25">
      <c r="A13" t="s">
        <v>84</v>
      </c>
      <c r="B13" t="s">
        <v>83</v>
      </c>
      <c r="C13" t="s">
        <v>76</v>
      </c>
      <c r="E13">
        <v>79</v>
      </c>
      <c r="F13">
        <v>83</v>
      </c>
      <c r="G13">
        <v>100</v>
      </c>
      <c r="H13">
        <v>85</v>
      </c>
      <c r="I13">
        <v>105</v>
      </c>
      <c r="J13">
        <v>78</v>
      </c>
      <c r="K13">
        <v>530</v>
      </c>
    </row>
    <row r="14" spans="1:18" x14ac:dyDescent="0.25">
      <c r="A14" t="s">
        <v>86</v>
      </c>
      <c r="B14" t="s">
        <v>85</v>
      </c>
      <c r="C14" t="s">
        <v>76</v>
      </c>
      <c r="E14">
        <v>79</v>
      </c>
      <c r="F14">
        <v>103</v>
      </c>
      <c r="G14">
        <v>120</v>
      </c>
      <c r="H14">
        <v>135</v>
      </c>
      <c r="I14">
        <v>115</v>
      </c>
      <c r="J14">
        <v>78</v>
      </c>
      <c r="K14">
        <v>630</v>
      </c>
    </row>
    <row r="15" spans="1:18" x14ac:dyDescent="0.25">
      <c r="A15" t="s">
        <v>89</v>
      </c>
      <c r="B15" t="s">
        <v>88</v>
      </c>
      <c r="C15" t="s">
        <v>90</v>
      </c>
      <c r="E15">
        <v>45</v>
      </c>
      <c r="F15">
        <v>30</v>
      </c>
      <c r="G15">
        <v>35</v>
      </c>
      <c r="H15">
        <v>20</v>
      </c>
      <c r="I15">
        <v>20</v>
      </c>
      <c r="J15">
        <v>45</v>
      </c>
      <c r="K15">
        <v>195</v>
      </c>
    </row>
    <row r="16" spans="1:18" x14ac:dyDescent="0.25">
      <c r="A16" t="s">
        <v>94</v>
      </c>
      <c r="B16" t="s">
        <v>93</v>
      </c>
      <c r="C16" t="s">
        <v>90</v>
      </c>
      <c r="E16">
        <v>50</v>
      </c>
      <c r="F16">
        <v>20</v>
      </c>
      <c r="G16">
        <v>55</v>
      </c>
      <c r="H16">
        <v>25</v>
      </c>
      <c r="I16">
        <v>25</v>
      </c>
      <c r="J16">
        <v>30</v>
      </c>
      <c r="K16">
        <v>205</v>
      </c>
    </row>
    <row r="17" spans="1:18" x14ac:dyDescent="0.25">
      <c r="A17" t="s">
        <v>97</v>
      </c>
      <c r="B17" t="s">
        <v>96</v>
      </c>
      <c r="C17" t="s">
        <v>90</v>
      </c>
      <c r="D17" t="s">
        <v>66</v>
      </c>
      <c r="E17">
        <v>60</v>
      </c>
      <c r="F17">
        <v>45</v>
      </c>
      <c r="G17">
        <v>50</v>
      </c>
      <c r="H17">
        <v>90</v>
      </c>
      <c r="I17">
        <v>80</v>
      </c>
      <c r="J17">
        <v>70</v>
      </c>
      <c r="K17">
        <v>395</v>
      </c>
    </row>
    <row r="18" spans="1:18" x14ac:dyDescent="0.25">
      <c r="A18" t="s">
        <v>102</v>
      </c>
      <c r="B18" t="s">
        <v>101</v>
      </c>
      <c r="C18" t="s">
        <v>90</v>
      </c>
      <c r="D18" t="s">
        <v>41</v>
      </c>
      <c r="E18">
        <v>40</v>
      </c>
      <c r="F18">
        <v>35</v>
      </c>
      <c r="G18">
        <v>30</v>
      </c>
      <c r="H18">
        <v>20</v>
      </c>
      <c r="I18">
        <v>20</v>
      </c>
      <c r="J18">
        <v>50</v>
      </c>
      <c r="K18">
        <v>195</v>
      </c>
    </row>
    <row r="19" spans="1:18" x14ac:dyDescent="0.25">
      <c r="A19" t="s">
        <v>105</v>
      </c>
      <c r="B19" t="s">
        <v>104</v>
      </c>
      <c r="C19" t="s">
        <v>90</v>
      </c>
      <c r="D19" t="s">
        <v>41</v>
      </c>
      <c r="E19">
        <v>45</v>
      </c>
      <c r="F19">
        <v>25</v>
      </c>
      <c r="G19">
        <v>50</v>
      </c>
      <c r="H19">
        <v>25</v>
      </c>
      <c r="I19">
        <v>25</v>
      </c>
      <c r="J19">
        <v>35</v>
      </c>
      <c r="K19">
        <v>205</v>
      </c>
    </row>
    <row r="20" spans="1:18" x14ac:dyDescent="0.25">
      <c r="A20" t="s">
        <v>108</v>
      </c>
      <c r="B20" t="s">
        <v>107</v>
      </c>
      <c r="C20" t="s">
        <v>90</v>
      </c>
      <c r="D20" t="s">
        <v>41</v>
      </c>
      <c r="E20">
        <v>65</v>
      </c>
      <c r="F20">
        <v>90</v>
      </c>
      <c r="G20">
        <v>40</v>
      </c>
      <c r="H20">
        <v>45</v>
      </c>
      <c r="I20">
        <v>80</v>
      </c>
      <c r="J20">
        <v>75</v>
      </c>
      <c r="K20">
        <v>395</v>
      </c>
      <c r="P20" s="6" t="s">
        <v>2838</v>
      </c>
      <c r="Q20" s="6" t="s">
        <v>3</v>
      </c>
      <c r="R20" s="7" t="s">
        <v>27</v>
      </c>
    </row>
    <row r="21" spans="1:18" x14ac:dyDescent="0.25">
      <c r="A21" t="s">
        <v>112</v>
      </c>
      <c r="B21" t="s">
        <v>111</v>
      </c>
      <c r="C21" t="s">
        <v>90</v>
      </c>
      <c r="D21" t="s">
        <v>41</v>
      </c>
      <c r="E21">
        <v>65</v>
      </c>
      <c r="F21">
        <v>150</v>
      </c>
      <c r="G21">
        <v>40</v>
      </c>
      <c r="H21">
        <v>15</v>
      </c>
      <c r="I21">
        <v>80</v>
      </c>
      <c r="J21">
        <v>145</v>
      </c>
      <c r="K21">
        <v>495</v>
      </c>
      <c r="P21">
        <v>1</v>
      </c>
      <c r="Q21" s="9" t="s">
        <v>610</v>
      </c>
      <c r="R21" s="10">
        <v>90</v>
      </c>
    </row>
    <row r="22" spans="1:18" x14ac:dyDescent="0.25">
      <c r="A22" t="s">
        <v>115</v>
      </c>
      <c r="B22" t="s">
        <v>114</v>
      </c>
      <c r="C22" t="s">
        <v>116</v>
      </c>
      <c r="D22" t="s">
        <v>66</v>
      </c>
      <c r="E22">
        <v>40</v>
      </c>
      <c r="F22">
        <v>45</v>
      </c>
      <c r="G22">
        <v>40</v>
      </c>
      <c r="H22">
        <v>35</v>
      </c>
      <c r="I22">
        <v>35</v>
      </c>
      <c r="J22">
        <v>56</v>
      </c>
      <c r="K22">
        <v>251</v>
      </c>
      <c r="P22">
        <v>2</v>
      </c>
      <c r="Q22" s="9" t="s">
        <v>613</v>
      </c>
      <c r="R22" s="10">
        <v>100</v>
      </c>
    </row>
    <row r="23" spans="1:18" x14ac:dyDescent="0.25">
      <c r="A23" t="s">
        <v>121</v>
      </c>
      <c r="B23" t="s">
        <v>120</v>
      </c>
      <c r="C23" t="s">
        <v>116</v>
      </c>
      <c r="D23" t="s">
        <v>66</v>
      </c>
      <c r="E23">
        <v>63</v>
      </c>
      <c r="F23">
        <v>60</v>
      </c>
      <c r="G23">
        <v>55</v>
      </c>
      <c r="H23">
        <v>50</v>
      </c>
      <c r="I23">
        <v>50</v>
      </c>
      <c r="J23">
        <v>71</v>
      </c>
      <c r="K23">
        <v>349</v>
      </c>
      <c r="P23">
        <v>3</v>
      </c>
      <c r="Q23" t="s">
        <v>2840</v>
      </c>
      <c r="R23">
        <f>_xlfn.FORECAST.LINEAR(P23,R21:R22,P21:P22)</f>
        <v>110</v>
      </c>
    </row>
    <row r="24" spans="1:18" x14ac:dyDescent="0.25">
      <c r="A24" t="s">
        <v>123</v>
      </c>
      <c r="B24" t="s">
        <v>122</v>
      </c>
      <c r="C24" t="s">
        <v>116</v>
      </c>
      <c r="D24" t="s">
        <v>66</v>
      </c>
      <c r="E24">
        <v>83</v>
      </c>
      <c r="F24">
        <v>80</v>
      </c>
      <c r="G24">
        <v>75</v>
      </c>
      <c r="H24">
        <v>70</v>
      </c>
      <c r="I24">
        <v>70</v>
      </c>
      <c r="J24">
        <v>101</v>
      </c>
      <c r="K24">
        <v>479</v>
      </c>
    </row>
    <row r="25" spans="1:18" x14ac:dyDescent="0.25">
      <c r="A25" t="s">
        <v>125</v>
      </c>
      <c r="B25" t="s">
        <v>124</v>
      </c>
      <c r="C25" t="s">
        <v>116</v>
      </c>
      <c r="D25" t="s">
        <v>66</v>
      </c>
      <c r="E25">
        <v>83</v>
      </c>
      <c r="F25">
        <v>80</v>
      </c>
      <c r="G25">
        <v>80</v>
      </c>
      <c r="H25">
        <v>135</v>
      </c>
      <c r="I25">
        <v>80</v>
      </c>
      <c r="J25">
        <v>121</v>
      </c>
      <c r="K25">
        <v>579</v>
      </c>
    </row>
    <row r="26" spans="1:18" x14ac:dyDescent="0.25">
      <c r="A26" t="s">
        <v>128</v>
      </c>
      <c r="B26" t="s">
        <v>127</v>
      </c>
      <c r="C26" t="s">
        <v>116</v>
      </c>
      <c r="E26">
        <v>30</v>
      </c>
      <c r="F26">
        <v>56</v>
      </c>
      <c r="G26">
        <v>35</v>
      </c>
      <c r="H26">
        <v>25</v>
      </c>
      <c r="I26">
        <v>35</v>
      </c>
      <c r="J26">
        <v>72</v>
      </c>
      <c r="K26">
        <v>253</v>
      </c>
    </row>
    <row r="27" spans="1:18" x14ac:dyDescent="0.25">
      <c r="A27" t="s">
        <v>134</v>
      </c>
      <c r="B27" t="s">
        <v>133</v>
      </c>
      <c r="C27" t="s">
        <v>135</v>
      </c>
      <c r="D27" t="s">
        <v>116</v>
      </c>
      <c r="E27">
        <v>30</v>
      </c>
      <c r="F27">
        <v>56</v>
      </c>
      <c r="G27">
        <v>35</v>
      </c>
      <c r="H27">
        <v>25</v>
      </c>
      <c r="I27">
        <v>35</v>
      </c>
      <c r="J27">
        <v>72</v>
      </c>
      <c r="K27">
        <v>253</v>
      </c>
    </row>
    <row r="28" spans="1:18" x14ac:dyDescent="0.25">
      <c r="A28" t="s">
        <v>139</v>
      </c>
      <c r="B28" t="s">
        <v>138</v>
      </c>
      <c r="C28" t="s">
        <v>116</v>
      </c>
      <c r="E28">
        <v>55</v>
      </c>
      <c r="F28">
        <v>81</v>
      </c>
      <c r="G28">
        <v>60</v>
      </c>
      <c r="H28">
        <v>50</v>
      </c>
      <c r="I28">
        <v>70</v>
      </c>
      <c r="J28">
        <v>97</v>
      </c>
      <c r="K28">
        <v>413</v>
      </c>
    </row>
    <row r="29" spans="1:18" x14ac:dyDescent="0.25">
      <c r="A29" t="s">
        <v>141</v>
      </c>
      <c r="B29" t="s">
        <v>140</v>
      </c>
      <c r="C29" t="s">
        <v>135</v>
      </c>
      <c r="D29" t="s">
        <v>116</v>
      </c>
      <c r="E29">
        <v>75</v>
      </c>
      <c r="F29">
        <v>71</v>
      </c>
      <c r="G29">
        <v>70</v>
      </c>
      <c r="H29">
        <v>40</v>
      </c>
      <c r="I29">
        <v>80</v>
      </c>
      <c r="J29">
        <v>77</v>
      </c>
      <c r="K29">
        <v>413</v>
      </c>
    </row>
    <row r="30" spans="1:18" x14ac:dyDescent="0.25">
      <c r="A30" t="s">
        <v>143</v>
      </c>
      <c r="B30" t="s">
        <v>142</v>
      </c>
      <c r="C30" t="s">
        <v>116</v>
      </c>
      <c r="D30" t="s">
        <v>66</v>
      </c>
      <c r="E30">
        <v>40</v>
      </c>
      <c r="F30">
        <v>60</v>
      </c>
      <c r="G30">
        <v>30</v>
      </c>
      <c r="H30">
        <v>31</v>
      </c>
      <c r="I30">
        <v>31</v>
      </c>
      <c r="J30">
        <v>70</v>
      </c>
      <c r="K30">
        <v>262</v>
      </c>
    </row>
    <row r="31" spans="1:18" x14ac:dyDescent="0.25">
      <c r="A31" t="s">
        <v>145</v>
      </c>
      <c r="B31" t="s">
        <v>144</v>
      </c>
      <c r="C31" t="s">
        <v>116</v>
      </c>
      <c r="D31" t="s">
        <v>66</v>
      </c>
      <c r="E31">
        <v>65</v>
      </c>
      <c r="F31">
        <v>90</v>
      </c>
      <c r="G31">
        <v>65</v>
      </c>
      <c r="H31">
        <v>61</v>
      </c>
      <c r="I31">
        <v>61</v>
      </c>
      <c r="J31">
        <v>100</v>
      </c>
      <c r="K31">
        <v>442</v>
      </c>
    </row>
    <row r="32" spans="1:18" x14ac:dyDescent="0.25">
      <c r="A32" t="s">
        <v>147</v>
      </c>
      <c r="B32" t="s">
        <v>146</v>
      </c>
      <c r="C32" t="s">
        <v>41</v>
      </c>
      <c r="E32">
        <v>35</v>
      </c>
      <c r="F32">
        <v>60</v>
      </c>
      <c r="G32">
        <v>44</v>
      </c>
      <c r="H32">
        <v>40</v>
      </c>
      <c r="I32">
        <v>54</v>
      </c>
      <c r="J32">
        <v>55</v>
      </c>
      <c r="K32">
        <v>288</v>
      </c>
    </row>
    <row r="33" spans="1:18" x14ac:dyDescent="0.25">
      <c r="A33" t="s">
        <v>151</v>
      </c>
      <c r="B33" t="s">
        <v>150</v>
      </c>
      <c r="C33" t="s">
        <v>41</v>
      </c>
      <c r="E33">
        <v>60</v>
      </c>
      <c r="F33">
        <v>95</v>
      </c>
      <c r="G33">
        <v>69</v>
      </c>
      <c r="H33">
        <v>65</v>
      </c>
      <c r="I33">
        <v>79</v>
      </c>
      <c r="J33">
        <v>80</v>
      </c>
      <c r="K33">
        <v>448</v>
      </c>
    </row>
    <row r="34" spans="1:18" x14ac:dyDescent="0.25">
      <c r="A34" t="s">
        <v>153</v>
      </c>
      <c r="B34" t="s">
        <v>152</v>
      </c>
      <c r="C34" t="s">
        <v>154</v>
      </c>
      <c r="E34">
        <v>35</v>
      </c>
      <c r="F34">
        <v>55</v>
      </c>
      <c r="G34">
        <v>40</v>
      </c>
      <c r="H34">
        <v>50</v>
      </c>
      <c r="I34">
        <v>50</v>
      </c>
      <c r="J34">
        <v>90</v>
      </c>
      <c r="K34">
        <v>320</v>
      </c>
    </row>
    <row r="35" spans="1:18" x14ac:dyDescent="0.25">
      <c r="A35" t="s">
        <v>159</v>
      </c>
      <c r="B35" t="s">
        <v>158</v>
      </c>
      <c r="C35" t="s">
        <v>154</v>
      </c>
      <c r="E35">
        <v>60</v>
      </c>
      <c r="F35">
        <v>90</v>
      </c>
      <c r="G35">
        <v>55</v>
      </c>
      <c r="H35">
        <v>90</v>
      </c>
      <c r="I35">
        <v>80</v>
      </c>
      <c r="J35">
        <v>110</v>
      </c>
      <c r="K35">
        <v>485</v>
      </c>
    </row>
    <row r="36" spans="1:18" x14ac:dyDescent="0.25">
      <c r="A36" t="s">
        <v>161</v>
      </c>
      <c r="B36" t="s">
        <v>160</v>
      </c>
      <c r="C36" t="s">
        <v>154</v>
      </c>
      <c r="D36" t="s">
        <v>162</v>
      </c>
      <c r="E36">
        <v>60</v>
      </c>
      <c r="F36">
        <v>85</v>
      </c>
      <c r="G36">
        <v>50</v>
      </c>
      <c r="H36">
        <v>95</v>
      </c>
      <c r="I36">
        <v>85</v>
      </c>
      <c r="J36">
        <v>110</v>
      </c>
      <c r="K36">
        <v>485</v>
      </c>
      <c r="P36" s="6" t="s">
        <v>2838</v>
      </c>
      <c r="Q36" s="6" t="s">
        <v>3</v>
      </c>
      <c r="R36" s="8" t="s">
        <v>31</v>
      </c>
    </row>
    <row r="37" spans="1:18" x14ac:dyDescent="0.25">
      <c r="A37" t="s">
        <v>165</v>
      </c>
      <c r="B37" t="s">
        <v>164</v>
      </c>
      <c r="C37" t="s">
        <v>132</v>
      </c>
      <c r="E37">
        <v>50</v>
      </c>
      <c r="F37">
        <v>75</v>
      </c>
      <c r="G37">
        <v>85</v>
      </c>
      <c r="H37">
        <v>20</v>
      </c>
      <c r="I37">
        <v>30</v>
      </c>
      <c r="J37">
        <v>40</v>
      </c>
      <c r="K37">
        <v>300</v>
      </c>
      <c r="P37">
        <v>1</v>
      </c>
      <c r="Q37" s="9" t="s">
        <v>1123</v>
      </c>
      <c r="R37" s="11">
        <v>295</v>
      </c>
    </row>
    <row r="38" spans="1:18" x14ac:dyDescent="0.25">
      <c r="A38" t="s">
        <v>169</v>
      </c>
      <c r="B38" t="s">
        <v>168</v>
      </c>
      <c r="C38" t="s">
        <v>170</v>
      </c>
      <c r="D38" t="s">
        <v>171</v>
      </c>
      <c r="E38">
        <v>50</v>
      </c>
      <c r="F38">
        <v>75</v>
      </c>
      <c r="G38">
        <v>90</v>
      </c>
      <c r="H38">
        <v>10</v>
      </c>
      <c r="I38">
        <v>35</v>
      </c>
      <c r="J38">
        <v>40</v>
      </c>
      <c r="K38">
        <v>300</v>
      </c>
      <c r="P38">
        <v>2</v>
      </c>
      <c r="Q38" s="9" t="s">
        <v>1125</v>
      </c>
      <c r="R38" s="11">
        <v>455</v>
      </c>
    </row>
    <row r="39" spans="1:18" x14ac:dyDescent="0.25">
      <c r="A39" t="s">
        <v>175</v>
      </c>
      <c r="B39" t="s">
        <v>174</v>
      </c>
      <c r="C39" t="s">
        <v>132</v>
      </c>
      <c r="E39">
        <v>75</v>
      </c>
      <c r="F39">
        <v>100</v>
      </c>
      <c r="G39">
        <v>110</v>
      </c>
      <c r="H39">
        <v>45</v>
      </c>
      <c r="I39">
        <v>55</v>
      </c>
      <c r="J39">
        <v>65</v>
      </c>
      <c r="K39">
        <v>450</v>
      </c>
      <c r="P39">
        <v>3</v>
      </c>
      <c r="Q39" s="9" t="s">
        <v>1430</v>
      </c>
      <c r="R39" s="11">
        <v>525</v>
      </c>
    </row>
    <row r="40" spans="1:18" x14ac:dyDescent="0.25">
      <c r="A40" t="s">
        <v>177</v>
      </c>
      <c r="B40" t="s">
        <v>176</v>
      </c>
      <c r="C40" t="s">
        <v>170</v>
      </c>
      <c r="D40" t="s">
        <v>171</v>
      </c>
      <c r="E40">
        <v>75</v>
      </c>
      <c r="F40">
        <v>100</v>
      </c>
      <c r="G40">
        <v>120</v>
      </c>
      <c r="H40">
        <v>25</v>
      </c>
      <c r="I40">
        <v>65</v>
      </c>
      <c r="J40">
        <v>65</v>
      </c>
      <c r="K40">
        <v>450</v>
      </c>
      <c r="P40">
        <v>4</v>
      </c>
      <c r="Q40" t="s">
        <v>2837</v>
      </c>
      <c r="R40">
        <f>_xlfn.FORECAST.LINEAR(P40,R37:R39,P37:P39)</f>
        <v>655</v>
      </c>
    </row>
    <row r="41" spans="1:18" x14ac:dyDescent="0.25">
      <c r="A41" t="s">
        <v>179</v>
      </c>
      <c r="B41" t="s">
        <v>178</v>
      </c>
      <c r="C41" t="s">
        <v>41</v>
      </c>
      <c r="E41">
        <v>55</v>
      </c>
      <c r="F41">
        <v>47</v>
      </c>
      <c r="G41">
        <v>52</v>
      </c>
      <c r="H41">
        <v>40</v>
      </c>
      <c r="I41">
        <v>40</v>
      </c>
      <c r="J41">
        <v>41</v>
      </c>
      <c r="K41">
        <v>275</v>
      </c>
    </row>
    <row r="42" spans="1:18" x14ac:dyDescent="0.25">
      <c r="A42" t="s">
        <v>183</v>
      </c>
      <c r="B42" t="s">
        <v>182</v>
      </c>
      <c r="C42" t="s">
        <v>41</v>
      </c>
      <c r="E42">
        <v>70</v>
      </c>
      <c r="F42">
        <v>62</v>
      </c>
      <c r="G42">
        <v>67</v>
      </c>
      <c r="H42">
        <v>55</v>
      </c>
      <c r="I42">
        <v>55</v>
      </c>
      <c r="J42">
        <v>56</v>
      </c>
      <c r="K42">
        <v>365</v>
      </c>
    </row>
    <row r="43" spans="1:18" x14ac:dyDescent="0.25">
      <c r="A43" t="s">
        <v>186</v>
      </c>
      <c r="B43" t="s">
        <v>185</v>
      </c>
      <c r="C43" t="s">
        <v>41</v>
      </c>
      <c r="D43" t="s">
        <v>132</v>
      </c>
      <c r="E43">
        <v>90</v>
      </c>
      <c r="F43">
        <v>92</v>
      </c>
      <c r="G43">
        <v>87</v>
      </c>
      <c r="H43">
        <v>75</v>
      </c>
      <c r="I43">
        <v>85</v>
      </c>
      <c r="J43">
        <v>76</v>
      </c>
      <c r="K43">
        <v>505</v>
      </c>
    </row>
    <row r="44" spans="1:18" x14ac:dyDescent="0.25">
      <c r="A44" t="s">
        <v>189</v>
      </c>
      <c r="B44" t="s">
        <v>188</v>
      </c>
      <c r="C44" t="s">
        <v>41</v>
      </c>
      <c r="E44">
        <v>46</v>
      </c>
      <c r="F44">
        <v>57</v>
      </c>
      <c r="G44">
        <v>40</v>
      </c>
      <c r="H44">
        <v>40</v>
      </c>
      <c r="I44">
        <v>40</v>
      </c>
      <c r="J44">
        <v>50</v>
      </c>
      <c r="K44">
        <v>273</v>
      </c>
    </row>
    <row r="45" spans="1:18" x14ac:dyDescent="0.25">
      <c r="A45" t="s">
        <v>191</v>
      </c>
      <c r="B45" t="s">
        <v>190</v>
      </c>
      <c r="C45" t="s">
        <v>41</v>
      </c>
      <c r="E45">
        <v>61</v>
      </c>
      <c r="F45">
        <v>72</v>
      </c>
      <c r="G45">
        <v>57</v>
      </c>
      <c r="H45">
        <v>55</v>
      </c>
      <c r="I45">
        <v>55</v>
      </c>
      <c r="J45">
        <v>65</v>
      </c>
      <c r="K45">
        <v>365</v>
      </c>
    </row>
    <row r="46" spans="1:18" x14ac:dyDescent="0.25">
      <c r="A46" t="s">
        <v>193</v>
      </c>
      <c r="B46" t="s">
        <v>192</v>
      </c>
      <c r="C46" t="s">
        <v>41</v>
      </c>
      <c r="D46" t="s">
        <v>132</v>
      </c>
      <c r="E46">
        <v>81</v>
      </c>
      <c r="F46">
        <v>102</v>
      </c>
      <c r="G46">
        <v>77</v>
      </c>
      <c r="H46">
        <v>85</v>
      </c>
      <c r="I46">
        <v>75</v>
      </c>
      <c r="J46">
        <v>85</v>
      </c>
      <c r="K46">
        <v>505</v>
      </c>
    </row>
    <row r="47" spans="1:18" x14ac:dyDescent="0.25">
      <c r="A47" t="s">
        <v>195</v>
      </c>
      <c r="B47" t="s">
        <v>194</v>
      </c>
      <c r="C47" t="s">
        <v>157</v>
      </c>
      <c r="E47">
        <v>70</v>
      </c>
      <c r="F47">
        <v>45</v>
      </c>
      <c r="G47">
        <v>48</v>
      </c>
      <c r="H47">
        <v>60</v>
      </c>
      <c r="I47">
        <v>65</v>
      </c>
      <c r="J47">
        <v>35</v>
      </c>
      <c r="K47">
        <v>323</v>
      </c>
    </row>
    <row r="48" spans="1:18" x14ac:dyDescent="0.25">
      <c r="A48" t="s">
        <v>201</v>
      </c>
      <c r="B48" t="s">
        <v>200</v>
      </c>
      <c r="C48" t="s">
        <v>157</v>
      </c>
      <c r="E48">
        <v>95</v>
      </c>
      <c r="F48">
        <v>70</v>
      </c>
      <c r="G48">
        <v>73</v>
      </c>
      <c r="H48">
        <v>95</v>
      </c>
      <c r="I48">
        <v>90</v>
      </c>
      <c r="J48">
        <v>60</v>
      </c>
      <c r="K48">
        <v>483</v>
      </c>
    </row>
    <row r="49" spans="1:11" x14ac:dyDescent="0.25">
      <c r="A49" t="s">
        <v>204</v>
      </c>
      <c r="B49" t="s">
        <v>203</v>
      </c>
      <c r="C49" t="s">
        <v>57</v>
      </c>
      <c r="E49">
        <v>38</v>
      </c>
      <c r="F49">
        <v>41</v>
      </c>
      <c r="G49">
        <v>40</v>
      </c>
      <c r="H49">
        <v>50</v>
      </c>
      <c r="I49">
        <v>65</v>
      </c>
      <c r="J49">
        <v>65</v>
      </c>
      <c r="K49">
        <v>299</v>
      </c>
    </row>
    <row r="50" spans="1:11" x14ac:dyDescent="0.25">
      <c r="A50" t="s">
        <v>207</v>
      </c>
      <c r="B50" t="s">
        <v>206</v>
      </c>
      <c r="C50" t="s">
        <v>170</v>
      </c>
      <c r="E50">
        <v>38</v>
      </c>
      <c r="F50">
        <v>41</v>
      </c>
      <c r="G50">
        <v>40</v>
      </c>
      <c r="H50">
        <v>50</v>
      </c>
      <c r="I50">
        <v>65</v>
      </c>
      <c r="J50">
        <v>65</v>
      </c>
      <c r="K50">
        <v>299</v>
      </c>
    </row>
    <row r="51" spans="1:11" x14ac:dyDescent="0.25">
      <c r="A51" t="s">
        <v>210</v>
      </c>
      <c r="B51" t="s">
        <v>209</v>
      </c>
      <c r="C51" t="s">
        <v>57</v>
      </c>
      <c r="E51">
        <v>73</v>
      </c>
      <c r="F51">
        <v>76</v>
      </c>
      <c r="G51">
        <v>75</v>
      </c>
      <c r="H51">
        <v>81</v>
      </c>
      <c r="I51">
        <v>100</v>
      </c>
      <c r="J51">
        <v>100</v>
      </c>
      <c r="K51">
        <v>505</v>
      </c>
    </row>
    <row r="52" spans="1:11" x14ac:dyDescent="0.25">
      <c r="A52" t="s">
        <v>212</v>
      </c>
      <c r="B52" t="s">
        <v>211</v>
      </c>
      <c r="C52" t="s">
        <v>170</v>
      </c>
      <c r="D52" t="s">
        <v>157</v>
      </c>
      <c r="E52">
        <v>73</v>
      </c>
      <c r="F52">
        <v>67</v>
      </c>
      <c r="G52">
        <v>75</v>
      </c>
      <c r="H52">
        <v>81</v>
      </c>
      <c r="I52">
        <v>100</v>
      </c>
      <c r="J52">
        <v>109</v>
      </c>
      <c r="K52">
        <v>505</v>
      </c>
    </row>
    <row r="53" spans="1:11" x14ac:dyDescent="0.25">
      <c r="A53" t="s">
        <v>214</v>
      </c>
      <c r="B53" t="s">
        <v>213</v>
      </c>
      <c r="C53" t="s">
        <v>116</v>
      </c>
      <c r="D53" t="s">
        <v>157</v>
      </c>
      <c r="E53">
        <v>115</v>
      </c>
      <c r="F53">
        <v>45</v>
      </c>
      <c r="G53">
        <v>20</v>
      </c>
      <c r="H53">
        <v>45</v>
      </c>
      <c r="I53">
        <v>25</v>
      </c>
      <c r="J53">
        <v>20</v>
      </c>
      <c r="K53">
        <v>270</v>
      </c>
    </row>
    <row r="54" spans="1:11" x14ac:dyDescent="0.25">
      <c r="A54" t="s">
        <v>217</v>
      </c>
      <c r="B54" t="s">
        <v>216</v>
      </c>
      <c r="C54" t="s">
        <v>116</v>
      </c>
      <c r="D54" t="s">
        <v>157</v>
      </c>
      <c r="E54">
        <v>140</v>
      </c>
      <c r="F54">
        <v>70</v>
      </c>
      <c r="G54">
        <v>45</v>
      </c>
      <c r="H54">
        <v>85</v>
      </c>
      <c r="I54">
        <v>50</v>
      </c>
      <c r="J54">
        <v>45</v>
      </c>
      <c r="K54">
        <v>435</v>
      </c>
    </row>
    <row r="55" spans="1:11" x14ac:dyDescent="0.25">
      <c r="A55" t="s">
        <v>220</v>
      </c>
      <c r="B55" t="s">
        <v>219</v>
      </c>
      <c r="C55" t="s">
        <v>41</v>
      </c>
      <c r="D55" t="s">
        <v>66</v>
      </c>
      <c r="E55">
        <v>40</v>
      </c>
      <c r="F55">
        <v>45</v>
      </c>
      <c r="G55">
        <v>35</v>
      </c>
      <c r="H55">
        <v>30</v>
      </c>
      <c r="I55">
        <v>40</v>
      </c>
      <c r="J55">
        <v>55</v>
      </c>
      <c r="K55">
        <v>245</v>
      </c>
    </row>
    <row r="56" spans="1:11" x14ac:dyDescent="0.25">
      <c r="A56" t="s">
        <v>224</v>
      </c>
      <c r="B56" t="s">
        <v>223</v>
      </c>
      <c r="C56" t="s">
        <v>41</v>
      </c>
      <c r="D56" t="s">
        <v>66</v>
      </c>
      <c r="E56">
        <v>75</v>
      </c>
      <c r="F56">
        <v>80</v>
      </c>
      <c r="G56">
        <v>70</v>
      </c>
      <c r="H56">
        <v>65</v>
      </c>
      <c r="I56">
        <v>75</v>
      </c>
      <c r="J56">
        <v>90</v>
      </c>
      <c r="K56">
        <v>455</v>
      </c>
    </row>
    <row r="57" spans="1:11" x14ac:dyDescent="0.25">
      <c r="A57" t="s">
        <v>226</v>
      </c>
      <c r="B57" t="s">
        <v>225</v>
      </c>
      <c r="C57" t="s">
        <v>40</v>
      </c>
      <c r="D57" t="s">
        <v>41</v>
      </c>
      <c r="E57">
        <v>45</v>
      </c>
      <c r="F57">
        <v>50</v>
      </c>
      <c r="G57">
        <v>55</v>
      </c>
      <c r="H57">
        <v>75</v>
      </c>
      <c r="I57">
        <v>65</v>
      </c>
      <c r="J57">
        <v>30</v>
      </c>
      <c r="K57">
        <v>320</v>
      </c>
    </row>
    <row r="58" spans="1:11" x14ac:dyDescent="0.25">
      <c r="A58" t="s">
        <v>228</v>
      </c>
      <c r="B58" t="s">
        <v>227</v>
      </c>
      <c r="C58" t="s">
        <v>40</v>
      </c>
      <c r="D58" t="s">
        <v>41</v>
      </c>
      <c r="E58">
        <v>60</v>
      </c>
      <c r="F58">
        <v>65</v>
      </c>
      <c r="G58">
        <v>70</v>
      </c>
      <c r="H58">
        <v>85</v>
      </c>
      <c r="I58">
        <v>75</v>
      </c>
      <c r="J58">
        <v>40</v>
      </c>
      <c r="K58">
        <v>395</v>
      </c>
    </row>
    <row r="59" spans="1:11" x14ac:dyDescent="0.25">
      <c r="A59" t="s">
        <v>231</v>
      </c>
      <c r="B59" t="s">
        <v>230</v>
      </c>
      <c r="C59" t="s">
        <v>40</v>
      </c>
      <c r="D59" t="s">
        <v>41</v>
      </c>
      <c r="E59">
        <v>75</v>
      </c>
      <c r="F59">
        <v>80</v>
      </c>
      <c r="G59">
        <v>85</v>
      </c>
      <c r="H59">
        <v>110</v>
      </c>
      <c r="I59">
        <v>90</v>
      </c>
      <c r="J59">
        <v>50</v>
      </c>
      <c r="K59">
        <v>490</v>
      </c>
    </row>
    <row r="60" spans="1:11" x14ac:dyDescent="0.25">
      <c r="A60" t="s">
        <v>234</v>
      </c>
      <c r="B60" t="s">
        <v>233</v>
      </c>
      <c r="C60" t="s">
        <v>90</v>
      </c>
      <c r="D60" t="s">
        <v>40</v>
      </c>
      <c r="E60">
        <v>35</v>
      </c>
      <c r="F60">
        <v>70</v>
      </c>
      <c r="G60">
        <v>55</v>
      </c>
      <c r="H60">
        <v>45</v>
      </c>
      <c r="I60">
        <v>55</v>
      </c>
      <c r="J60">
        <v>25</v>
      </c>
      <c r="K60">
        <v>285</v>
      </c>
    </row>
    <row r="61" spans="1:11" x14ac:dyDescent="0.25">
      <c r="A61" t="s">
        <v>238</v>
      </c>
      <c r="B61" t="s">
        <v>237</v>
      </c>
      <c r="C61" t="s">
        <v>90</v>
      </c>
      <c r="D61" t="s">
        <v>40</v>
      </c>
      <c r="E61">
        <v>60</v>
      </c>
      <c r="F61">
        <v>95</v>
      </c>
      <c r="G61">
        <v>80</v>
      </c>
      <c r="H61">
        <v>60</v>
      </c>
      <c r="I61">
        <v>80</v>
      </c>
      <c r="J61">
        <v>30</v>
      </c>
      <c r="K61">
        <v>405</v>
      </c>
    </row>
    <row r="62" spans="1:11" x14ac:dyDescent="0.25">
      <c r="A62" t="s">
        <v>240</v>
      </c>
      <c r="B62" t="s">
        <v>239</v>
      </c>
      <c r="C62" t="s">
        <v>90</v>
      </c>
      <c r="D62" t="s">
        <v>41</v>
      </c>
      <c r="E62">
        <v>60</v>
      </c>
      <c r="F62">
        <v>55</v>
      </c>
      <c r="G62">
        <v>50</v>
      </c>
      <c r="H62">
        <v>40</v>
      </c>
      <c r="I62">
        <v>55</v>
      </c>
      <c r="J62">
        <v>45</v>
      </c>
      <c r="K62">
        <v>305</v>
      </c>
    </row>
    <row r="63" spans="1:11" x14ac:dyDescent="0.25">
      <c r="A63" t="s">
        <v>242</v>
      </c>
      <c r="B63" t="s">
        <v>241</v>
      </c>
      <c r="C63" t="s">
        <v>90</v>
      </c>
      <c r="D63" t="s">
        <v>41</v>
      </c>
      <c r="E63">
        <v>70</v>
      </c>
      <c r="F63">
        <v>65</v>
      </c>
      <c r="G63">
        <v>60</v>
      </c>
      <c r="H63">
        <v>90</v>
      </c>
      <c r="I63">
        <v>75</v>
      </c>
      <c r="J63">
        <v>90</v>
      </c>
      <c r="K63">
        <v>450</v>
      </c>
    </row>
    <row r="64" spans="1:11" x14ac:dyDescent="0.25">
      <c r="A64" t="s">
        <v>245</v>
      </c>
      <c r="B64" t="s">
        <v>244</v>
      </c>
      <c r="C64" t="s">
        <v>132</v>
      </c>
      <c r="E64">
        <v>10</v>
      </c>
      <c r="F64">
        <v>55</v>
      </c>
      <c r="G64">
        <v>25</v>
      </c>
      <c r="H64">
        <v>35</v>
      </c>
      <c r="I64">
        <v>45</v>
      </c>
      <c r="J64">
        <v>95</v>
      </c>
      <c r="K64">
        <v>265</v>
      </c>
    </row>
    <row r="65" spans="1:11" x14ac:dyDescent="0.25">
      <c r="A65" t="s">
        <v>249</v>
      </c>
      <c r="B65" t="s">
        <v>248</v>
      </c>
      <c r="C65" t="s">
        <v>132</v>
      </c>
      <c r="D65" t="s">
        <v>171</v>
      </c>
      <c r="E65">
        <v>10</v>
      </c>
      <c r="F65">
        <v>55</v>
      </c>
      <c r="G65">
        <v>30</v>
      </c>
      <c r="H65">
        <v>35</v>
      </c>
      <c r="I65">
        <v>45</v>
      </c>
      <c r="J65">
        <v>90</v>
      </c>
      <c r="K65">
        <v>265</v>
      </c>
    </row>
    <row r="66" spans="1:11" x14ac:dyDescent="0.25">
      <c r="A66" t="s">
        <v>252</v>
      </c>
      <c r="B66" t="s">
        <v>251</v>
      </c>
      <c r="C66" t="s">
        <v>132</v>
      </c>
      <c r="E66">
        <v>35</v>
      </c>
      <c r="F66">
        <v>100</v>
      </c>
      <c r="G66">
        <v>50</v>
      </c>
      <c r="H66">
        <v>50</v>
      </c>
      <c r="I66">
        <v>70</v>
      </c>
      <c r="J66">
        <v>120</v>
      </c>
      <c r="K66">
        <v>425</v>
      </c>
    </row>
    <row r="67" spans="1:11" x14ac:dyDescent="0.25">
      <c r="A67" t="s">
        <v>254</v>
      </c>
      <c r="B67" t="s">
        <v>253</v>
      </c>
      <c r="C67" t="s">
        <v>132</v>
      </c>
      <c r="D67" t="s">
        <v>171</v>
      </c>
      <c r="E67">
        <v>35</v>
      </c>
      <c r="F67">
        <v>100</v>
      </c>
      <c r="G67">
        <v>60</v>
      </c>
      <c r="H67">
        <v>50</v>
      </c>
      <c r="I67">
        <v>70</v>
      </c>
      <c r="J67">
        <v>110</v>
      </c>
      <c r="K67">
        <v>425</v>
      </c>
    </row>
    <row r="68" spans="1:11" x14ac:dyDescent="0.25">
      <c r="A68" t="s">
        <v>256</v>
      </c>
      <c r="B68" t="s">
        <v>255</v>
      </c>
      <c r="C68" t="s">
        <v>116</v>
      </c>
      <c r="E68">
        <v>40</v>
      </c>
      <c r="F68">
        <v>45</v>
      </c>
      <c r="G68">
        <v>35</v>
      </c>
      <c r="H68">
        <v>40</v>
      </c>
      <c r="I68">
        <v>40</v>
      </c>
      <c r="J68">
        <v>90</v>
      </c>
      <c r="K68">
        <v>290</v>
      </c>
    </row>
    <row r="69" spans="1:11" x14ac:dyDescent="0.25">
      <c r="A69" t="s">
        <v>260</v>
      </c>
      <c r="B69" t="s">
        <v>259</v>
      </c>
      <c r="C69" t="s">
        <v>135</v>
      </c>
      <c r="E69">
        <v>40</v>
      </c>
      <c r="F69">
        <v>35</v>
      </c>
      <c r="G69">
        <v>35</v>
      </c>
      <c r="H69">
        <v>50</v>
      </c>
      <c r="I69">
        <v>40</v>
      </c>
      <c r="J69">
        <v>90</v>
      </c>
      <c r="K69">
        <v>290</v>
      </c>
    </row>
    <row r="70" spans="1:11" x14ac:dyDescent="0.25">
      <c r="A70" t="s">
        <v>263</v>
      </c>
      <c r="B70" t="s">
        <v>262</v>
      </c>
      <c r="C70" t="s">
        <v>171</v>
      </c>
      <c r="E70">
        <v>50</v>
      </c>
      <c r="F70">
        <v>65</v>
      </c>
      <c r="G70">
        <v>55</v>
      </c>
      <c r="H70">
        <v>40</v>
      </c>
      <c r="I70">
        <v>40</v>
      </c>
      <c r="J70">
        <v>40</v>
      </c>
      <c r="K70">
        <v>290</v>
      </c>
    </row>
    <row r="71" spans="1:11" x14ac:dyDescent="0.25">
      <c r="A71" t="s">
        <v>266</v>
      </c>
      <c r="B71" t="s">
        <v>265</v>
      </c>
      <c r="C71" t="s">
        <v>116</v>
      </c>
      <c r="E71">
        <v>65</v>
      </c>
      <c r="F71">
        <v>70</v>
      </c>
      <c r="G71">
        <v>60</v>
      </c>
      <c r="H71">
        <v>65</v>
      </c>
      <c r="I71">
        <v>65</v>
      </c>
      <c r="J71">
        <v>115</v>
      </c>
      <c r="K71">
        <v>440</v>
      </c>
    </row>
    <row r="72" spans="1:11" x14ac:dyDescent="0.25">
      <c r="A72" t="s">
        <v>269</v>
      </c>
      <c r="B72" t="s">
        <v>268</v>
      </c>
      <c r="C72" t="s">
        <v>135</v>
      </c>
      <c r="E72">
        <v>65</v>
      </c>
      <c r="F72">
        <v>60</v>
      </c>
      <c r="G72">
        <v>60</v>
      </c>
      <c r="H72">
        <v>75</v>
      </c>
      <c r="I72">
        <v>65</v>
      </c>
      <c r="J72">
        <v>115</v>
      </c>
      <c r="K72">
        <v>440</v>
      </c>
    </row>
    <row r="73" spans="1:11" x14ac:dyDescent="0.25">
      <c r="A73" t="s">
        <v>272</v>
      </c>
      <c r="B73" t="s">
        <v>271</v>
      </c>
      <c r="C73" t="s">
        <v>76</v>
      </c>
      <c r="E73">
        <v>50</v>
      </c>
      <c r="F73">
        <v>52</v>
      </c>
      <c r="G73">
        <v>48</v>
      </c>
      <c r="H73">
        <v>65</v>
      </c>
      <c r="I73">
        <v>50</v>
      </c>
      <c r="J73">
        <v>55</v>
      </c>
      <c r="K73">
        <v>320</v>
      </c>
    </row>
    <row r="74" spans="1:11" x14ac:dyDescent="0.25">
      <c r="A74" t="s">
        <v>276</v>
      </c>
      <c r="B74" t="s">
        <v>275</v>
      </c>
      <c r="C74" t="s">
        <v>76</v>
      </c>
      <c r="E74">
        <v>80</v>
      </c>
      <c r="F74">
        <v>82</v>
      </c>
      <c r="G74">
        <v>78</v>
      </c>
      <c r="H74">
        <v>95</v>
      </c>
      <c r="I74">
        <v>80</v>
      </c>
      <c r="J74">
        <v>85</v>
      </c>
      <c r="K74">
        <v>500</v>
      </c>
    </row>
    <row r="75" spans="1:11" x14ac:dyDescent="0.25">
      <c r="A75" t="s">
        <v>278</v>
      </c>
      <c r="B75" t="s">
        <v>277</v>
      </c>
      <c r="C75" t="s">
        <v>279</v>
      </c>
      <c r="E75">
        <v>40</v>
      </c>
      <c r="F75">
        <v>80</v>
      </c>
      <c r="G75">
        <v>35</v>
      </c>
      <c r="H75">
        <v>35</v>
      </c>
      <c r="I75">
        <v>45</v>
      </c>
      <c r="J75">
        <v>70</v>
      </c>
      <c r="K75">
        <v>305</v>
      </c>
    </row>
    <row r="76" spans="1:11" x14ac:dyDescent="0.25">
      <c r="A76" t="s">
        <v>284</v>
      </c>
      <c r="B76" t="s">
        <v>283</v>
      </c>
      <c r="C76" t="s">
        <v>279</v>
      </c>
      <c r="E76">
        <v>65</v>
      </c>
      <c r="F76">
        <v>105</v>
      </c>
      <c r="G76">
        <v>60</v>
      </c>
      <c r="H76">
        <v>60</v>
      </c>
      <c r="I76">
        <v>70</v>
      </c>
      <c r="J76">
        <v>95</v>
      </c>
      <c r="K76">
        <v>455</v>
      </c>
    </row>
    <row r="77" spans="1:11" x14ac:dyDescent="0.25">
      <c r="A77" t="s">
        <v>286</v>
      </c>
      <c r="B77" t="s">
        <v>285</v>
      </c>
      <c r="C77" t="s">
        <v>57</v>
      </c>
      <c r="E77">
        <v>55</v>
      </c>
      <c r="F77">
        <v>70</v>
      </c>
      <c r="G77">
        <v>45</v>
      </c>
      <c r="H77">
        <v>70</v>
      </c>
      <c r="I77">
        <v>50</v>
      </c>
      <c r="J77">
        <v>60</v>
      </c>
      <c r="K77">
        <v>350</v>
      </c>
    </row>
    <row r="78" spans="1:11" x14ac:dyDescent="0.25">
      <c r="A78" t="s">
        <v>289</v>
      </c>
      <c r="B78" t="s">
        <v>288</v>
      </c>
      <c r="C78" t="s">
        <v>57</v>
      </c>
      <c r="D78" t="s">
        <v>290</v>
      </c>
      <c r="E78">
        <v>60</v>
      </c>
      <c r="F78">
        <v>75</v>
      </c>
      <c r="G78">
        <v>45</v>
      </c>
      <c r="H78">
        <v>65</v>
      </c>
      <c r="I78">
        <v>50</v>
      </c>
      <c r="J78">
        <v>55</v>
      </c>
      <c r="K78">
        <v>350</v>
      </c>
    </row>
    <row r="79" spans="1:11" x14ac:dyDescent="0.25">
      <c r="A79" t="s">
        <v>294</v>
      </c>
      <c r="B79" t="s">
        <v>293</v>
      </c>
      <c r="C79" t="s">
        <v>57</v>
      </c>
      <c r="E79">
        <v>90</v>
      </c>
      <c r="F79">
        <v>110</v>
      </c>
      <c r="G79">
        <v>80</v>
      </c>
      <c r="H79">
        <v>100</v>
      </c>
      <c r="I79">
        <v>80</v>
      </c>
      <c r="J79">
        <v>95</v>
      </c>
      <c r="K79">
        <v>555</v>
      </c>
    </row>
    <row r="80" spans="1:11" x14ac:dyDescent="0.25">
      <c r="A80" t="s">
        <v>296</v>
      </c>
      <c r="B80" t="s">
        <v>295</v>
      </c>
      <c r="C80" t="s">
        <v>57</v>
      </c>
      <c r="D80" t="s">
        <v>290</v>
      </c>
      <c r="E80">
        <v>95</v>
      </c>
      <c r="F80">
        <v>115</v>
      </c>
      <c r="G80">
        <v>80</v>
      </c>
      <c r="H80">
        <v>95</v>
      </c>
      <c r="I80">
        <v>80</v>
      </c>
      <c r="J80">
        <v>90</v>
      </c>
      <c r="K80">
        <v>555</v>
      </c>
    </row>
    <row r="81" spans="1:11" x14ac:dyDescent="0.25">
      <c r="A81" t="s">
        <v>298</v>
      </c>
      <c r="B81" t="s">
        <v>297</v>
      </c>
      <c r="C81" t="s">
        <v>76</v>
      </c>
      <c r="E81">
        <v>40</v>
      </c>
      <c r="F81">
        <v>50</v>
      </c>
      <c r="G81">
        <v>40</v>
      </c>
      <c r="H81">
        <v>40</v>
      </c>
      <c r="I81">
        <v>40</v>
      </c>
      <c r="J81">
        <v>90</v>
      </c>
      <c r="K81">
        <v>300</v>
      </c>
    </row>
    <row r="82" spans="1:11" x14ac:dyDescent="0.25">
      <c r="A82" t="s">
        <v>301</v>
      </c>
      <c r="B82" t="s">
        <v>300</v>
      </c>
      <c r="C82" t="s">
        <v>76</v>
      </c>
      <c r="E82">
        <v>65</v>
      </c>
      <c r="F82">
        <v>65</v>
      </c>
      <c r="G82">
        <v>65</v>
      </c>
      <c r="H82">
        <v>50</v>
      </c>
      <c r="I82">
        <v>50</v>
      </c>
      <c r="J82">
        <v>90</v>
      </c>
      <c r="K82">
        <v>385</v>
      </c>
    </row>
    <row r="83" spans="1:11" x14ac:dyDescent="0.25">
      <c r="A83" t="s">
        <v>303</v>
      </c>
      <c r="B83" t="s">
        <v>302</v>
      </c>
      <c r="C83" t="s">
        <v>76</v>
      </c>
      <c r="D83" t="s">
        <v>279</v>
      </c>
      <c r="E83">
        <v>90</v>
      </c>
      <c r="F83">
        <v>95</v>
      </c>
      <c r="G83">
        <v>95</v>
      </c>
      <c r="H83">
        <v>70</v>
      </c>
      <c r="I83">
        <v>90</v>
      </c>
      <c r="J83">
        <v>70</v>
      </c>
      <c r="K83">
        <v>510</v>
      </c>
    </row>
    <row r="84" spans="1:11" x14ac:dyDescent="0.25">
      <c r="A84" t="s">
        <v>305</v>
      </c>
      <c r="B84" t="s">
        <v>304</v>
      </c>
      <c r="C84" t="s">
        <v>162</v>
      </c>
      <c r="E84">
        <v>25</v>
      </c>
      <c r="F84">
        <v>20</v>
      </c>
      <c r="G84">
        <v>15</v>
      </c>
      <c r="H84">
        <v>105</v>
      </c>
      <c r="I84">
        <v>55</v>
      </c>
      <c r="J84">
        <v>90</v>
      </c>
      <c r="K84">
        <v>310</v>
      </c>
    </row>
    <row r="85" spans="1:11" x14ac:dyDescent="0.25">
      <c r="A85" t="s">
        <v>309</v>
      </c>
      <c r="B85" t="s">
        <v>308</v>
      </c>
      <c r="C85" t="s">
        <v>162</v>
      </c>
      <c r="E85">
        <v>40</v>
      </c>
      <c r="F85">
        <v>35</v>
      </c>
      <c r="G85">
        <v>30</v>
      </c>
      <c r="H85">
        <v>120</v>
      </c>
      <c r="I85">
        <v>70</v>
      </c>
      <c r="J85">
        <v>105</v>
      </c>
      <c r="K85">
        <v>400</v>
      </c>
    </row>
    <row r="86" spans="1:11" x14ac:dyDescent="0.25">
      <c r="A86" t="s">
        <v>311</v>
      </c>
      <c r="B86" t="s">
        <v>310</v>
      </c>
      <c r="C86" t="s">
        <v>162</v>
      </c>
      <c r="E86">
        <v>55</v>
      </c>
      <c r="F86">
        <v>50</v>
      </c>
      <c r="G86">
        <v>45</v>
      </c>
      <c r="H86">
        <v>135</v>
      </c>
      <c r="I86">
        <v>95</v>
      </c>
      <c r="J86">
        <v>120</v>
      </c>
      <c r="K86">
        <v>500</v>
      </c>
    </row>
    <row r="87" spans="1:11" x14ac:dyDescent="0.25">
      <c r="A87" t="s">
        <v>313</v>
      </c>
      <c r="B87" t="s">
        <v>312</v>
      </c>
      <c r="C87" t="s">
        <v>162</v>
      </c>
      <c r="E87">
        <v>55</v>
      </c>
      <c r="F87">
        <v>50</v>
      </c>
      <c r="G87">
        <v>65</v>
      </c>
      <c r="H87">
        <v>175</v>
      </c>
      <c r="I87">
        <v>105</v>
      </c>
      <c r="J87">
        <v>150</v>
      </c>
      <c r="K87">
        <v>600</v>
      </c>
    </row>
    <row r="88" spans="1:11" x14ac:dyDescent="0.25">
      <c r="A88" t="s">
        <v>316</v>
      </c>
      <c r="B88" t="s">
        <v>315</v>
      </c>
      <c r="C88" t="s">
        <v>279</v>
      </c>
      <c r="E88">
        <v>70</v>
      </c>
      <c r="F88">
        <v>80</v>
      </c>
      <c r="G88">
        <v>50</v>
      </c>
      <c r="H88">
        <v>35</v>
      </c>
      <c r="I88">
        <v>35</v>
      </c>
      <c r="J88">
        <v>35</v>
      </c>
      <c r="K88">
        <v>305</v>
      </c>
    </row>
    <row r="89" spans="1:11" x14ac:dyDescent="0.25">
      <c r="A89" t="s">
        <v>320</v>
      </c>
      <c r="B89" t="s">
        <v>319</v>
      </c>
      <c r="C89" t="s">
        <v>279</v>
      </c>
      <c r="E89">
        <v>80</v>
      </c>
      <c r="F89">
        <v>100</v>
      </c>
      <c r="G89">
        <v>70</v>
      </c>
      <c r="H89">
        <v>50</v>
      </c>
      <c r="I89">
        <v>60</v>
      </c>
      <c r="J89">
        <v>45</v>
      </c>
      <c r="K89">
        <v>405</v>
      </c>
    </row>
    <row r="90" spans="1:11" x14ac:dyDescent="0.25">
      <c r="A90" t="s">
        <v>322</v>
      </c>
      <c r="B90" t="s">
        <v>321</v>
      </c>
      <c r="C90" t="s">
        <v>279</v>
      </c>
      <c r="E90">
        <v>90</v>
      </c>
      <c r="F90">
        <v>130</v>
      </c>
      <c r="G90">
        <v>80</v>
      </c>
      <c r="H90">
        <v>65</v>
      </c>
      <c r="I90">
        <v>85</v>
      </c>
      <c r="J90">
        <v>55</v>
      </c>
      <c r="K90">
        <v>505</v>
      </c>
    </row>
    <row r="91" spans="1:11" x14ac:dyDescent="0.25">
      <c r="A91" t="s">
        <v>324</v>
      </c>
      <c r="B91" t="s">
        <v>323</v>
      </c>
      <c r="C91" t="s">
        <v>40</v>
      </c>
      <c r="D91" t="s">
        <v>41</v>
      </c>
      <c r="E91">
        <v>50</v>
      </c>
      <c r="F91">
        <v>75</v>
      </c>
      <c r="G91">
        <v>35</v>
      </c>
      <c r="H91">
        <v>70</v>
      </c>
      <c r="I91">
        <v>30</v>
      </c>
      <c r="J91">
        <v>40</v>
      </c>
      <c r="K91">
        <v>300</v>
      </c>
    </row>
    <row r="92" spans="1:11" x14ac:dyDescent="0.25">
      <c r="A92" t="s">
        <v>326</v>
      </c>
      <c r="B92" t="s">
        <v>325</v>
      </c>
      <c r="C92" t="s">
        <v>40</v>
      </c>
      <c r="D92" t="s">
        <v>41</v>
      </c>
      <c r="E92">
        <v>65</v>
      </c>
      <c r="F92">
        <v>90</v>
      </c>
      <c r="G92">
        <v>50</v>
      </c>
      <c r="H92">
        <v>85</v>
      </c>
      <c r="I92">
        <v>45</v>
      </c>
      <c r="J92">
        <v>55</v>
      </c>
      <c r="K92">
        <v>390</v>
      </c>
    </row>
    <row r="93" spans="1:11" x14ac:dyDescent="0.25">
      <c r="A93" t="s">
        <v>328</v>
      </c>
      <c r="B93" t="s">
        <v>327</v>
      </c>
      <c r="C93" t="s">
        <v>40</v>
      </c>
      <c r="D93" t="s">
        <v>41</v>
      </c>
      <c r="E93">
        <v>80</v>
      </c>
      <c r="F93">
        <v>105</v>
      </c>
      <c r="G93">
        <v>65</v>
      </c>
      <c r="H93">
        <v>100</v>
      </c>
      <c r="I93">
        <v>70</v>
      </c>
      <c r="J93">
        <v>70</v>
      </c>
      <c r="K93">
        <v>490</v>
      </c>
    </row>
    <row r="94" spans="1:11" x14ac:dyDescent="0.25">
      <c r="A94" t="s">
        <v>330</v>
      </c>
      <c r="B94" t="s">
        <v>329</v>
      </c>
      <c r="C94" t="s">
        <v>76</v>
      </c>
      <c r="D94" t="s">
        <v>41</v>
      </c>
      <c r="E94">
        <v>40</v>
      </c>
      <c r="F94">
        <v>40</v>
      </c>
      <c r="G94">
        <v>35</v>
      </c>
      <c r="H94">
        <v>50</v>
      </c>
      <c r="I94">
        <v>100</v>
      </c>
      <c r="J94">
        <v>70</v>
      </c>
      <c r="K94">
        <v>335</v>
      </c>
    </row>
    <row r="95" spans="1:11" x14ac:dyDescent="0.25">
      <c r="A95" t="s">
        <v>335</v>
      </c>
      <c r="B95" t="s">
        <v>334</v>
      </c>
      <c r="C95" t="s">
        <v>76</v>
      </c>
      <c r="D95" t="s">
        <v>41</v>
      </c>
      <c r="E95">
        <v>80</v>
      </c>
      <c r="F95">
        <v>70</v>
      </c>
      <c r="G95">
        <v>65</v>
      </c>
      <c r="H95">
        <v>80</v>
      </c>
      <c r="I95">
        <v>120</v>
      </c>
      <c r="J95">
        <v>100</v>
      </c>
      <c r="K95">
        <v>515</v>
      </c>
    </row>
    <row r="96" spans="1:11" x14ac:dyDescent="0.25">
      <c r="A96" t="s">
        <v>337</v>
      </c>
      <c r="B96" t="s">
        <v>336</v>
      </c>
      <c r="C96" t="s">
        <v>290</v>
      </c>
      <c r="D96" t="s">
        <v>132</v>
      </c>
      <c r="E96">
        <v>40</v>
      </c>
      <c r="F96">
        <v>80</v>
      </c>
      <c r="G96">
        <v>100</v>
      </c>
      <c r="H96">
        <v>30</v>
      </c>
      <c r="I96">
        <v>30</v>
      </c>
      <c r="J96">
        <v>20</v>
      </c>
      <c r="K96">
        <v>300</v>
      </c>
    </row>
    <row r="97" spans="1:11" x14ac:dyDescent="0.25">
      <c r="A97" t="s">
        <v>341</v>
      </c>
      <c r="B97" t="s">
        <v>340</v>
      </c>
      <c r="C97" t="s">
        <v>290</v>
      </c>
      <c r="D97" t="s">
        <v>154</v>
      </c>
      <c r="E97">
        <v>40</v>
      </c>
      <c r="F97">
        <v>80</v>
      </c>
      <c r="G97">
        <v>100</v>
      </c>
      <c r="H97">
        <v>30</v>
      </c>
      <c r="I97">
        <v>30</v>
      </c>
      <c r="J97">
        <v>20</v>
      </c>
      <c r="K97">
        <v>300</v>
      </c>
    </row>
    <row r="98" spans="1:11" x14ac:dyDescent="0.25">
      <c r="A98" t="s">
        <v>345</v>
      </c>
      <c r="B98" t="s">
        <v>344</v>
      </c>
      <c r="C98" t="s">
        <v>290</v>
      </c>
      <c r="D98" t="s">
        <v>132</v>
      </c>
      <c r="E98">
        <v>55</v>
      </c>
      <c r="F98">
        <v>95</v>
      </c>
      <c r="G98">
        <v>115</v>
      </c>
      <c r="H98">
        <v>45</v>
      </c>
      <c r="I98">
        <v>45</v>
      </c>
      <c r="J98">
        <v>35</v>
      </c>
      <c r="K98">
        <v>390</v>
      </c>
    </row>
    <row r="99" spans="1:11" x14ac:dyDescent="0.25">
      <c r="A99" t="s">
        <v>347</v>
      </c>
      <c r="B99" t="s">
        <v>346</v>
      </c>
      <c r="C99" t="s">
        <v>290</v>
      </c>
      <c r="D99" t="s">
        <v>154</v>
      </c>
      <c r="E99">
        <v>55</v>
      </c>
      <c r="F99">
        <v>95</v>
      </c>
      <c r="G99">
        <v>115</v>
      </c>
      <c r="H99">
        <v>45</v>
      </c>
      <c r="I99">
        <v>45</v>
      </c>
      <c r="J99">
        <v>35</v>
      </c>
      <c r="K99">
        <v>390</v>
      </c>
    </row>
    <row r="100" spans="1:11" x14ac:dyDescent="0.25">
      <c r="A100" t="s">
        <v>349</v>
      </c>
      <c r="B100" t="s">
        <v>348</v>
      </c>
      <c r="C100" t="s">
        <v>290</v>
      </c>
      <c r="D100" t="s">
        <v>132</v>
      </c>
      <c r="E100">
        <v>80</v>
      </c>
      <c r="F100">
        <v>120</v>
      </c>
      <c r="G100">
        <v>130</v>
      </c>
      <c r="H100">
        <v>55</v>
      </c>
      <c r="I100">
        <v>65</v>
      </c>
      <c r="J100">
        <v>45</v>
      </c>
      <c r="K100">
        <v>495</v>
      </c>
    </row>
    <row r="101" spans="1:11" x14ac:dyDescent="0.25">
      <c r="A101" t="s">
        <v>351</v>
      </c>
      <c r="B101" t="s">
        <v>350</v>
      </c>
      <c r="C101" t="s">
        <v>290</v>
      </c>
      <c r="D101" t="s">
        <v>154</v>
      </c>
      <c r="E101">
        <v>80</v>
      </c>
      <c r="F101">
        <v>120</v>
      </c>
      <c r="G101">
        <v>130</v>
      </c>
      <c r="H101">
        <v>55</v>
      </c>
      <c r="I101">
        <v>65</v>
      </c>
      <c r="J101">
        <v>45</v>
      </c>
      <c r="K101">
        <v>495</v>
      </c>
    </row>
    <row r="102" spans="1:11" x14ac:dyDescent="0.25">
      <c r="A102" t="s">
        <v>353</v>
      </c>
      <c r="B102" t="s">
        <v>352</v>
      </c>
      <c r="C102" t="s">
        <v>57</v>
      </c>
      <c r="E102">
        <v>50</v>
      </c>
      <c r="F102">
        <v>85</v>
      </c>
      <c r="G102">
        <v>55</v>
      </c>
      <c r="H102">
        <v>65</v>
      </c>
      <c r="I102">
        <v>65</v>
      </c>
      <c r="J102">
        <v>90</v>
      </c>
      <c r="K102">
        <v>410</v>
      </c>
    </row>
    <row r="103" spans="1:11" x14ac:dyDescent="0.25">
      <c r="A103" t="s">
        <v>356</v>
      </c>
      <c r="B103" t="s">
        <v>355</v>
      </c>
      <c r="C103" t="s">
        <v>162</v>
      </c>
      <c r="E103">
        <v>50</v>
      </c>
      <c r="F103">
        <v>85</v>
      </c>
      <c r="G103">
        <v>55</v>
      </c>
      <c r="H103">
        <v>65</v>
      </c>
      <c r="I103">
        <v>65</v>
      </c>
      <c r="J103">
        <v>90</v>
      </c>
      <c r="K103">
        <v>410</v>
      </c>
    </row>
    <row r="104" spans="1:11" x14ac:dyDescent="0.25">
      <c r="A104" t="s">
        <v>360</v>
      </c>
      <c r="B104" t="s">
        <v>359</v>
      </c>
      <c r="C104" t="s">
        <v>57</v>
      </c>
      <c r="E104">
        <v>65</v>
      </c>
      <c r="F104">
        <v>100</v>
      </c>
      <c r="G104">
        <v>70</v>
      </c>
      <c r="H104">
        <v>80</v>
      </c>
      <c r="I104">
        <v>80</v>
      </c>
      <c r="J104">
        <v>105</v>
      </c>
      <c r="K104">
        <v>500</v>
      </c>
    </row>
    <row r="105" spans="1:11" x14ac:dyDescent="0.25">
      <c r="A105" t="s">
        <v>362</v>
      </c>
      <c r="B105" t="s">
        <v>361</v>
      </c>
      <c r="C105" t="s">
        <v>162</v>
      </c>
      <c r="D105" t="s">
        <v>157</v>
      </c>
      <c r="E105">
        <v>65</v>
      </c>
      <c r="F105">
        <v>100</v>
      </c>
      <c r="G105">
        <v>70</v>
      </c>
      <c r="H105">
        <v>80</v>
      </c>
      <c r="I105">
        <v>80</v>
      </c>
      <c r="J105">
        <v>105</v>
      </c>
      <c r="K105">
        <v>500</v>
      </c>
    </row>
    <row r="106" spans="1:11" x14ac:dyDescent="0.25">
      <c r="A106" t="s">
        <v>364</v>
      </c>
      <c r="B106" t="s">
        <v>363</v>
      </c>
      <c r="C106" t="s">
        <v>76</v>
      </c>
      <c r="D106" t="s">
        <v>162</v>
      </c>
      <c r="E106">
        <v>90</v>
      </c>
      <c r="F106">
        <v>65</v>
      </c>
      <c r="G106">
        <v>65</v>
      </c>
      <c r="H106">
        <v>40</v>
      </c>
      <c r="I106">
        <v>40</v>
      </c>
      <c r="J106">
        <v>15</v>
      </c>
      <c r="K106">
        <v>315</v>
      </c>
    </row>
    <row r="107" spans="1:11" x14ac:dyDescent="0.25">
      <c r="A107" t="s">
        <v>369</v>
      </c>
      <c r="B107" t="s">
        <v>368</v>
      </c>
      <c r="C107" t="s">
        <v>162</v>
      </c>
      <c r="E107">
        <v>90</v>
      </c>
      <c r="F107">
        <v>65</v>
      </c>
      <c r="G107">
        <v>65</v>
      </c>
      <c r="H107">
        <v>40</v>
      </c>
      <c r="I107">
        <v>40</v>
      </c>
      <c r="J107">
        <v>15</v>
      </c>
      <c r="K107">
        <v>315</v>
      </c>
    </row>
    <row r="108" spans="1:11" x14ac:dyDescent="0.25">
      <c r="A108" t="s">
        <v>371</v>
      </c>
      <c r="B108" t="s">
        <v>370</v>
      </c>
      <c r="C108" t="s">
        <v>76</v>
      </c>
      <c r="D108" t="s">
        <v>162</v>
      </c>
      <c r="E108">
        <v>95</v>
      </c>
      <c r="F108">
        <v>75</v>
      </c>
      <c r="G108">
        <v>110</v>
      </c>
      <c r="H108">
        <v>100</v>
      </c>
      <c r="I108">
        <v>80</v>
      </c>
      <c r="J108">
        <v>30</v>
      </c>
      <c r="K108">
        <v>490</v>
      </c>
    </row>
    <row r="109" spans="1:11" x14ac:dyDescent="0.25">
      <c r="A109" t="s">
        <v>373</v>
      </c>
      <c r="B109" t="s">
        <v>372</v>
      </c>
      <c r="C109" t="s">
        <v>41</v>
      </c>
      <c r="D109" t="s">
        <v>162</v>
      </c>
      <c r="E109">
        <v>95</v>
      </c>
      <c r="F109">
        <v>100</v>
      </c>
      <c r="G109">
        <v>95</v>
      </c>
      <c r="H109">
        <v>100</v>
      </c>
      <c r="I109">
        <v>70</v>
      </c>
      <c r="J109">
        <v>30</v>
      </c>
      <c r="K109">
        <v>490</v>
      </c>
    </row>
    <row r="110" spans="1:11" x14ac:dyDescent="0.25">
      <c r="A110" t="s">
        <v>376</v>
      </c>
      <c r="B110" t="s">
        <v>375</v>
      </c>
      <c r="C110" t="s">
        <v>76</v>
      </c>
      <c r="D110" t="s">
        <v>162</v>
      </c>
      <c r="E110">
        <v>95</v>
      </c>
      <c r="F110">
        <v>75</v>
      </c>
      <c r="G110">
        <v>180</v>
      </c>
      <c r="H110">
        <v>130</v>
      </c>
      <c r="I110">
        <v>80</v>
      </c>
      <c r="J110">
        <v>30</v>
      </c>
      <c r="K110">
        <v>590</v>
      </c>
    </row>
    <row r="111" spans="1:11" x14ac:dyDescent="0.25">
      <c r="A111" t="s">
        <v>379</v>
      </c>
      <c r="B111" t="s">
        <v>378</v>
      </c>
      <c r="C111" t="s">
        <v>154</v>
      </c>
      <c r="D111" t="s">
        <v>171</v>
      </c>
      <c r="E111">
        <v>25</v>
      </c>
      <c r="F111">
        <v>35</v>
      </c>
      <c r="G111">
        <v>70</v>
      </c>
      <c r="H111">
        <v>95</v>
      </c>
      <c r="I111">
        <v>55</v>
      </c>
      <c r="J111">
        <v>45</v>
      </c>
      <c r="K111">
        <v>325</v>
      </c>
    </row>
    <row r="112" spans="1:11" x14ac:dyDescent="0.25">
      <c r="A112" t="s">
        <v>382</v>
      </c>
      <c r="B112" t="s">
        <v>381</v>
      </c>
      <c r="C112" t="s">
        <v>154</v>
      </c>
      <c r="D112" t="s">
        <v>171</v>
      </c>
      <c r="E112">
        <v>50</v>
      </c>
      <c r="F112">
        <v>60</v>
      </c>
      <c r="G112">
        <v>95</v>
      </c>
      <c r="H112">
        <v>120</v>
      </c>
      <c r="I112">
        <v>70</v>
      </c>
      <c r="J112">
        <v>70</v>
      </c>
      <c r="K112">
        <v>465</v>
      </c>
    </row>
    <row r="113" spans="1:11" x14ac:dyDescent="0.25">
      <c r="A113" t="s">
        <v>384</v>
      </c>
      <c r="B113" t="s">
        <v>383</v>
      </c>
      <c r="C113" t="s">
        <v>116</v>
      </c>
      <c r="D113" t="s">
        <v>66</v>
      </c>
      <c r="E113">
        <v>52</v>
      </c>
      <c r="F113">
        <v>90</v>
      </c>
      <c r="G113">
        <v>55</v>
      </c>
      <c r="H113">
        <v>58</v>
      </c>
      <c r="I113">
        <v>62</v>
      </c>
      <c r="J113">
        <v>60</v>
      </c>
      <c r="K113">
        <v>377</v>
      </c>
    </row>
    <row r="114" spans="1:11" x14ac:dyDescent="0.25">
      <c r="A114" t="s">
        <v>386</v>
      </c>
      <c r="B114" t="s">
        <v>385</v>
      </c>
      <c r="C114" t="s">
        <v>279</v>
      </c>
      <c r="E114">
        <v>52</v>
      </c>
      <c r="F114">
        <v>95</v>
      </c>
      <c r="G114">
        <v>55</v>
      </c>
      <c r="H114">
        <v>58</v>
      </c>
      <c r="I114">
        <v>62</v>
      </c>
      <c r="J114">
        <v>55</v>
      </c>
      <c r="K114">
        <v>377</v>
      </c>
    </row>
    <row r="115" spans="1:11" x14ac:dyDescent="0.25">
      <c r="A115" t="s">
        <v>389</v>
      </c>
      <c r="B115" t="s">
        <v>388</v>
      </c>
      <c r="C115" t="s">
        <v>116</v>
      </c>
      <c r="D115" t="s">
        <v>66</v>
      </c>
      <c r="E115">
        <v>35</v>
      </c>
      <c r="F115">
        <v>85</v>
      </c>
      <c r="G115">
        <v>45</v>
      </c>
      <c r="H115">
        <v>35</v>
      </c>
      <c r="I115">
        <v>35</v>
      </c>
      <c r="J115">
        <v>75</v>
      </c>
      <c r="K115">
        <v>310</v>
      </c>
    </row>
    <row r="116" spans="1:11" x14ac:dyDescent="0.25">
      <c r="A116" t="s">
        <v>392</v>
      </c>
      <c r="B116" t="s">
        <v>391</v>
      </c>
      <c r="C116" t="s">
        <v>116</v>
      </c>
      <c r="D116" t="s">
        <v>66</v>
      </c>
      <c r="E116">
        <v>60</v>
      </c>
      <c r="F116">
        <v>110</v>
      </c>
      <c r="G116">
        <v>70</v>
      </c>
      <c r="H116">
        <v>60</v>
      </c>
      <c r="I116">
        <v>60</v>
      </c>
      <c r="J116">
        <v>110</v>
      </c>
      <c r="K116">
        <v>470</v>
      </c>
    </row>
    <row r="117" spans="1:11" x14ac:dyDescent="0.25">
      <c r="A117" t="s">
        <v>394</v>
      </c>
      <c r="B117" t="s">
        <v>393</v>
      </c>
      <c r="C117" t="s">
        <v>76</v>
      </c>
      <c r="E117">
        <v>65</v>
      </c>
      <c r="F117">
        <v>45</v>
      </c>
      <c r="G117">
        <v>55</v>
      </c>
      <c r="H117">
        <v>45</v>
      </c>
      <c r="I117">
        <v>70</v>
      </c>
      <c r="J117">
        <v>45</v>
      </c>
      <c r="K117">
        <v>325</v>
      </c>
    </row>
    <row r="118" spans="1:11" x14ac:dyDescent="0.25">
      <c r="A118" t="s">
        <v>398</v>
      </c>
      <c r="B118" t="s">
        <v>397</v>
      </c>
      <c r="C118" t="s">
        <v>76</v>
      </c>
      <c r="D118" t="s">
        <v>170</v>
      </c>
      <c r="E118">
        <v>90</v>
      </c>
      <c r="F118">
        <v>70</v>
      </c>
      <c r="G118">
        <v>80</v>
      </c>
      <c r="H118">
        <v>70</v>
      </c>
      <c r="I118">
        <v>95</v>
      </c>
      <c r="J118">
        <v>70</v>
      </c>
      <c r="K118">
        <v>475</v>
      </c>
    </row>
    <row r="119" spans="1:11" x14ac:dyDescent="0.25">
      <c r="A119" t="s">
        <v>400</v>
      </c>
      <c r="B119" t="s">
        <v>399</v>
      </c>
      <c r="C119" t="s">
        <v>41</v>
      </c>
      <c r="E119">
        <v>80</v>
      </c>
      <c r="F119">
        <v>80</v>
      </c>
      <c r="G119">
        <v>50</v>
      </c>
      <c r="H119">
        <v>40</v>
      </c>
      <c r="I119">
        <v>50</v>
      </c>
      <c r="J119">
        <v>25</v>
      </c>
      <c r="K119">
        <v>325</v>
      </c>
    </row>
    <row r="120" spans="1:11" x14ac:dyDescent="0.25">
      <c r="A120" t="s">
        <v>405</v>
      </c>
      <c r="B120" t="s">
        <v>404</v>
      </c>
      <c r="C120" t="s">
        <v>41</v>
      </c>
      <c r="D120" t="s">
        <v>135</v>
      </c>
      <c r="E120">
        <v>80</v>
      </c>
      <c r="F120">
        <v>80</v>
      </c>
      <c r="G120">
        <v>50</v>
      </c>
      <c r="H120">
        <v>40</v>
      </c>
      <c r="I120">
        <v>50</v>
      </c>
      <c r="J120">
        <v>25</v>
      </c>
      <c r="K120">
        <v>325</v>
      </c>
    </row>
    <row r="121" spans="1:11" x14ac:dyDescent="0.25">
      <c r="A121" t="s">
        <v>408</v>
      </c>
      <c r="B121" t="s">
        <v>407</v>
      </c>
      <c r="C121" t="s">
        <v>41</v>
      </c>
      <c r="E121">
        <v>105</v>
      </c>
      <c r="F121">
        <v>105</v>
      </c>
      <c r="G121">
        <v>75</v>
      </c>
      <c r="H121">
        <v>65</v>
      </c>
      <c r="I121">
        <v>100</v>
      </c>
      <c r="J121">
        <v>50</v>
      </c>
      <c r="K121">
        <v>500</v>
      </c>
    </row>
    <row r="122" spans="1:11" x14ac:dyDescent="0.25">
      <c r="A122" t="s">
        <v>410</v>
      </c>
      <c r="B122" t="s">
        <v>409</v>
      </c>
      <c r="C122" t="s">
        <v>41</v>
      </c>
      <c r="D122" t="s">
        <v>135</v>
      </c>
      <c r="E122">
        <v>105</v>
      </c>
      <c r="F122">
        <v>105</v>
      </c>
      <c r="G122">
        <v>75</v>
      </c>
      <c r="H122">
        <v>65</v>
      </c>
      <c r="I122">
        <v>100</v>
      </c>
      <c r="J122">
        <v>50</v>
      </c>
      <c r="K122">
        <v>500</v>
      </c>
    </row>
    <row r="123" spans="1:11" x14ac:dyDescent="0.25">
      <c r="A123" t="s">
        <v>412</v>
      </c>
      <c r="B123" t="s">
        <v>411</v>
      </c>
      <c r="C123" t="s">
        <v>76</v>
      </c>
      <c r="E123">
        <v>30</v>
      </c>
      <c r="F123">
        <v>65</v>
      </c>
      <c r="G123">
        <v>100</v>
      </c>
      <c r="H123">
        <v>45</v>
      </c>
      <c r="I123">
        <v>25</v>
      </c>
      <c r="J123">
        <v>40</v>
      </c>
      <c r="K123">
        <v>305</v>
      </c>
    </row>
    <row r="124" spans="1:11" x14ac:dyDescent="0.25">
      <c r="A124" t="s">
        <v>416</v>
      </c>
      <c r="B124" t="s">
        <v>415</v>
      </c>
      <c r="C124" t="s">
        <v>76</v>
      </c>
      <c r="D124" t="s">
        <v>170</v>
      </c>
      <c r="E124">
        <v>50</v>
      </c>
      <c r="F124">
        <v>95</v>
      </c>
      <c r="G124">
        <v>180</v>
      </c>
      <c r="H124">
        <v>85</v>
      </c>
      <c r="I124">
        <v>45</v>
      </c>
      <c r="J124">
        <v>70</v>
      </c>
      <c r="K124">
        <v>525</v>
      </c>
    </row>
    <row r="125" spans="1:11" x14ac:dyDescent="0.25">
      <c r="A125" t="s">
        <v>418</v>
      </c>
      <c r="B125" t="s">
        <v>417</v>
      </c>
      <c r="C125" t="s">
        <v>419</v>
      </c>
      <c r="D125" t="s">
        <v>41</v>
      </c>
      <c r="E125">
        <v>30</v>
      </c>
      <c r="F125">
        <v>35</v>
      </c>
      <c r="G125">
        <v>30</v>
      </c>
      <c r="H125">
        <v>100</v>
      </c>
      <c r="I125">
        <v>35</v>
      </c>
      <c r="J125">
        <v>80</v>
      </c>
      <c r="K125">
        <v>310</v>
      </c>
    </row>
    <row r="126" spans="1:11" x14ac:dyDescent="0.25">
      <c r="A126" t="s">
        <v>422</v>
      </c>
      <c r="B126" t="s">
        <v>421</v>
      </c>
      <c r="C126" t="s">
        <v>419</v>
      </c>
      <c r="D126" t="s">
        <v>41</v>
      </c>
      <c r="E126">
        <v>45</v>
      </c>
      <c r="F126">
        <v>50</v>
      </c>
      <c r="G126">
        <v>45</v>
      </c>
      <c r="H126">
        <v>115</v>
      </c>
      <c r="I126">
        <v>55</v>
      </c>
      <c r="J126">
        <v>95</v>
      </c>
      <c r="K126">
        <v>405</v>
      </c>
    </row>
    <row r="127" spans="1:11" x14ac:dyDescent="0.25">
      <c r="A127" t="s">
        <v>424</v>
      </c>
      <c r="B127" t="s">
        <v>423</v>
      </c>
      <c r="C127" t="s">
        <v>419</v>
      </c>
      <c r="D127" t="s">
        <v>41</v>
      </c>
      <c r="E127">
        <v>60</v>
      </c>
      <c r="F127">
        <v>65</v>
      </c>
      <c r="G127">
        <v>60</v>
      </c>
      <c r="H127">
        <v>130</v>
      </c>
      <c r="I127">
        <v>75</v>
      </c>
      <c r="J127">
        <v>110</v>
      </c>
      <c r="K127">
        <v>500</v>
      </c>
    </row>
    <row r="128" spans="1:11" x14ac:dyDescent="0.25">
      <c r="A128" t="s">
        <v>427</v>
      </c>
      <c r="B128" t="s">
        <v>426</v>
      </c>
      <c r="C128" t="s">
        <v>419</v>
      </c>
      <c r="D128" t="s">
        <v>41</v>
      </c>
      <c r="E128">
        <v>60</v>
      </c>
      <c r="F128">
        <v>65</v>
      </c>
      <c r="G128">
        <v>80</v>
      </c>
      <c r="H128">
        <v>170</v>
      </c>
      <c r="I128">
        <v>95</v>
      </c>
      <c r="J128">
        <v>130</v>
      </c>
      <c r="K128">
        <v>600</v>
      </c>
    </row>
    <row r="129" spans="1:11" x14ac:dyDescent="0.25">
      <c r="A129" t="s">
        <v>430</v>
      </c>
      <c r="B129" t="s">
        <v>429</v>
      </c>
      <c r="C129" t="s">
        <v>290</v>
      </c>
      <c r="D129" t="s">
        <v>132</v>
      </c>
      <c r="E129">
        <v>35</v>
      </c>
      <c r="F129">
        <v>45</v>
      </c>
      <c r="G129">
        <v>160</v>
      </c>
      <c r="H129">
        <v>30</v>
      </c>
      <c r="I129">
        <v>45</v>
      </c>
      <c r="J129">
        <v>70</v>
      </c>
      <c r="K129">
        <v>385</v>
      </c>
    </row>
    <row r="130" spans="1:11" x14ac:dyDescent="0.25">
      <c r="A130" t="s">
        <v>433</v>
      </c>
      <c r="B130" t="s">
        <v>432</v>
      </c>
      <c r="C130" t="s">
        <v>162</v>
      </c>
      <c r="E130">
        <v>60</v>
      </c>
      <c r="F130">
        <v>48</v>
      </c>
      <c r="G130">
        <v>45</v>
      </c>
      <c r="H130">
        <v>43</v>
      </c>
      <c r="I130">
        <v>90</v>
      </c>
      <c r="J130">
        <v>42</v>
      </c>
      <c r="K130">
        <v>328</v>
      </c>
    </row>
    <row r="131" spans="1:11" x14ac:dyDescent="0.25">
      <c r="A131" t="s">
        <v>437</v>
      </c>
      <c r="B131" t="s">
        <v>436</v>
      </c>
      <c r="C131" t="s">
        <v>162</v>
      </c>
      <c r="E131">
        <v>85</v>
      </c>
      <c r="F131">
        <v>73</v>
      </c>
      <c r="G131">
        <v>70</v>
      </c>
      <c r="H131">
        <v>73</v>
      </c>
      <c r="I131">
        <v>115</v>
      </c>
      <c r="J131">
        <v>67</v>
      </c>
      <c r="K131">
        <v>483</v>
      </c>
    </row>
    <row r="132" spans="1:11" x14ac:dyDescent="0.25">
      <c r="A132" t="s">
        <v>439</v>
      </c>
      <c r="B132" t="s">
        <v>438</v>
      </c>
      <c r="C132" t="s">
        <v>76</v>
      </c>
      <c r="E132">
        <v>30</v>
      </c>
      <c r="F132">
        <v>105</v>
      </c>
      <c r="G132">
        <v>90</v>
      </c>
      <c r="H132">
        <v>25</v>
      </c>
      <c r="I132">
        <v>25</v>
      </c>
      <c r="J132">
        <v>50</v>
      </c>
      <c r="K132">
        <v>325</v>
      </c>
    </row>
    <row r="133" spans="1:11" x14ac:dyDescent="0.25">
      <c r="A133" t="s">
        <v>442</v>
      </c>
      <c r="B133" t="s">
        <v>441</v>
      </c>
      <c r="C133" t="s">
        <v>76</v>
      </c>
      <c r="E133">
        <v>55</v>
      </c>
      <c r="F133">
        <v>130</v>
      </c>
      <c r="G133">
        <v>115</v>
      </c>
      <c r="H133">
        <v>50</v>
      </c>
      <c r="I133">
        <v>50</v>
      </c>
      <c r="J133">
        <v>75</v>
      </c>
      <c r="K133">
        <v>475</v>
      </c>
    </row>
    <row r="134" spans="1:11" x14ac:dyDescent="0.25">
      <c r="A134" t="s">
        <v>444</v>
      </c>
      <c r="B134" t="s">
        <v>443</v>
      </c>
      <c r="C134" t="s">
        <v>154</v>
      </c>
      <c r="E134">
        <v>40</v>
      </c>
      <c r="F134">
        <v>30</v>
      </c>
      <c r="G134">
        <v>50</v>
      </c>
      <c r="H134">
        <v>55</v>
      </c>
      <c r="I134">
        <v>55</v>
      </c>
      <c r="J134">
        <v>100</v>
      </c>
      <c r="K134">
        <v>330</v>
      </c>
    </row>
    <row r="135" spans="1:11" x14ac:dyDescent="0.25">
      <c r="A135" t="s">
        <v>448</v>
      </c>
      <c r="B135" t="s">
        <v>447</v>
      </c>
      <c r="C135" t="s">
        <v>154</v>
      </c>
      <c r="D135" t="s">
        <v>40</v>
      </c>
      <c r="E135">
        <v>40</v>
      </c>
      <c r="F135">
        <v>30</v>
      </c>
      <c r="G135">
        <v>50</v>
      </c>
      <c r="H135">
        <v>55</v>
      </c>
      <c r="I135">
        <v>55</v>
      </c>
      <c r="J135">
        <v>100</v>
      </c>
      <c r="K135">
        <v>330</v>
      </c>
    </row>
    <row r="136" spans="1:11" x14ac:dyDescent="0.25">
      <c r="A136" t="s">
        <v>450</v>
      </c>
      <c r="B136" t="s">
        <v>449</v>
      </c>
      <c r="C136" t="s">
        <v>154</v>
      </c>
      <c r="E136">
        <v>60</v>
      </c>
      <c r="F136">
        <v>50</v>
      </c>
      <c r="G136">
        <v>70</v>
      </c>
      <c r="H136">
        <v>80</v>
      </c>
      <c r="I136">
        <v>80</v>
      </c>
      <c r="J136">
        <v>150</v>
      </c>
      <c r="K136">
        <v>490</v>
      </c>
    </row>
    <row r="137" spans="1:11" x14ac:dyDescent="0.25">
      <c r="A137" t="s">
        <v>452</v>
      </c>
      <c r="B137" t="s">
        <v>451</v>
      </c>
      <c r="C137" t="s">
        <v>154</v>
      </c>
      <c r="D137" t="s">
        <v>40</v>
      </c>
      <c r="E137">
        <v>60</v>
      </c>
      <c r="F137">
        <v>50</v>
      </c>
      <c r="G137">
        <v>70</v>
      </c>
      <c r="H137">
        <v>80</v>
      </c>
      <c r="I137">
        <v>80</v>
      </c>
      <c r="J137">
        <v>150</v>
      </c>
      <c r="K137">
        <v>490</v>
      </c>
    </row>
    <row r="138" spans="1:11" x14ac:dyDescent="0.25">
      <c r="A138" t="s">
        <v>454</v>
      </c>
      <c r="B138" t="s">
        <v>453</v>
      </c>
      <c r="C138" t="s">
        <v>40</v>
      </c>
      <c r="D138" t="s">
        <v>162</v>
      </c>
      <c r="E138">
        <v>60</v>
      </c>
      <c r="F138">
        <v>40</v>
      </c>
      <c r="G138">
        <v>80</v>
      </c>
      <c r="H138">
        <v>60</v>
      </c>
      <c r="I138">
        <v>45</v>
      </c>
      <c r="J138">
        <v>40</v>
      </c>
      <c r="K138">
        <v>325</v>
      </c>
    </row>
    <row r="139" spans="1:11" x14ac:dyDescent="0.25">
      <c r="A139" t="s">
        <v>457</v>
      </c>
      <c r="B139" t="s">
        <v>456</v>
      </c>
      <c r="C139" t="s">
        <v>40</v>
      </c>
      <c r="D139" t="s">
        <v>162</v>
      </c>
      <c r="E139">
        <v>95</v>
      </c>
      <c r="F139">
        <v>95</v>
      </c>
      <c r="G139">
        <v>85</v>
      </c>
      <c r="H139">
        <v>125</v>
      </c>
      <c r="I139">
        <v>75</v>
      </c>
      <c r="J139">
        <v>55</v>
      </c>
      <c r="K139">
        <v>530</v>
      </c>
    </row>
    <row r="140" spans="1:11" x14ac:dyDescent="0.25">
      <c r="A140" t="s">
        <v>459</v>
      </c>
      <c r="B140" t="s">
        <v>458</v>
      </c>
      <c r="C140" t="s">
        <v>40</v>
      </c>
      <c r="D140" t="s">
        <v>61</v>
      </c>
      <c r="E140">
        <v>95</v>
      </c>
      <c r="F140">
        <v>105</v>
      </c>
      <c r="G140">
        <v>85</v>
      </c>
      <c r="H140">
        <v>125</v>
      </c>
      <c r="I140">
        <v>75</v>
      </c>
      <c r="J140">
        <v>45</v>
      </c>
      <c r="K140">
        <v>530</v>
      </c>
    </row>
    <row r="141" spans="1:11" x14ac:dyDescent="0.25">
      <c r="A141" t="s">
        <v>461</v>
      </c>
      <c r="B141" t="s">
        <v>460</v>
      </c>
      <c r="C141" t="s">
        <v>132</v>
      </c>
      <c r="E141">
        <v>50</v>
      </c>
      <c r="F141">
        <v>50</v>
      </c>
      <c r="G141">
        <v>95</v>
      </c>
      <c r="H141">
        <v>40</v>
      </c>
      <c r="I141">
        <v>50</v>
      </c>
      <c r="J141">
        <v>35</v>
      </c>
      <c r="K141">
        <v>320</v>
      </c>
    </row>
    <row r="142" spans="1:11" x14ac:dyDescent="0.25">
      <c r="A142" t="s">
        <v>464</v>
      </c>
      <c r="B142" t="s">
        <v>463</v>
      </c>
      <c r="C142" t="s">
        <v>132</v>
      </c>
      <c r="E142">
        <v>60</v>
      </c>
      <c r="F142">
        <v>80</v>
      </c>
      <c r="G142">
        <v>110</v>
      </c>
      <c r="H142">
        <v>50</v>
      </c>
      <c r="I142">
        <v>80</v>
      </c>
      <c r="J142">
        <v>45</v>
      </c>
      <c r="K142">
        <v>425</v>
      </c>
    </row>
    <row r="143" spans="1:11" x14ac:dyDescent="0.25">
      <c r="A143" t="s">
        <v>466</v>
      </c>
      <c r="B143" t="s">
        <v>465</v>
      </c>
      <c r="C143" t="s">
        <v>57</v>
      </c>
      <c r="D143" t="s">
        <v>419</v>
      </c>
      <c r="E143">
        <v>60</v>
      </c>
      <c r="F143">
        <v>80</v>
      </c>
      <c r="G143">
        <v>110</v>
      </c>
      <c r="H143">
        <v>50</v>
      </c>
      <c r="I143">
        <v>80</v>
      </c>
      <c r="J143">
        <v>45</v>
      </c>
      <c r="K143">
        <v>425</v>
      </c>
    </row>
    <row r="144" spans="1:11" x14ac:dyDescent="0.25">
      <c r="A144" t="s">
        <v>468</v>
      </c>
      <c r="B144" t="s">
        <v>467</v>
      </c>
      <c r="C144" t="s">
        <v>279</v>
      </c>
      <c r="E144">
        <v>50</v>
      </c>
      <c r="F144">
        <v>120</v>
      </c>
      <c r="G144">
        <v>53</v>
      </c>
      <c r="H144">
        <v>35</v>
      </c>
      <c r="I144">
        <v>110</v>
      </c>
      <c r="J144">
        <v>87</v>
      </c>
      <c r="K144">
        <v>455</v>
      </c>
    </row>
    <row r="145" spans="1:11" x14ac:dyDescent="0.25">
      <c r="A145" t="s">
        <v>472</v>
      </c>
      <c r="B145" t="s">
        <v>471</v>
      </c>
      <c r="C145" t="s">
        <v>279</v>
      </c>
      <c r="E145">
        <v>50</v>
      </c>
      <c r="F145">
        <v>105</v>
      </c>
      <c r="G145">
        <v>79</v>
      </c>
      <c r="H145">
        <v>35</v>
      </c>
      <c r="I145">
        <v>110</v>
      </c>
      <c r="J145">
        <v>76</v>
      </c>
      <c r="K145">
        <v>455</v>
      </c>
    </row>
    <row r="146" spans="1:11" x14ac:dyDescent="0.25">
      <c r="A146" t="s">
        <v>475</v>
      </c>
      <c r="B146" t="s">
        <v>474</v>
      </c>
      <c r="C146" t="s">
        <v>116</v>
      </c>
      <c r="E146">
        <v>90</v>
      </c>
      <c r="F146">
        <v>55</v>
      </c>
      <c r="G146">
        <v>75</v>
      </c>
      <c r="H146">
        <v>60</v>
      </c>
      <c r="I146">
        <v>75</v>
      </c>
      <c r="J146">
        <v>30</v>
      </c>
      <c r="K146">
        <v>385</v>
      </c>
    </row>
    <row r="147" spans="1:11" x14ac:dyDescent="0.25">
      <c r="A147" t="s">
        <v>477</v>
      </c>
      <c r="B147" t="s">
        <v>476</v>
      </c>
      <c r="C147" t="s">
        <v>41</v>
      </c>
      <c r="E147">
        <v>40</v>
      </c>
      <c r="F147">
        <v>65</v>
      </c>
      <c r="G147">
        <v>95</v>
      </c>
      <c r="H147">
        <v>60</v>
      </c>
      <c r="I147">
        <v>45</v>
      </c>
      <c r="J147">
        <v>35</v>
      </c>
      <c r="K147">
        <v>340</v>
      </c>
    </row>
    <row r="148" spans="1:11" x14ac:dyDescent="0.25">
      <c r="A148" t="s">
        <v>480</v>
      </c>
      <c r="B148" t="s">
        <v>479</v>
      </c>
      <c r="C148" t="s">
        <v>41</v>
      </c>
      <c r="E148">
        <v>65</v>
      </c>
      <c r="F148">
        <v>90</v>
      </c>
      <c r="G148">
        <v>120</v>
      </c>
      <c r="H148">
        <v>85</v>
      </c>
      <c r="I148">
        <v>70</v>
      </c>
      <c r="J148">
        <v>60</v>
      </c>
      <c r="K148">
        <v>490</v>
      </c>
    </row>
    <row r="149" spans="1:11" x14ac:dyDescent="0.25">
      <c r="A149" t="s">
        <v>482</v>
      </c>
      <c r="B149" t="s">
        <v>481</v>
      </c>
      <c r="C149" t="s">
        <v>41</v>
      </c>
      <c r="D149" t="s">
        <v>157</v>
      </c>
      <c r="E149">
        <v>65</v>
      </c>
      <c r="F149">
        <v>90</v>
      </c>
      <c r="G149">
        <v>120</v>
      </c>
      <c r="H149">
        <v>85</v>
      </c>
      <c r="I149">
        <v>70</v>
      </c>
      <c r="J149">
        <v>60</v>
      </c>
      <c r="K149">
        <v>490</v>
      </c>
    </row>
    <row r="150" spans="1:11" x14ac:dyDescent="0.25">
      <c r="A150" t="s">
        <v>485</v>
      </c>
      <c r="B150" t="s">
        <v>484</v>
      </c>
      <c r="C150" t="s">
        <v>132</v>
      </c>
      <c r="D150" t="s">
        <v>290</v>
      </c>
      <c r="E150">
        <v>80</v>
      </c>
      <c r="F150">
        <v>85</v>
      </c>
      <c r="G150">
        <v>95</v>
      </c>
      <c r="H150">
        <v>30</v>
      </c>
      <c r="I150">
        <v>30</v>
      </c>
      <c r="J150">
        <v>25</v>
      </c>
      <c r="K150">
        <v>345</v>
      </c>
    </row>
    <row r="151" spans="1:11" x14ac:dyDescent="0.25">
      <c r="A151" t="s">
        <v>487</v>
      </c>
      <c r="B151" t="s">
        <v>486</v>
      </c>
      <c r="C151" t="s">
        <v>132</v>
      </c>
      <c r="D151" t="s">
        <v>290</v>
      </c>
      <c r="E151">
        <v>105</v>
      </c>
      <c r="F151">
        <v>130</v>
      </c>
      <c r="G151">
        <v>120</v>
      </c>
      <c r="H151">
        <v>45</v>
      </c>
      <c r="I151">
        <v>45</v>
      </c>
      <c r="J151">
        <v>40</v>
      </c>
      <c r="K151">
        <v>485</v>
      </c>
    </row>
    <row r="152" spans="1:11" x14ac:dyDescent="0.25">
      <c r="A152" t="s">
        <v>489</v>
      </c>
      <c r="B152" t="s">
        <v>488</v>
      </c>
      <c r="C152" t="s">
        <v>116</v>
      </c>
      <c r="E152">
        <v>250</v>
      </c>
      <c r="F152">
        <v>5</v>
      </c>
      <c r="G152">
        <v>5</v>
      </c>
      <c r="H152">
        <v>35</v>
      </c>
      <c r="I152">
        <v>105</v>
      </c>
      <c r="J152">
        <v>50</v>
      </c>
      <c r="K152">
        <v>450</v>
      </c>
    </row>
    <row r="153" spans="1:11" x14ac:dyDescent="0.25">
      <c r="A153" t="s">
        <v>494</v>
      </c>
      <c r="B153" t="s">
        <v>493</v>
      </c>
      <c r="C153" t="s">
        <v>40</v>
      </c>
      <c r="E153">
        <v>65</v>
      </c>
      <c r="F153">
        <v>55</v>
      </c>
      <c r="G153">
        <v>115</v>
      </c>
      <c r="H153">
        <v>100</v>
      </c>
      <c r="I153">
        <v>40</v>
      </c>
      <c r="J153">
        <v>60</v>
      </c>
      <c r="K153">
        <v>435</v>
      </c>
    </row>
    <row r="154" spans="1:11" x14ac:dyDescent="0.25">
      <c r="A154" t="s">
        <v>497</v>
      </c>
      <c r="B154" t="s">
        <v>496</v>
      </c>
      <c r="C154" t="s">
        <v>116</v>
      </c>
      <c r="E154">
        <v>105</v>
      </c>
      <c r="F154">
        <v>95</v>
      </c>
      <c r="G154">
        <v>80</v>
      </c>
      <c r="H154">
        <v>40</v>
      </c>
      <c r="I154">
        <v>80</v>
      </c>
      <c r="J154">
        <v>90</v>
      </c>
      <c r="K154">
        <v>490</v>
      </c>
    </row>
    <row r="155" spans="1:11" x14ac:dyDescent="0.25">
      <c r="A155" t="s">
        <v>499</v>
      </c>
      <c r="B155" t="s">
        <v>498</v>
      </c>
      <c r="C155" t="s">
        <v>116</v>
      </c>
      <c r="E155">
        <v>105</v>
      </c>
      <c r="F155">
        <v>125</v>
      </c>
      <c r="G155">
        <v>100</v>
      </c>
      <c r="H155">
        <v>60</v>
      </c>
      <c r="I155">
        <v>100</v>
      </c>
      <c r="J155">
        <v>100</v>
      </c>
      <c r="K155">
        <v>590</v>
      </c>
    </row>
    <row r="156" spans="1:11" x14ac:dyDescent="0.25">
      <c r="A156" t="s">
        <v>502</v>
      </c>
      <c r="B156" t="s">
        <v>501</v>
      </c>
      <c r="C156" t="s">
        <v>76</v>
      </c>
      <c r="E156">
        <v>30</v>
      </c>
      <c r="F156">
        <v>40</v>
      </c>
      <c r="G156">
        <v>70</v>
      </c>
      <c r="H156">
        <v>70</v>
      </c>
      <c r="I156">
        <v>25</v>
      </c>
      <c r="J156">
        <v>60</v>
      </c>
      <c r="K156">
        <v>295</v>
      </c>
    </row>
    <row r="157" spans="1:11" x14ac:dyDescent="0.25">
      <c r="A157" t="s">
        <v>504</v>
      </c>
      <c r="B157" t="s">
        <v>503</v>
      </c>
      <c r="C157" t="s">
        <v>76</v>
      </c>
      <c r="E157">
        <v>55</v>
      </c>
      <c r="F157">
        <v>65</v>
      </c>
      <c r="G157">
        <v>95</v>
      </c>
      <c r="H157">
        <v>95</v>
      </c>
      <c r="I157">
        <v>45</v>
      </c>
      <c r="J157">
        <v>85</v>
      </c>
      <c r="K157">
        <v>440</v>
      </c>
    </row>
    <row r="158" spans="1:11" x14ac:dyDescent="0.25">
      <c r="A158" t="s">
        <v>506</v>
      </c>
      <c r="B158" t="s">
        <v>505</v>
      </c>
      <c r="C158" t="s">
        <v>76</v>
      </c>
      <c r="E158">
        <v>45</v>
      </c>
      <c r="F158">
        <v>67</v>
      </c>
      <c r="G158">
        <v>60</v>
      </c>
      <c r="H158">
        <v>35</v>
      </c>
      <c r="I158">
        <v>50</v>
      </c>
      <c r="J158">
        <v>63</v>
      </c>
      <c r="K158">
        <v>320</v>
      </c>
    </row>
    <row r="159" spans="1:11" x14ac:dyDescent="0.25">
      <c r="A159" t="s">
        <v>510</v>
      </c>
      <c r="B159" t="s">
        <v>509</v>
      </c>
      <c r="C159" t="s">
        <v>76</v>
      </c>
      <c r="E159">
        <v>80</v>
      </c>
      <c r="F159">
        <v>92</v>
      </c>
      <c r="G159">
        <v>65</v>
      </c>
      <c r="H159">
        <v>65</v>
      </c>
      <c r="I159">
        <v>80</v>
      </c>
      <c r="J159">
        <v>68</v>
      </c>
      <c r="K159">
        <v>450</v>
      </c>
    </row>
    <row r="160" spans="1:11" x14ac:dyDescent="0.25">
      <c r="A160" t="s">
        <v>512</v>
      </c>
      <c r="B160" t="s">
        <v>511</v>
      </c>
      <c r="C160" t="s">
        <v>76</v>
      </c>
      <c r="E160">
        <v>30</v>
      </c>
      <c r="F160">
        <v>45</v>
      </c>
      <c r="G160">
        <v>55</v>
      </c>
      <c r="H160">
        <v>70</v>
      </c>
      <c r="I160">
        <v>55</v>
      </c>
      <c r="J160">
        <v>85</v>
      </c>
      <c r="K160">
        <v>340</v>
      </c>
    </row>
    <row r="161" spans="1:11" x14ac:dyDescent="0.25">
      <c r="A161" t="s">
        <v>515</v>
      </c>
      <c r="B161" t="s">
        <v>514</v>
      </c>
      <c r="C161" t="s">
        <v>76</v>
      </c>
      <c r="D161" t="s">
        <v>162</v>
      </c>
      <c r="E161">
        <v>60</v>
      </c>
      <c r="F161">
        <v>75</v>
      </c>
      <c r="G161">
        <v>85</v>
      </c>
      <c r="H161">
        <v>100</v>
      </c>
      <c r="I161">
        <v>85</v>
      </c>
      <c r="J161">
        <v>115</v>
      </c>
      <c r="K161">
        <v>520</v>
      </c>
    </row>
    <row r="162" spans="1:11" x14ac:dyDescent="0.25">
      <c r="A162" t="s">
        <v>517</v>
      </c>
      <c r="B162" t="s">
        <v>516</v>
      </c>
      <c r="C162" t="s">
        <v>162</v>
      </c>
      <c r="D162" t="s">
        <v>157</v>
      </c>
      <c r="E162">
        <v>40</v>
      </c>
      <c r="F162">
        <v>45</v>
      </c>
      <c r="G162">
        <v>65</v>
      </c>
      <c r="H162">
        <v>100</v>
      </c>
      <c r="I162">
        <v>120</v>
      </c>
      <c r="J162">
        <v>90</v>
      </c>
      <c r="K162">
        <v>460</v>
      </c>
    </row>
    <row r="163" spans="1:11" x14ac:dyDescent="0.25">
      <c r="A163" t="s">
        <v>520</v>
      </c>
      <c r="B163" t="s">
        <v>519</v>
      </c>
      <c r="C163" t="s">
        <v>170</v>
      </c>
      <c r="D163" t="s">
        <v>162</v>
      </c>
      <c r="E163">
        <v>50</v>
      </c>
      <c r="F163">
        <v>65</v>
      </c>
      <c r="G163">
        <v>65</v>
      </c>
      <c r="H163">
        <v>90</v>
      </c>
      <c r="I163">
        <v>90</v>
      </c>
      <c r="J163">
        <v>100</v>
      </c>
      <c r="K163">
        <v>460</v>
      </c>
    </row>
    <row r="164" spans="1:11" x14ac:dyDescent="0.25">
      <c r="A164" t="s">
        <v>523</v>
      </c>
      <c r="B164" t="s">
        <v>522</v>
      </c>
      <c r="C164" t="s">
        <v>90</v>
      </c>
      <c r="D164" t="s">
        <v>66</v>
      </c>
      <c r="E164">
        <v>70</v>
      </c>
      <c r="F164">
        <v>110</v>
      </c>
      <c r="G164">
        <v>80</v>
      </c>
      <c r="H164">
        <v>55</v>
      </c>
      <c r="I164">
        <v>80</v>
      </c>
      <c r="J164">
        <v>105</v>
      </c>
      <c r="K164">
        <v>500</v>
      </c>
    </row>
    <row r="165" spans="1:11" x14ac:dyDescent="0.25">
      <c r="A165" t="s">
        <v>525</v>
      </c>
      <c r="B165" t="s">
        <v>524</v>
      </c>
      <c r="C165" t="s">
        <v>170</v>
      </c>
      <c r="D165" t="s">
        <v>162</v>
      </c>
      <c r="E165">
        <v>65</v>
      </c>
      <c r="F165">
        <v>50</v>
      </c>
      <c r="G165">
        <v>35</v>
      </c>
      <c r="H165">
        <v>115</v>
      </c>
      <c r="I165">
        <v>95</v>
      </c>
      <c r="J165">
        <v>95</v>
      </c>
      <c r="K165">
        <v>455</v>
      </c>
    </row>
    <row r="166" spans="1:11" x14ac:dyDescent="0.25">
      <c r="A166" t="s">
        <v>527</v>
      </c>
      <c r="B166" t="s">
        <v>526</v>
      </c>
      <c r="C166" t="s">
        <v>154</v>
      </c>
      <c r="E166">
        <v>65</v>
      </c>
      <c r="F166">
        <v>83</v>
      </c>
      <c r="G166">
        <v>57</v>
      </c>
      <c r="H166">
        <v>95</v>
      </c>
      <c r="I166">
        <v>85</v>
      </c>
      <c r="J166">
        <v>105</v>
      </c>
      <c r="K166">
        <v>490</v>
      </c>
    </row>
    <row r="167" spans="1:11" x14ac:dyDescent="0.25">
      <c r="A167" t="s">
        <v>529</v>
      </c>
      <c r="B167" t="s">
        <v>528</v>
      </c>
      <c r="C167" t="s">
        <v>57</v>
      </c>
      <c r="E167">
        <v>65</v>
      </c>
      <c r="F167">
        <v>95</v>
      </c>
      <c r="G167">
        <v>57</v>
      </c>
      <c r="H167">
        <v>100</v>
      </c>
      <c r="I167">
        <v>85</v>
      </c>
      <c r="J167">
        <v>93</v>
      </c>
      <c r="K167">
        <v>495</v>
      </c>
    </row>
    <row r="168" spans="1:11" x14ac:dyDescent="0.25">
      <c r="A168" t="s">
        <v>531</v>
      </c>
      <c r="B168" t="s">
        <v>530</v>
      </c>
      <c r="C168" t="s">
        <v>90</v>
      </c>
      <c r="E168">
        <v>65</v>
      </c>
      <c r="F168">
        <v>125</v>
      </c>
      <c r="G168">
        <v>100</v>
      </c>
      <c r="H168">
        <v>55</v>
      </c>
      <c r="I168">
        <v>70</v>
      </c>
      <c r="J168">
        <v>85</v>
      </c>
      <c r="K168">
        <v>500</v>
      </c>
    </row>
    <row r="169" spans="1:11" x14ac:dyDescent="0.25">
      <c r="A169" t="s">
        <v>535</v>
      </c>
      <c r="B169" t="s">
        <v>534</v>
      </c>
      <c r="C169" t="s">
        <v>90</v>
      </c>
      <c r="D169" t="s">
        <v>66</v>
      </c>
      <c r="E169">
        <v>65</v>
      </c>
      <c r="F169">
        <v>155</v>
      </c>
      <c r="G169">
        <v>120</v>
      </c>
      <c r="H169">
        <v>65</v>
      </c>
      <c r="I169">
        <v>90</v>
      </c>
      <c r="J169">
        <v>105</v>
      </c>
      <c r="K169">
        <v>600</v>
      </c>
    </row>
    <row r="170" spans="1:11" x14ac:dyDescent="0.25">
      <c r="A170" t="s">
        <v>538</v>
      </c>
      <c r="B170" t="s">
        <v>537</v>
      </c>
      <c r="C170" t="s">
        <v>116</v>
      </c>
      <c r="E170">
        <v>75</v>
      </c>
      <c r="F170">
        <v>100</v>
      </c>
      <c r="G170">
        <v>95</v>
      </c>
      <c r="H170">
        <v>40</v>
      </c>
      <c r="I170">
        <v>70</v>
      </c>
      <c r="J170">
        <v>110</v>
      </c>
      <c r="K170">
        <v>490</v>
      </c>
    </row>
    <row r="171" spans="1:11" x14ac:dyDescent="0.25">
      <c r="A171" t="s">
        <v>540</v>
      </c>
      <c r="B171" t="s">
        <v>539</v>
      </c>
      <c r="C171" t="s">
        <v>279</v>
      </c>
      <c r="E171">
        <v>75</v>
      </c>
      <c r="F171">
        <v>110</v>
      </c>
      <c r="G171">
        <v>105</v>
      </c>
      <c r="H171">
        <v>30</v>
      </c>
      <c r="I171">
        <v>70</v>
      </c>
      <c r="J171">
        <v>100</v>
      </c>
      <c r="K171">
        <v>490</v>
      </c>
    </row>
    <row r="172" spans="1:11" x14ac:dyDescent="0.25">
      <c r="A172" t="s">
        <v>543</v>
      </c>
      <c r="B172" t="s">
        <v>542</v>
      </c>
      <c r="C172" t="s">
        <v>279</v>
      </c>
      <c r="D172" t="s">
        <v>57</v>
      </c>
      <c r="E172">
        <v>75</v>
      </c>
      <c r="F172">
        <v>110</v>
      </c>
      <c r="G172">
        <v>105</v>
      </c>
      <c r="H172">
        <v>30</v>
      </c>
      <c r="I172">
        <v>70</v>
      </c>
      <c r="J172">
        <v>100</v>
      </c>
      <c r="K172">
        <v>490</v>
      </c>
    </row>
    <row r="173" spans="1:11" x14ac:dyDescent="0.25">
      <c r="A173" t="s">
        <v>546</v>
      </c>
      <c r="B173" t="s">
        <v>545</v>
      </c>
      <c r="C173" t="s">
        <v>279</v>
      </c>
      <c r="D173" t="s">
        <v>76</v>
      </c>
      <c r="E173">
        <v>75</v>
      </c>
      <c r="F173">
        <v>110</v>
      </c>
      <c r="G173">
        <v>105</v>
      </c>
      <c r="H173">
        <v>30</v>
      </c>
      <c r="I173">
        <v>70</v>
      </c>
      <c r="J173">
        <v>100</v>
      </c>
      <c r="K173">
        <v>490</v>
      </c>
    </row>
    <row r="174" spans="1:11" x14ac:dyDescent="0.25">
      <c r="A174" t="s">
        <v>548</v>
      </c>
      <c r="B174" t="s">
        <v>547</v>
      </c>
      <c r="C174" t="s">
        <v>76</v>
      </c>
      <c r="E174">
        <v>20</v>
      </c>
      <c r="F174">
        <v>10</v>
      </c>
      <c r="G174">
        <v>55</v>
      </c>
      <c r="H174">
        <v>15</v>
      </c>
      <c r="I174">
        <v>20</v>
      </c>
      <c r="J174">
        <v>80</v>
      </c>
      <c r="K174">
        <v>200</v>
      </c>
    </row>
    <row r="175" spans="1:11" x14ac:dyDescent="0.25">
      <c r="A175" t="s">
        <v>550</v>
      </c>
      <c r="B175" t="s">
        <v>549</v>
      </c>
      <c r="C175" t="s">
        <v>76</v>
      </c>
      <c r="D175" t="s">
        <v>66</v>
      </c>
      <c r="E175">
        <v>95</v>
      </c>
      <c r="F175">
        <v>125</v>
      </c>
      <c r="G175">
        <v>79</v>
      </c>
      <c r="H175">
        <v>60</v>
      </c>
      <c r="I175">
        <v>100</v>
      </c>
      <c r="J175">
        <v>81</v>
      </c>
      <c r="K175">
        <v>540</v>
      </c>
    </row>
    <row r="176" spans="1:11" x14ac:dyDescent="0.25">
      <c r="A176" t="s">
        <v>552</v>
      </c>
      <c r="B176" t="s">
        <v>551</v>
      </c>
      <c r="C176" t="s">
        <v>76</v>
      </c>
      <c r="D176" t="s">
        <v>135</v>
      </c>
      <c r="E176">
        <v>95</v>
      </c>
      <c r="F176">
        <v>155</v>
      </c>
      <c r="G176">
        <v>109</v>
      </c>
      <c r="H176">
        <v>70</v>
      </c>
      <c r="I176">
        <v>130</v>
      </c>
      <c r="J176">
        <v>81</v>
      </c>
      <c r="K176">
        <v>640</v>
      </c>
    </row>
    <row r="177" spans="1:11" x14ac:dyDescent="0.25">
      <c r="A177" t="s">
        <v>554</v>
      </c>
      <c r="B177" t="s">
        <v>553</v>
      </c>
      <c r="C177" t="s">
        <v>76</v>
      </c>
      <c r="D177" t="s">
        <v>170</v>
      </c>
      <c r="E177">
        <v>130</v>
      </c>
      <c r="F177">
        <v>85</v>
      </c>
      <c r="G177">
        <v>80</v>
      </c>
      <c r="H177">
        <v>85</v>
      </c>
      <c r="I177">
        <v>95</v>
      </c>
      <c r="J177">
        <v>60</v>
      </c>
      <c r="K177">
        <v>535</v>
      </c>
    </row>
    <row r="178" spans="1:11" x14ac:dyDescent="0.25">
      <c r="A178" t="s">
        <v>556</v>
      </c>
      <c r="B178" t="s">
        <v>555</v>
      </c>
      <c r="C178" t="s">
        <v>116</v>
      </c>
      <c r="E178">
        <v>48</v>
      </c>
      <c r="F178">
        <v>48</v>
      </c>
      <c r="G178">
        <v>48</v>
      </c>
      <c r="H178">
        <v>48</v>
      </c>
      <c r="I178">
        <v>48</v>
      </c>
      <c r="J178">
        <v>48</v>
      </c>
      <c r="K178">
        <v>288</v>
      </c>
    </row>
    <row r="179" spans="1:11" x14ac:dyDescent="0.25">
      <c r="A179" t="s">
        <v>559</v>
      </c>
      <c r="B179" t="s">
        <v>558</v>
      </c>
      <c r="C179" t="s">
        <v>116</v>
      </c>
      <c r="E179">
        <v>55</v>
      </c>
      <c r="F179">
        <v>55</v>
      </c>
      <c r="G179">
        <v>50</v>
      </c>
      <c r="H179">
        <v>45</v>
      </c>
      <c r="I179">
        <v>65</v>
      </c>
      <c r="J179">
        <v>55</v>
      </c>
      <c r="K179">
        <v>325</v>
      </c>
    </row>
    <row r="180" spans="1:11" x14ac:dyDescent="0.25">
      <c r="A180" t="s">
        <v>561</v>
      </c>
      <c r="B180" t="s">
        <v>560</v>
      </c>
      <c r="C180" t="s">
        <v>76</v>
      </c>
      <c r="E180">
        <v>130</v>
      </c>
      <c r="F180">
        <v>65</v>
      </c>
      <c r="G180">
        <v>60</v>
      </c>
      <c r="H180">
        <v>110</v>
      </c>
      <c r="I180">
        <v>95</v>
      </c>
      <c r="J180">
        <v>65</v>
      </c>
      <c r="K180">
        <v>525</v>
      </c>
    </row>
    <row r="181" spans="1:11" x14ac:dyDescent="0.25">
      <c r="A181" t="s">
        <v>563</v>
      </c>
      <c r="B181" t="s">
        <v>562</v>
      </c>
      <c r="C181" t="s">
        <v>154</v>
      </c>
      <c r="E181">
        <v>65</v>
      </c>
      <c r="F181">
        <v>65</v>
      </c>
      <c r="G181">
        <v>60</v>
      </c>
      <c r="H181">
        <v>110</v>
      </c>
      <c r="I181">
        <v>95</v>
      </c>
      <c r="J181">
        <v>130</v>
      </c>
      <c r="K181">
        <v>525</v>
      </c>
    </row>
    <row r="182" spans="1:11" x14ac:dyDescent="0.25">
      <c r="A182" t="s">
        <v>567</v>
      </c>
      <c r="B182" t="s">
        <v>566</v>
      </c>
      <c r="C182" t="s">
        <v>57</v>
      </c>
      <c r="E182">
        <v>65</v>
      </c>
      <c r="F182">
        <v>130</v>
      </c>
      <c r="G182">
        <v>60</v>
      </c>
      <c r="H182">
        <v>95</v>
      </c>
      <c r="I182">
        <v>110</v>
      </c>
      <c r="J182">
        <v>65</v>
      </c>
      <c r="K182">
        <v>525</v>
      </c>
    </row>
    <row r="183" spans="1:11" x14ac:dyDescent="0.25">
      <c r="A183" t="s">
        <v>569</v>
      </c>
      <c r="B183" t="s">
        <v>568</v>
      </c>
      <c r="C183" t="s">
        <v>116</v>
      </c>
      <c r="E183">
        <v>65</v>
      </c>
      <c r="F183">
        <v>60</v>
      </c>
      <c r="G183">
        <v>70</v>
      </c>
      <c r="H183">
        <v>85</v>
      </c>
      <c r="I183">
        <v>75</v>
      </c>
      <c r="J183">
        <v>40</v>
      </c>
      <c r="K183">
        <v>395</v>
      </c>
    </row>
    <row r="184" spans="1:11" x14ac:dyDescent="0.25">
      <c r="A184" t="s">
        <v>572</v>
      </c>
      <c r="B184" t="s">
        <v>571</v>
      </c>
      <c r="C184" t="s">
        <v>290</v>
      </c>
      <c r="D184" t="s">
        <v>76</v>
      </c>
      <c r="E184">
        <v>35</v>
      </c>
      <c r="F184">
        <v>40</v>
      </c>
      <c r="G184">
        <v>100</v>
      </c>
      <c r="H184">
        <v>90</v>
      </c>
      <c r="I184">
        <v>55</v>
      </c>
      <c r="J184">
        <v>35</v>
      </c>
      <c r="K184">
        <v>355</v>
      </c>
    </row>
    <row r="185" spans="1:11" x14ac:dyDescent="0.25">
      <c r="A185" t="s">
        <v>574</v>
      </c>
      <c r="B185" t="s">
        <v>573</v>
      </c>
      <c r="C185" t="s">
        <v>290</v>
      </c>
      <c r="D185" t="s">
        <v>76</v>
      </c>
      <c r="E185">
        <v>70</v>
      </c>
      <c r="F185">
        <v>60</v>
      </c>
      <c r="G185">
        <v>125</v>
      </c>
      <c r="H185">
        <v>115</v>
      </c>
      <c r="I185">
        <v>70</v>
      </c>
      <c r="J185">
        <v>55</v>
      </c>
      <c r="K185">
        <v>495</v>
      </c>
    </row>
    <row r="186" spans="1:11" x14ac:dyDescent="0.25">
      <c r="A186" t="s">
        <v>576</v>
      </c>
      <c r="B186" t="s">
        <v>575</v>
      </c>
      <c r="C186" t="s">
        <v>290</v>
      </c>
      <c r="D186" t="s">
        <v>76</v>
      </c>
      <c r="E186">
        <v>30</v>
      </c>
      <c r="F186">
        <v>80</v>
      </c>
      <c r="G186">
        <v>90</v>
      </c>
      <c r="H186">
        <v>55</v>
      </c>
      <c r="I186">
        <v>45</v>
      </c>
      <c r="J186">
        <v>55</v>
      </c>
      <c r="K186">
        <v>355</v>
      </c>
    </row>
    <row r="187" spans="1:11" x14ac:dyDescent="0.25">
      <c r="A187" t="s">
        <v>578</v>
      </c>
      <c r="B187" t="s">
        <v>577</v>
      </c>
      <c r="C187" t="s">
        <v>290</v>
      </c>
      <c r="D187" t="s">
        <v>76</v>
      </c>
      <c r="E187">
        <v>60</v>
      </c>
      <c r="F187">
        <v>115</v>
      </c>
      <c r="G187">
        <v>105</v>
      </c>
      <c r="H187">
        <v>65</v>
      </c>
      <c r="I187">
        <v>70</v>
      </c>
      <c r="J187">
        <v>80</v>
      </c>
      <c r="K187">
        <v>495</v>
      </c>
    </row>
    <row r="188" spans="1:11" x14ac:dyDescent="0.25">
      <c r="A188" t="s">
        <v>580</v>
      </c>
      <c r="B188" t="s">
        <v>579</v>
      </c>
      <c r="C188" t="s">
        <v>290</v>
      </c>
      <c r="D188" t="s">
        <v>66</v>
      </c>
      <c r="E188">
        <v>80</v>
      </c>
      <c r="F188">
        <v>105</v>
      </c>
      <c r="G188">
        <v>65</v>
      </c>
      <c r="H188">
        <v>60</v>
      </c>
      <c r="I188">
        <v>75</v>
      </c>
      <c r="J188">
        <v>130</v>
      </c>
      <c r="K188">
        <v>515</v>
      </c>
    </row>
    <row r="189" spans="1:11" x14ac:dyDescent="0.25">
      <c r="A189" t="s">
        <v>583</v>
      </c>
      <c r="B189" t="s">
        <v>582</v>
      </c>
      <c r="C189" t="s">
        <v>290</v>
      </c>
      <c r="D189" t="s">
        <v>66</v>
      </c>
      <c r="E189">
        <v>80</v>
      </c>
      <c r="F189">
        <v>135</v>
      </c>
      <c r="G189">
        <v>85</v>
      </c>
      <c r="H189">
        <v>70</v>
      </c>
      <c r="I189">
        <v>95</v>
      </c>
      <c r="J189">
        <v>150</v>
      </c>
      <c r="K189">
        <v>615</v>
      </c>
    </row>
    <row r="190" spans="1:11" x14ac:dyDescent="0.25">
      <c r="A190" t="s">
        <v>585</v>
      </c>
      <c r="B190" t="s">
        <v>584</v>
      </c>
      <c r="C190" t="s">
        <v>116</v>
      </c>
      <c r="E190">
        <v>160</v>
      </c>
      <c r="F190">
        <v>110</v>
      </c>
      <c r="G190">
        <v>65</v>
      </c>
      <c r="H190">
        <v>65</v>
      </c>
      <c r="I190">
        <v>110</v>
      </c>
      <c r="J190">
        <v>30</v>
      </c>
      <c r="K190">
        <v>540</v>
      </c>
    </row>
    <row r="191" spans="1:11" x14ac:dyDescent="0.25">
      <c r="A191" t="s">
        <v>588</v>
      </c>
      <c r="B191" t="s">
        <v>587</v>
      </c>
      <c r="C191" t="s">
        <v>170</v>
      </c>
      <c r="D191" t="s">
        <v>66</v>
      </c>
      <c r="E191">
        <v>90</v>
      </c>
      <c r="F191">
        <v>85</v>
      </c>
      <c r="G191">
        <v>100</v>
      </c>
      <c r="H191">
        <v>95</v>
      </c>
      <c r="I191">
        <v>125</v>
      </c>
      <c r="J191">
        <v>85</v>
      </c>
      <c r="K191">
        <v>580</v>
      </c>
    </row>
    <row r="192" spans="1:11" x14ac:dyDescent="0.25">
      <c r="A192" t="s">
        <v>591</v>
      </c>
      <c r="B192" t="s">
        <v>590</v>
      </c>
      <c r="C192" t="s">
        <v>162</v>
      </c>
      <c r="D192" t="s">
        <v>66</v>
      </c>
      <c r="E192">
        <v>90</v>
      </c>
      <c r="F192">
        <v>85</v>
      </c>
      <c r="G192">
        <v>85</v>
      </c>
      <c r="H192">
        <v>125</v>
      </c>
      <c r="I192">
        <v>100</v>
      </c>
      <c r="J192">
        <v>95</v>
      </c>
      <c r="K192">
        <v>580</v>
      </c>
    </row>
    <row r="193" spans="1:11" x14ac:dyDescent="0.25">
      <c r="A193" t="s">
        <v>593</v>
      </c>
      <c r="B193" t="s">
        <v>592</v>
      </c>
      <c r="C193" t="s">
        <v>154</v>
      </c>
      <c r="D193" t="s">
        <v>66</v>
      </c>
      <c r="E193">
        <v>90</v>
      </c>
      <c r="F193">
        <v>90</v>
      </c>
      <c r="G193">
        <v>85</v>
      </c>
      <c r="H193">
        <v>125</v>
      </c>
      <c r="I193">
        <v>90</v>
      </c>
      <c r="J193">
        <v>100</v>
      </c>
      <c r="K193">
        <v>580</v>
      </c>
    </row>
    <row r="194" spans="1:11" x14ac:dyDescent="0.25">
      <c r="A194" t="s">
        <v>595</v>
      </c>
      <c r="B194" t="s">
        <v>594</v>
      </c>
      <c r="C194" t="s">
        <v>279</v>
      </c>
      <c r="D194" t="s">
        <v>66</v>
      </c>
      <c r="E194">
        <v>90</v>
      </c>
      <c r="F194">
        <v>125</v>
      </c>
      <c r="G194">
        <v>90</v>
      </c>
      <c r="H194">
        <v>85</v>
      </c>
      <c r="I194">
        <v>90</v>
      </c>
      <c r="J194">
        <v>100</v>
      </c>
      <c r="K194">
        <v>580</v>
      </c>
    </row>
    <row r="195" spans="1:11" x14ac:dyDescent="0.25">
      <c r="A195" t="s">
        <v>597</v>
      </c>
      <c r="B195" t="s">
        <v>596</v>
      </c>
      <c r="C195" t="s">
        <v>57</v>
      </c>
      <c r="D195" t="s">
        <v>66</v>
      </c>
      <c r="E195">
        <v>90</v>
      </c>
      <c r="F195">
        <v>100</v>
      </c>
      <c r="G195">
        <v>90</v>
      </c>
      <c r="H195">
        <v>125</v>
      </c>
      <c r="I195">
        <v>85</v>
      </c>
      <c r="J195">
        <v>90</v>
      </c>
      <c r="K195">
        <v>580</v>
      </c>
    </row>
    <row r="196" spans="1:11" x14ac:dyDescent="0.25">
      <c r="A196" t="s">
        <v>599</v>
      </c>
      <c r="B196" t="s">
        <v>598</v>
      </c>
      <c r="C196" t="s">
        <v>135</v>
      </c>
      <c r="D196" t="s">
        <v>66</v>
      </c>
      <c r="E196">
        <v>90</v>
      </c>
      <c r="F196">
        <v>85</v>
      </c>
      <c r="G196">
        <v>90</v>
      </c>
      <c r="H196">
        <v>100</v>
      </c>
      <c r="I196">
        <v>125</v>
      </c>
      <c r="J196">
        <v>90</v>
      </c>
      <c r="K196">
        <v>580</v>
      </c>
    </row>
    <row r="197" spans="1:11" x14ac:dyDescent="0.25">
      <c r="A197" t="s">
        <v>602</v>
      </c>
      <c r="B197" t="s">
        <v>601</v>
      </c>
      <c r="C197" t="s">
        <v>61</v>
      </c>
      <c r="E197">
        <v>41</v>
      </c>
      <c r="F197">
        <v>64</v>
      </c>
      <c r="G197">
        <v>45</v>
      </c>
      <c r="H197">
        <v>50</v>
      </c>
      <c r="I197">
        <v>50</v>
      </c>
      <c r="J197">
        <v>50</v>
      </c>
      <c r="K197">
        <v>300</v>
      </c>
    </row>
    <row r="198" spans="1:11" x14ac:dyDescent="0.25">
      <c r="A198" t="s">
        <v>605</v>
      </c>
      <c r="B198" t="s">
        <v>604</v>
      </c>
      <c r="C198" t="s">
        <v>61</v>
      </c>
      <c r="E198">
        <v>61</v>
      </c>
      <c r="F198">
        <v>84</v>
      </c>
      <c r="G198">
        <v>65</v>
      </c>
      <c r="H198">
        <v>70</v>
      </c>
      <c r="I198">
        <v>70</v>
      </c>
      <c r="J198">
        <v>70</v>
      </c>
      <c r="K198">
        <v>420</v>
      </c>
    </row>
    <row r="199" spans="1:11" x14ac:dyDescent="0.25">
      <c r="A199" t="s">
        <v>607</v>
      </c>
      <c r="B199" t="s">
        <v>606</v>
      </c>
      <c r="C199" t="s">
        <v>61</v>
      </c>
      <c r="D199" t="s">
        <v>66</v>
      </c>
      <c r="E199">
        <v>91</v>
      </c>
      <c r="F199">
        <v>134</v>
      </c>
      <c r="G199">
        <v>95</v>
      </c>
      <c r="H199">
        <v>100</v>
      </c>
      <c r="I199">
        <v>100</v>
      </c>
      <c r="J199">
        <v>80</v>
      </c>
      <c r="K199">
        <v>600</v>
      </c>
    </row>
    <row r="200" spans="1:11" x14ac:dyDescent="0.25">
      <c r="A200" t="s">
        <v>610</v>
      </c>
      <c r="B200" t="s">
        <v>609</v>
      </c>
      <c r="C200" t="s">
        <v>162</v>
      </c>
      <c r="E200">
        <v>106</v>
      </c>
      <c r="F200">
        <v>110</v>
      </c>
      <c r="G200">
        <v>90</v>
      </c>
      <c r="H200">
        <v>154</v>
      </c>
      <c r="I200">
        <v>90</v>
      </c>
      <c r="J200">
        <v>130</v>
      </c>
      <c r="K200">
        <v>680</v>
      </c>
    </row>
    <row r="201" spans="1:11" x14ac:dyDescent="0.25">
      <c r="A201" t="s">
        <v>613</v>
      </c>
      <c r="B201" t="s">
        <v>612</v>
      </c>
      <c r="C201" t="s">
        <v>162</v>
      </c>
      <c r="D201" t="s">
        <v>279</v>
      </c>
      <c r="E201">
        <v>106</v>
      </c>
      <c r="F201">
        <v>190</v>
      </c>
      <c r="G201">
        <v>100</v>
      </c>
      <c r="H201">
        <v>154</v>
      </c>
      <c r="I201">
        <v>100</v>
      </c>
      <c r="J201">
        <v>130</v>
      </c>
      <c r="K201">
        <v>780</v>
      </c>
    </row>
    <row r="202" spans="1:11" x14ac:dyDescent="0.25">
      <c r="A202" t="s">
        <v>615</v>
      </c>
      <c r="B202" t="s">
        <v>614</v>
      </c>
      <c r="C202" t="s">
        <v>162</v>
      </c>
      <c r="E202">
        <v>106</v>
      </c>
      <c r="F202">
        <v>150</v>
      </c>
      <c r="G202">
        <v>70</v>
      </c>
      <c r="H202">
        <v>194</v>
      </c>
      <c r="I202">
        <v>120</v>
      </c>
      <c r="J202">
        <v>140</v>
      </c>
      <c r="K202">
        <v>780</v>
      </c>
    </row>
    <row r="203" spans="1:11" x14ac:dyDescent="0.25">
      <c r="A203" t="s">
        <v>617</v>
      </c>
      <c r="B203" t="s">
        <v>616</v>
      </c>
      <c r="C203" t="s">
        <v>162</v>
      </c>
      <c r="E203">
        <v>100</v>
      </c>
      <c r="F203">
        <v>100</v>
      </c>
      <c r="G203">
        <v>100</v>
      </c>
      <c r="H203">
        <v>100</v>
      </c>
      <c r="I203">
        <v>100</v>
      </c>
      <c r="J203">
        <v>100</v>
      </c>
      <c r="K203">
        <v>600</v>
      </c>
    </row>
    <row r="204" spans="1:11" x14ac:dyDescent="0.25">
      <c r="A204" t="s">
        <v>620</v>
      </c>
      <c r="B204" t="s">
        <v>619</v>
      </c>
      <c r="C204" t="s">
        <v>40</v>
      </c>
      <c r="E204">
        <v>45</v>
      </c>
      <c r="F204">
        <v>49</v>
      </c>
      <c r="G204">
        <v>65</v>
      </c>
      <c r="H204">
        <v>49</v>
      </c>
      <c r="I204">
        <v>65</v>
      </c>
      <c r="J204">
        <v>45</v>
      </c>
      <c r="K204">
        <v>318</v>
      </c>
    </row>
    <row r="205" spans="1:11" x14ac:dyDescent="0.25">
      <c r="A205" t="s">
        <v>622</v>
      </c>
      <c r="B205" t="s">
        <v>621</v>
      </c>
      <c r="C205" t="s">
        <v>40</v>
      </c>
      <c r="E205">
        <v>60</v>
      </c>
      <c r="F205">
        <v>62</v>
      </c>
      <c r="G205">
        <v>80</v>
      </c>
      <c r="H205">
        <v>63</v>
      </c>
      <c r="I205">
        <v>80</v>
      </c>
      <c r="J205">
        <v>60</v>
      </c>
      <c r="K205">
        <v>405</v>
      </c>
    </row>
    <row r="206" spans="1:11" x14ac:dyDescent="0.25">
      <c r="A206" t="s">
        <v>624</v>
      </c>
      <c r="B206" t="s">
        <v>623</v>
      </c>
      <c r="C206" t="s">
        <v>40</v>
      </c>
      <c r="E206">
        <v>80</v>
      </c>
      <c r="F206">
        <v>82</v>
      </c>
      <c r="G206">
        <v>100</v>
      </c>
      <c r="H206">
        <v>83</v>
      </c>
      <c r="I206">
        <v>100</v>
      </c>
      <c r="J206">
        <v>80</v>
      </c>
      <c r="K206">
        <v>525</v>
      </c>
    </row>
    <row r="207" spans="1:11" x14ac:dyDescent="0.25">
      <c r="A207" t="s">
        <v>626</v>
      </c>
      <c r="B207" t="s">
        <v>625</v>
      </c>
      <c r="C207" t="s">
        <v>57</v>
      </c>
      <c r="E207">
        <v>39</v>
      </c>
      <c r="F207">
        <v>52</v>
      </c>
      <c r="G207">
        <v>43</v>
      </c>
      <c r="H207">
        <v>60</v>
      </c>
      <c r="I207">
        <v>50</v>
      </c>
      <c r="J207">
        <v>65</v>
      </c>
      <c r="K207">
        <v>309</v>
      </c>
    </row>
    <row r="208" spans="1:11" x14ac:dyDescent="0.25">
      <c r="A208" t="s">
        <v>628</v>
      </c>
      <c r="B208" t="s">
        <v>627</v>
      </c>
      <c r="C208" t="s">
        <v>57</v>
      </c>
      <c r="E208">
        <v>58</v>
      </c>
      <c r="F208">
        <v>64</v>
      </c>
      <c r="G208">
        <v>58</v>
      </c>
      <c r="H208">
        <v>80</v>
      </c>
      <c r="I208">
        <v>65</v>
      </c>
      <c r="J208">
        <v>80</v>
      </c>
      <c r="K208">
        <v>405</v>
      </c>
    </row>
    <row r="209" spans="1:11" x14ac:dyDescent="0.25">
      <c r="A209" t="s">
        <v>630</v>
      </c>
      <c r="B209" t="s">
        <v>629</v>
      </c>
      <c r="C209" t="s">
        <v>57</v>
      </c>
      <c r="E209">
        <v>78</v>
      </c>
      <c r="F209">
        <v>84</v>
      </c>
      <c r="G209">
        <v>78</v>
      </c>
      <c r="H209">
        <v>109</v>
      </c>
      <c r="I209">
        <v>85</v>
      </c>
      <c r="J209">
        <v>100</v>
      </c>
      <c r="K209">
        <v>534</v>
      </c>
    </row>
    <row r="210" spans="1:11" x14ac:dyDescent="0.25">
      <c r="A210" t="s">
        <v>632</v>
      </c>
      <c r="B210" t="s">
        <v>631</v>
      </c>
      <c r="C210" t="s">
        <v>57</v>
      </c>
      <c r="D210" t="s">
        <v>419</v>
      </c>
      <c r="E210">
        <v>73</v>
      </c>
      <c r="F210">
        <v>84</v>
      </c>
      <c r="G210">
        <v>78</v>
      </c>
      <c r="H210">
        <v>119</v>
      </c>
      <c r="I210">
        <v>85</v>
      </c>
      <c r="J210">
        <v>95</v>
      </c>
      <c r="K210">
        <v>534</v>
      </c>
    </row>
    <row r="211" spans="1:11" x14ac:dyDescent="0.25">
      <c r="A211" t="s">
        <v>634</v>
      </c>
      <c r="B211" t="s">
        <v>633</v>
      </c>
      <c r="C211" t="s">
        <v>76</v>
      </c>
      <c r="E211">
        <v>50</v>
      </c>
      <c r="F211">
        <v>65</v>
      </c>
      <c r="G211">
        <v>64</v>
      </c>
      <c r="H211">
        <v>44</v>
      </c>
      <c r="I211">
        <v>48</v>
      </c>
      <c r="J211">
        <v>43</v>
      </c>
      <c r="K211">
        <v>314</v>
      </c>
    </row>
    <row r="212" spans="1:11" x14ac:dyDescent="0.25">
      <c r="A212" t="s">
        <v>636</v>
      </c>
      <c r="B212" t="s">
        <v>635</v>
      </c>
      <c r="C212" t="s">
        <v>76</v>
      </c>
      <c r="E212">
        <v>65</v>
      </c>
      <c r="F212">
        <v>80</v>
      </c>
      <c r="G212">
        <v>80</v>
      </c>
      <c r="H212">
        <v>59</v>
      </c>
      <c r="I212">
        <v>63</v>
      </c>
      <c r="J212">
        <v>58</v>
      </c>
      <c r="K212">
        <v>405</v>
      </c>
    </row>
    <row r="213" spans="1:11" x14ac:dyDescent="0.25">
      <c r="A213" t="s">
        <v>638</v>
      </c>
      <c r="B213" t="s">
        <v>637</v>
      </c>
      <c r="C213" t="s">
        <v>76</v>
      </c>
      <c r="E213">
        <v>85</v>
      </c>
      <c r="F213">
        <v>105</v>
      </c>
      <c r="G213">
        <v>100</v>
      </c>
      <c r="H213">
        <v>79</v>
      </c>
      <c r="I213">
        <v>83</v>
      </c>
      <c r="J213">
        <v>78</v>
      </c>
      <c r="K213">
        <v>530</v>
      </c>
    </row>
    <row r="214" spans="1:11" x14ac:dyDescent="0.25">
      <c r="A214" t="s">
        <v>640</v>
      </c>
      <c r="B214" t="s">
        <v>639</v>
      </c>
      <c r="C214" t="s">
        <v>116</v>
      </c>
      <c r="E214">
        <v>35</v>
      </c>
      <c r="F214">
        <v>46</v>
      </c>
      <c r="G214">
        <v>34</v>
      </c>
      <c r="H214">
        <v>35</v>
      </c>
      <c r="I214">
        <v>45</v>
      </c>
      <c r="J214">
        <v>20</v>
      </c>
      <c r="K214">
        <v>215</v>
      </c>
    </row>
    <row r="215" spans="1:11" x14ac:dyDescent="0.25">
      <c r="A215" t="s">
        <v>642</v>
      </c>
      <c r="B215" t="s">
        <v>641</v>
      </c>
      <c r="C215" t="s">
        <v>116</v>
      </c>
      <c r="E215">
        <v>85</v>
      </c>
      <c r="F215">
        <v>76</v>
      </c>
      <c r="G215">
        <v>64</v>
      </c>
      <c r="H215">
        <v>45</v>
      </c>
      <c r="I215">
        <v>55</v>
      </c>
      <c r="J215">
        <v>90</v>
      </c>
      <c r="K215">
        <v>415</v>
      </c>
    </row>
    <row r="216" spans="1:11" x14ac:dyDescent="0.25">
      <c r="A216" t="s">
        <v>644</v>
      </c>
      <c r="B216" t="s">
        <v>643</v>
      </c>
      <c r="C216" t="s">
        <v>116</v>
      </c>
      <c r="D216" t="s">
        <v>66</v>
      </c>
      <c r="E216">
        <v>60</v>
      </c>
      <c r="F216">
        <v>30</v>
      </c>
      <c r="G216">
        <v>30</v>
      </c>
      <c r="H216">
        <v>36</v>
      </c>
      <c r="I216">
        <v>56</v>
      </c>
      <c r="J216">
        <v>50</v>
      </c>
      <c r="K216">
        <v>262</v>
      </c>
    </row>
    <row r="217" spans="1:11" x14ac:dyDescent="0.25">
      <c r="A217" t="s">
        <v>646</v>
      </c>
      <c r="B217" t="s">
        <v>645</v>
      </c>
      <c r="C217" t="s">
        <v>116</v>
      </c>
      <c r="D217" t="s">
        <v>66</v>
      </c>
      <c r="E217">
        <v>100</v>
      </c>
      <c r="F217">
        <v>50</v>
      </c>
      <c r="G217">
        <v>50</v>
      </c>
      <c r="H217">
        <v>86</v>
      </c>
      <c r="I217">
        <v>96</v>
      </c>
      <c r="J217">
        <v>70</v>
      </c>
      <c r="K217">
        <v>452</v>
      </c>
    </row>
    <row r="218" spans="1:11" x14ac:dyDescent="0.25">
      <c r="A218" t="s">
        <v>648</v>
      </c>
      <c r="B218" t="s">
        <v>647</v>
      </c>
      <c r="C218" t="s">
        <v>90</v>
      </c>
      <c r="D218" t="s">
        <v>66</v>
      </c>
      <c r="E218">
        <v>40</v>
      </c>
      <c r="F218">
        <v>20</v>
      </c>
      <c r="G218">
        <v>30</v>
      </c>
      <c r="H218">
        <v>40</v>
      </c>
      <c r="I218">
        <v>80</v>
      </c>
      <c r="J218">
        <v>55</v>
      </c>
      <c r="K218">
        <v>265</v>
      </c>
    </row>
    <row r="219" spans="1:11" x14ac:dyDescent="0.25">
      <c r="A219" t="s">
        <v>650</v>
      </c>
      <c r="B219" t="s">
        <v>649</v>
      </c>
      <c r="C219" t="s">
        <v>90</v>
      </c>
      <c r="D219" t="s">
        <v>66</v>
      </c>
      <c r="E219">
        <v>55</v>
      </c>
      <c r="F219">
        <v>35</v>
      </c>
      <c r="G219">
        <v>50</v>
      </c>
      <c r="H219">
        <v>55</v>
      </c>
      <c r="I219">
        <v>110</v>
      </c>
      <c r="J219">
        <v>85</v>
      </c>
      <c r="K219">
        <v>390</v>
      </c>
    </row>
    <row r="220" spans="1:11" x14ac:dyDescent="0.25">
      <c r="A220" t="s">
        <v>652</v>
      </c>
      <c r="B220" t="s">
        <v>651</v>
      </c>
      <c r="C220" t="s">
        <v>90</v>
      </c>
      <c r="D220" t="s">
        <v>41</v>
      </c>
      <c r="E220">
        <v>40</v>
      </c>
      <c r="F220">
        <v>60</v>
      </c>
      <c r="G220">
        <v>40</v>
      </c>
      <c r="H220">
        <v>40</v>
      </c>
      <c r="I220">
        <v>40</v>
      </c>
      <c r="J220">
        <v>30</v>
      </c>
      <c r="K220">
        <v>250</v>
      </c>
    </row>
    <row r="221" spans="1:11" x14ac:dyDescent="0.25">
      <c r="A221" t="s">
        <v>654</v>
      </c>
      <c r="B221" t="s">
        <v>653</v>
      </c>
      <c r="C221" t="s">
        <v>90</v>
      </c>
      <c r="D221" t="s">
        <v>41</v>
      </c>
      <c r="E221">
        <v>70</v>
      </c>
      <c r="F221">
        <v>90</v>
      </c>
      <c r="G221">
        <v>70</v>
      </c>
      <c r="H221">
        <v>60</v>
      </c>
      <c r="I221">
        <v>70</v>
      </c>
      <c r="J221">
        <v>40</v>
      </c>
      <c r="K221">
        <v>400</v>
      </c>
    </row>
    <row r="222" spans="1:11" x14ac:dyDescent="0.25">
      <c r="A222" t="s">
        <v>656</v>
      </c>
      <c r="B222" t="s">
        <v>655</v>
      </c>
      <c r="C222" t="s">
        <v>41</v>
      </c>
      <c r="D222" t="s">
        <v>66</v>
      </c>
      <c r="E222">
        <v>85</v>
      </c>
      <c r="F222">
        <v>90</v>
      </c>
      <c r="G222">
        <v>80</v>
      </c>
      <c r="H222">
        <v>70</v>
      </c>
      <c r="I222">
        <v>80</v>
      </c>
      <c r="J222">
        <v>130</v>
      </c>
      <c r="K222">
        <v>535</v>
      </c>
    </row>
    <row r="223" spans="1:11" x14ac:dyDescent="0.25">
      <c r="A223" t="s">
        <v>658</v>
      </c>
      <c r="B223" t="s">
        <v>657</v>
      </c>
      <c r="C223" t="s">
        <v>76</v>
      </c>
      <c r="D223" t="s">
        <v>154</v>
      </c>
      <c r="E223">
        <v>75</v>
      </c>
      <c r="F223">
        <v>38</v>
      </c>
      <c r="G223">
        <v>38</v>
      </c>
      <c r="H223">
        <v>56</v>
      </c>
      <c r="I223">
        <v>56</v>
      </c>
      <c r="J223">
        <v>67</v>
      </c>
      <c r="K223">
        <v>330</v>
      </c>
    </row>
    <row r="224" spans="1:11" x14ac:dyDescent="0.25">
      <c r="A224" t="s">
        <v>660</v>
      </c>
      <c r="B224" t="s">
        <v>659</v>
      </c>
      <c r="C224" t="s">
        <v>76</v>
      </c>
      <c r="D224" t="s">
        <v>154</v>
      </c>
      <c r="E224">
        <v>125</v>
      </c>
      <c r="F224">
        <v>58</v>
      </c>
      <c r="G224">
        <v>58</v>
      </c>
      <c r="H224">
        <v>76</v>
      </c>
      <c r="I224">
        <v>76</v>
      </c>
      <c r="J224">
        <v>67</v>
      </c>
      <c r="K224">
        <v>460</v>
      </c>
    </row>
    <row r="225" spans="1:11" x14ac:dyDescent="0.25">
      <c r="A225" t="s">
        <v>662</v>
      </c>
      <c r="B225" t="s">
        <v>661</v>
      </c>
      <c r="C225" t="s">
        <v>154</v>
      </c>
      <c r="E225">
        <v>20</v>
      </c>
      <c r="F225">
        <v>40</v>
      </c>
      <c r="G225">
        <v>15</v>
      </c>
      <c r="H225">
        <v>35</v>
      </c>
      <c r="I225">
        <v>35</v>
      </c>
      <c r="J225">
        <v>60</v>
      </c>
      <c r="K225">
        <v>205</v>
      </c>
    </row>
    <row r="226" spans="1:11" x14ac:dyDescent="0.25">
      <c r="A226" t="s">
        <v>664</v>
      </c>
      <c r="B226" t="s">
        <v>663</v>
      </c>
      <c r="C226" t="s">
        <v>157</v>
      </c>
      <c r="E226">
        <v>50</v>
      </c>
      <c r="F226">
        <v>25</v>
      </c>
      <c r="G226">
        <v>28</v>
      </c>
      <c r="H226">
        <v>45</v>
      </c>
      <c r="I226">
        <v>55</v>
      </c>
      <c r="J226">
        <v>15</v>
      </c>
      <c r="K226">
        <v>218</v>
      </c>
    </row>
    <row r="227" spans="1:11" x14ac:dyDescent="0.25">
      <c r="A227" t="s">
        <v>666</v>
      </c>
      <c r="B227" t="s">
        <v>665</v>
      </c>
      <c r="C227" t="s">
        <v>116</v>
      </c>
      <c r="D227" t="s">
        <v>157</v>
      </c>
      <c r="E227">
        <v>90</v>
      </c>
      <c r="F227">
        <v>30</v>
      </c>
      <c r="G227">
        <v>15</v>
      </c>
      <c r="H227">
        <v>40</v>
      </c>
      <c r="I227">
        <v>20</v>
      </c>
      <c r="J227">
        <v>15</v>
      </c>
      <c r="K227">
        <v>210</v>
      </c>
    </row>
    <row r="228" spans="1:11" x14ac:dyDescent="0.25">
      <c r="A228" t="s">
        <v>668</v>
      </c>
      <c r="B228" t="s">
        <v>667</v>
      </c>
      <c r="C228" t="s">
        <v>157</v>
      </c>
      <c r="E228">
        <v>35</v>
      </c>
      <c r="F228">
        <v>20</v>
      </c>
      <c r="G228">
        <v>65</v>
      </c>
      <c r="H228">
        <v>40</v>
      </c>
      <c r="I228">
        <v>65</v>
      </c>
      <c r="J228">
        <v>20</v>
      </c>
      <c r="K228">
        <v>245</v>
      </c>
    </row>
    <row r="229" spans="1:11" x14ac:dyDescent="0.25">
      <c r="A229" t="s">
        <v>671</v>
      </c>
      <c r="B229" t="s">
        <v>670</v>
      </c>
      <c r="C229" t="s">
        <v>157</v>
      </c>
      <c r="D229" t="s">
        <v>66</v>
      </c>
      <c r="E229">
        <v>55</v>
      </c>
      <c r="F229">
        <v>40</v>
      </c>
      <c r="G229">
        <v>85</v>
      </c>
      <c r="H229">
        <v>80</v>
      </c>
      <c r="I229">
        <v>105</v>
      </c>
      <c r="J229">
        <v>40</v>
      </c>
      <c r="K229">
        <v>405</v>
      </c>
    </row>
    <row r="230" spans="1:11" x14ac:dyDescent="0.25">
      <c r="A230" t="s">
        <v>673</v>
      </c>
      <c r="B230" t="s">
        <v>672</v>
      </c>
      <c r="C230" t="s">
        <v>162</v>
      </c>
      <c r="D230" t="s">
        <v>66</v>
      </c>
      <c r="E230">
        <v>40</v>
      </c>
      <c r="F230">
        <v>50</v>
      </c>
      <c r="G230">
        <v>45</v>
      </c>
      <c r="H230">
        <v>70</v>
      </c>
      <c r="I230">
        <v>45</v>
      </c>
      <c r="J230">
        <v>70</v>
      </c>
      <c r="K230">
        <v>320</v>
      </c>
    </row>
    <row r="231" spans="1:11" x14ac:dyDescent="0.25">
      <c r="A231" t="s">
        <v>676</v>
      </c>
      <c r="B231" t="s">
        <v>675</v>
      </c>
      <c r="C231" t="s">
        <v>162</v>
      </c>
      <c r="D231" t="s">
        <v>66</v>
      </c>
      <c r="E231">
        <v>65</v>
      </c>
      <c r="F231">
        <v>75</v>
      </c>
      <c r="G231">
        <v>70</v>
      </c>
      <c r="H231">
        <v>95</v>
      </c>
      <c r="I231">
        <v>70</v>
      </c>
      <c r="J231">
        <v>95</v>
      </c>
      <c r="K231">
        <v>470</v>
      </c>
    </row>
    <row r="232" spans="1:11" x14ac:dyDescent="0.25">
      <c r="A232" t="s">
        <v>678</v>
      </c>
      <c r="B232" t="s">
        <v>677</v>
      </c>
      <c r="C232" t="s">
        <v>154</v>
      </c>
      <c r="E232">
        <v>55</v>
      </c>
      <c r="F232">
        <v>40</v>
      </c>
      <c r="G232">
        <v>40</v>
      </c>
      <c r="H232">
        <v>65</v>
      </c>
      <c r="I232">
        <v>45</v>
      </c>
      <c r="J232">
        <v>35</v>
      </c>
      <c r="K232">
        <v>280</v>
      </c>
    </row>
    <row r="233" spans="1:11" x14ac:dyDescent="0.25">
      <c r="A233" t="s">
        <v>681</v>
      </c>
      <c r="B233" t="s">
        <v>680</v>
      </c>
      <c r="C233" t="s">
        <v>154</v>
      </c>
      <c r="E233">
        <v>70</v>
      </c>
      <c r="F233">
        <v>55</v>
      </c>
      <c r="G233">
        <v>55</v>
      </c>
      <c r="H233">
        <v>80</v>
      </c>
      <c r="I233">
        <v>60</v>
      </c>
      <c r="J233">
        <v>45</v>
      </c>
      <c r="K233">
        <v>365</v>
      </c>
    </row>
    <row r="234" spans="1:11" x14ac:dyDescent="0.25">
      <c r="A234" t="s">
        <v>683</v>
      </c>
      <c r="B234" t="s">
        <v>682</v>
      </c>
      <c r="C234" t="s">
        <v>154</v>
      </c>
      <c r="E234">
        <v>90</v>
      </c>
      <c r="F234">
        <v>75</v>
      </c>
      <c r="G234">
        <v>85</v>
      </c>
      <c r="H234">
        <v>115</v>
      </c>
      <c r="I234">
        <v>90</v>
      </c>
      <c r="J234">
        <v>55</v>
      </c>
      <c r="K234">
        <v>510</v>
      </c>
    </row>
    <row r="235" spans="1:11" x14ac:dyDescent="0.25">
      <c r="A235" t="s">
        <v>685</v>
      </c>
      <c r="B235" t="s">
        <v>684</v>
      </c>
      <c r="C235" t="s">
        <v>154</v>
      </c>
      <c r="D235" t="s">
        <v>61</v>
      </c>
      <c r="E235">
        <v>90</v>
      </c>
      <c r="F235">
        <v>95</v>
      </c>
      <c r="G235">
        <v>105</v>
      </c>
      <c r="H235">
        <v>165</v>
      </c>
      <c r="I235">
        <v>110</v>
      </c>
      <c r="J235">
        <v>45</v>
      </c>
      <c r="K235">
        <v>610</v>
      </c>
    </row>
    <row r="236" spans="1:11" x14ac:dyDescent="0.25">
      <c r="A236" t="s">
        <v>687</v>
      </c>
      <c r="B236" t="s">
        <v>686</v>
      </c>
      <c r="C236" t="s">
        <v>40</v>
      </c>
      <c r="E236">
        <v>75</v>
      </c>
      <c r="F236">
        <v>80</v>
      </c>
      <c r="G236">
        <v>95</v>
      </c>
      <c r="H236">
        <v>90</v>
      </c>
      <c r="I236">
        <v>100</v>
      </c>
      <c r="J236">
        <v>50</v>
      </c>
      <c r="K236">
        <v>490</v>
      </c>
    </row>
    <row r="237" spans="1:11" x14ac:dyDescent="0.25">
      <c r="A237" t="s">
        <v>689</v>
      </c>
      <c r="B237" t="s">
        <v>688</v>
      </c>
      <c r="C237" t="s">
        <v>76</v>
      </c>
      <c r="D237" t="s">
        <v>157</v>
      </c>
      <c r="E237">
        <v>70</v>
      </c>
      <c r="F237">
        <v>20</v>
      </c>
      <c r="G237">
        <v>50</v>
      </c>
      <c r="H237">
        <v>20</v>
      </c>
      <c r="I237">
        <v>50</v>
      </c>
      <c r="J237">
        <v>40</v>
      </c>
      <c r="K237">
        <v>250</v>
      </c>
    </row>
    <row r="238" spans="1:11" x14ac:dyDescent="0.25">
      <c r="A238" t="s">
        <v>693</v>
      </c>
      <c r="B238" t="s">
        <v>692</v>
      </c>
      <c r="C238" t="s">
        <v>76</v>
      </c>
      <c r="D238" t="s">
        <v>157</v>
      </c>
      <c r="E238">
        <v>100</v>
      </c>
      <c r="F238">
        <v>50</v>
      </c>
      <c r="G238">
        <v>80</v>
      </c>
      <c r="H238">
        <v>60</v>
      </c>
      <c r="I238">
        <v>80</v>
      </c>
      <c r="J238">
        <v>50</v>
      </c>
      <c r="K238">
        <v>420</v>
      </c>
    </row>
    <row r="239" spans="1:11" x14ac:dyDescent="0.25">
      <c r="A239" t="s">
        <v>695</v>
      </c>
      <c r="B239" t="s">
        <v>694</v>
      </c>
      <c r="C239" t="s">
        <v>290</v>
      </c>
      <c r="E239">
        <v>70</v>
      </c>
      <c r="F239">
        <v>100</v>
      </c>
      <c r="G239">
        <v>115</v>
      </c>
      <c r="H239">
        <v>30</v>
      </c>
      <c r="I239">
        <v>65</v>
      </c>
      <c r="J239">
        <v>30</v>
      </c>
      <c r="K239">
        <v>410</v>
      </c>
    </row>
    <row r="240" spans="1:11" x14ac:dyDescent="0.25">
      <c r="A240" t="s">
        <v>697</v>
      </c>
      <c r="B240" t="s">
        <v>696</v>
      </c>
      <c r="C240" t="s">
        <v>76</v>
      </c>
      <c r="E240">
        <v>90</v>
      </c>
      <c r="F240">
        <v>75</v>
      </c>
      <c r="G240">
        <v>75</v>
      </c>
      <c r="H240">
        <v>90</v>
      </c>
      <c r="I240">
        <v>100</v>
      </c>
      <c r="J240">
        <v>70</v>
      </c>
      <c r="K240">
        <v>500</v>
      </c>
    </row>
    <row r="241" spans="1:11" x14ac:dyDescent="0.25">
      <c r="A241" t="s">
        <v>700</v>
      </c>
      <c r="B241" t="s">
        <v>699</v>
      </c>
      <c r="C241" t="s">
        <v>40</v>
      </c>
      <c r="D241" t="s">
        <v>66</v>
      </c>
      <c r="E241">
        <v>35</v>
      </c>
      <c r="F241">
        <v>35</v>
      </c>
      <c r="G241">
        <v>40</v>
      </c>
      <c r="H241">
        <v>35</v>
      </c>
      <c r="I241">
        <v>55</v>
      </c>
      <c r="J241">
        <v>50</v>
      </c>
      <c r="K241">
        <v>250</v>
      </c>
    </row>
    <row r="242" spans="1:11" x14ac:dyDescent="0.25">
      <c r="A242" t="s">
        <v>702</v>
      </c>
      <c r="B242" t="s">
        <v>701</v>
      </c>
      <c r="C242" t="s">
        <v>40</v>
      </c>
      <c r="D242" t="s">
        <v>66</v>
      </c>
      <c r="E242">
        <v>55</v>
      </c>
      <c r="F242">
        <v>45</v>
      </c>
      <c r="G242">
        <v>50</v>
      </c>
      <c r="H242">
        <v>45</v>
      </c>
      <c r="I242">
        <v>65</v>
      </c>
      <c r="J242">
        <v>80</v>
      </c>
      <c r="K242">
        <v>340</v>
      </c>
    </row>
    <row r="243" spans="1:11" x14ac:dyDescent="0.25">
      <c r="A243" t="s">
        <v>704</v>
      </c>
      <c r="B243" t="s">
        <v>703</v>
      </c>
      <c r="C243" t="s">
        <v>40</v>
      </c>
      <c r="D243" t="s">
        <v>66</v>
      </c>
      <c r="E243">
        <v>75</v>
      </c>
      <c r="F243">
        <v>55</v>
      </c>
      <c r="G243">
        <v>70</v>
      </c>
      <c r="H243">
        <v>55</v>
      </c>
      <c r="I243">
        <v>95</v>
      </c>
      <c r="J243">
        <v>110</v>
      </c>
      <c r="K243">
        <v>460</v>
      </c>
    </row>
    <row r="244" spans="1:11" x14ac:dyDescent="0.25">
      <c r="A244" t="s">
        <v>706</v>
      </c>
      <c r="B244" t="s">
        <v>705</v>
      </c>
      <c r="C244" t="s">
        <v>116</v>
      </c>
      <c r="E244">
        <v>55</v>
      </c>
      <c r="F244">
        <v>70</v>
      </c>
      <c r="G244">
        <v>55</v>
      </c>
      <c r="H244">
        <v>40</v>
      </c>
      <c r="I244">
        <v>55</v>
      </c>
      <c r="J244">
        <v>85</v>
      </c>
      <c r="K244">
        <v>360</v>
      </c>
    </row>
    <row r="245" spans="1:11" x14ac:dyDescent="0.25">
      <c r="A245" t="s">
        <v>708</v>
      </c>
      <c r="B245" t="s">
        <v>707</v>
      </c>
      <c r="C245" t="s">
        <v>40</v>
      </c>
      <c r="E245">
        <v>30</v>
      </c>
      <c r="F245">
        <v>30</v>
      </c>
      <c r="G245">
        <v>30</v>
      </c>
      <c r="H245">
        <v>30</v>
      </c>
      <c r="I245">
        <v>30</v>
      </c>
      <c r="J245">
        <v>30</v>
      </c>
      <c r="K245">
        <v>180</v>
      </c>
    </row>
    <row r="246" spans="1:11" x14ac:dyDescent="0.25">
      <c r="A246" t="s">
        <v>710</v>
      </c>
      <c r="B246" t="s">
        <v>709</v>
      </c>
      <c r="C246" t="s">
        <v>40</v>
      </c>
      <c r="E246">
        <v>75</v>
      </c>
      <c r="F246">
        <v>75</v>
      </c>
      <c r="G246">
        <v>55</v>
      </c>
      <c r="H246">
        <v>105</v>
      </c>
      <c r="I246">
        <v>85</v>
      </c>
      <c r="J246">
        <v>30</v>
      </c>
      <c r="K246">
        <v>425</v>
      </c>
    </row>
    <row r="247" spans="1:11" x14ac:dyDescent="0.25">
      <c r="A247" t="s">
        <v>712</v>
      </c>
      <c r="B247" t="s">
        <v>711</v>
      </c>
      <c r="C247" t="s">
        <v>90</v>
      </c>
      <c r="D247" t="s">
        <v>66</v>
      </c>
      <c r="E247">
        <v>65</v>
      </c>
      <c r="F247">
        <v>65</v>
      </c>
      <c r="G247">
        <v>45</v>
      </c>
      <c r="H247">
        <v>75</v>
      </c>
      <c r="I247">
        <v>45</v>
      </c>
      <c r="J247">
        <v>95</v>
      </c>
      <c r="K247">
        <v>390</v>
      </c>
    </row>
    <row r="248" spans="1:11" x14ac:dyDescent="0.25">
      <c r="A248" t="s">
        <v>716</v>
      </c>
      <c r="B248" t="s">
        <v>714</v>
      </c>
      <c r="C248" t="s">
        <v>41</v>
      </c>
      <c r="D248" t="s">
        <v>132</v>
      </c>
      <c r="E248">
        <v>55</v>
      </c>
      <c r="F248">
        <v>45</v>
      </c>
      <c r="G248">
        <v>45</v>
      </c>
      <c r="H248">
        <v>25</v>
      </c>
      <c r="I248">
        <v>25</v>
      </c>
      <c r="J248">
        <v>15</v>
      </c>
      <c r="K248">
        <v>210</v>
      </c>
    </row>
    <row r="249" spans="1:11" x14ac:dyDescent="0.25">
      <c r="A249" t="s">
        <v>715</v>
      </c>
      <c r="B249" t="s">
        <v>717</v>
      </c>
      <c r="C249" t="s">
        <v>76</v>
      </c>
      <c r="D249" t="s">
        <v>132</v>
      </c>
      <c r="E249">
        <v>55</v>
      </c>
      <c r="F249">
        <v>45</v>
      </c>
      <c r="G249">
        <v>45</v>
      </c>
      <c r="H249">
        <v>25</v>
      </c>
      <c r="I249">
        <v>25</v>
      </c>
      <c r="J249">
        <v>15</v>
      </c>
      <c r="K249">
        <v>210</v>
      </c>
    </row>
    <row r="250" spans="1:11" x14ac:dyDescent="0.25">
      <c r="A250" t="s">
        <v>719</v>
      </c>
      <c r="B250" t="s">
        <v>718</v>
      </c>
      <c r="C250" t="s">
        <v>76</v>
      </c>
      <c r="D250" t="s">
        <v>132</v>
      </c>
      <c r="E250">
        <v>95</v>
      </c>
      <c r="F250">
        <v>85</v>
      </c>
      <c r="G250">
        <v>85</v>
      </c>
      <c r="H250">
        <v>65</v>
      </c>
      <c r="I250">
        <v>65</v>
      </c>
      <c r="J250">
        <v>35</v>
      </c>
      <c r="K250">
        <v>430</v>
      </c>
    </row>
    <row r="251" spans="1:11" x14ac:dyDescent="0.25">
      <c r="A251" t="s">
        <v>721</v>
      </c>
      <c r="B251" t="s">
        <v>720</v>
      </c>
      <c r="C251" t="s">
        <v>162</v>
      </c>
      <c r="E251">
        <v>65</v>
      </c>
      <c r="F251">
        <v>65</v>
      </c>
      <c r="G251">
        <v>60</v>
      </c>
      <c r="H251">
        <v>130</v>
      </c>
      <c r="I251">
        <v>95</v>
      </c>
      <c r="J251">
        <v>110</v>
      </c>
      <c r="K251">
        <v>525</v>
      </c>
    </row>
    <row r="252" spans="1:11" x14ac:dyDescent="0.25">
      <c r="A252" t="s">
        <v>723</v>
      </c>
      <c r="B252" t="s">
        <v>722</v>
      </c>
      <c r="C252" t="s">
        <v>135</v>
      </c>
      <c r="E252">
        <v>95</v>
      </c>
      <c r="F252">
        <v>65</v>
      </c>
      <c r="G252">
        <v>110</v>
      </c>
      <c r="H252">
        <v>60</v>
      </c>
      <c r="I252">
        <v>130</v>
      </c>
      <c r="J252">
        <v>65</v>
      </c>
      <c r="K252">
        <v>525</v>
      </c>
    </row>
    <row r="253" spans="1:11" x14ac:dyDescent="0.25">
      <c r="A253" t="s">
        <v>725</v>
      </c>
      <c r="B253" t="s">
        <v>724</v>
      </c>
      <c r="C253" t="s">
        <v>135</v>
      </c>
      <c r="D253" t="s">
        <v>66</v>
      </c>
      <c r="E253">
        <v>60</v>
      </c>
      <c r="F253">
        <v>85</v>
      </c>
      <c r="G253">
        <v>42</v>
      </c>
      <c r="H253">
        <v>85</v>
      </c>
      <c r="I253">
        <v>42</v>
      </c>
      <c r="J253">
        <v>91</v>
      </c>
      <c r="K253">
        <v>405</v>
      </c>
    </row>
    <row r="254" spans="1:11" x14ac:dyDescent="0.25">
      <c r="A254" t="s">
        <v>728</v>
      </c>
      <c r="B254" t="s">
        <v>727</v>
      </c>
      <c r="C254" t="s">
        <v>76</v>
      </c>
      <c r="D254" t="s">
        <v>162</v>
      </c>
      <c r="E254">
        <v>95</v>
      </c>
      <c r="F254">
        <v>75</v>
      </c>
      <c r="G254">
        <v>80</v>
      </c>
      <c r="H254">
        <v>100</v>
      </c>
      <c r="I254">
        <v>110</v>
      </c>
      <c r="J254">
        <v>30</v>
      </c>
      <c r="K254">
        <v>490</v>
      </c>
    </row>
    <row r="255" spans="1:11" x14ac:dyDescent="0.25">
      <c r="A255" t="s">
        <v>730</v>
      </c>
      <c r="B255" t="s">
        <v>729</v>
      </c>
      <c r="C255" t="s">
        <v>41</v>
      </c>
      <c r="D255" t="s">
        <v>162</v>
      </c>
      <c r="E255">
        <v>95</v>
      </c>
      <c r="F255">
        <v>65</v>
      </c>
      <c r="G255">
        <v>80</v>
      </c>
      <c r="H255">
        <v>110</v>
      </c>
      <c r="I255">
        <v>110</v>
      </c>
      <c r="J255">
        <v>30</v>
      </c>
      <c r="K255">
        <v>490</v>
      </c>
    </row>
    <row r="256" spans="1:11" x14ac:dyDescent="0.25">
      <c r="A256" t="s">
        <v>733</v>
      </c>
      <c r="B256" t="s">
        <v>732</v>
      </c>
      <c r="C256" t="s">
        <v>419</v>
      </c>
      <c r="E256">
        <v>60</v>
      </c>
      <c r="F256">
        <v>60</v>
      </c>
      <c r="G256">
        <v>60</v>
      </c>
      <c r="H256">
        <v>85</v>
      </c>
      <c r="I256">
        <v>85</v>
      </c>
      <c r="J256">
        <v>85</v>
      </c>
      <c r="K256">
        <v>435</v>
      </c>
    </row>
    <row r="257" spans="1:11" x14ac:dyDescent="0.25">
      <c r="A257" t="s">
        <v>735</v>
      </c>
      <c r="B257" t="s">
        <v>734</v>
      </c>
      <c r="C257" t="s">
        <v>162</v>
      </c>
      <c r="E257">
        <v>48</v>
      </c>
      <c r="F257">
        <v>72</v>
      </c>
      <c r="G257">
        <v>48</v>
      </c>
      <c r="H257">
        <v>72</v>
      </c>
      <c r="I257">
        <v>48</v>
      </c>
      <c r="J257">
        <v>48</v>
      </c>
      <c r="K257">
        <v>336</v>
      </c>
    </row>
    <row r="258" spans="1:11" x14ac:dyDescent="0.25">
      <c r="A258" t="s">
        <v>737</v>
      </c>
      <c r="B258" t="s">
        <v>736</v>
      </c>
      <c r="C258" t="s">
        <v>162</v>
      </c>
      <c r="E258">
        <v>190</v>
      </c>
      <c r="F258">
        <v>33</v>
      </c>
      <c r="G258">
        <v>58</v>
      </c>
      <c r="H258">
        <v>33</v>
      </c>
      <c r="I258">
        <v>58</v>
      </c>
      <c r="J258">
        <v>33</v>
      </c>
      <c r="K258">
        <v>405</v>
      </c>
    </row>
    <row r="259" spans="1:11" x14ac:dyDescent="0.25">
      <c r="A259" t="s">
        <v>740</v>
      </c>
      <c r="B259" t="s">
        <v>739</v>
      </c>
      <c r="C259" t="s">
        <v>116</v>
      </c>
      <c r="D259" t="s">
        <v>162</v>
      </c>
      <c r="E259">
        <v>70</v>
      </c>
      <c r="F259">
        <v>80</v>
      </c>
      <c r="G259">
        <v>65</v>
      </c>
      <c r="H259">
        <v>90</v>
      </c>
      <c r="I259">
        <v>65</v>
      </c>
      <c r="J259">
        <v>85</v>
      </c>
      <c r="K259">
        <v>455</v>
      </c>
    </row>
    <row r="260" spans="1:11" x14ac:dyDescent="0.25">
      <c r="A260" t="s">
        <v>742</v>
      </c>
      <c r="B260" t="s">
        <v>741</v>
      </c>
      <c r="C260" t="s">
        <v>90</v>
      </c>
      <c r="E260">
        <v>50</v>
      </c>
      <c r="F260">
        <v>65</v>
      </c>
      <c r="G260">
        <v>90</v>
      </c>
      <c r="H260">
        <v>35</v>
      </c>
      <c r="I260">
        <v>35</v>
      </c>
      <c r="J260">
        <v>15</v>
      </c>
      <c r="K260">
        <v>290</v>
      </c>
    </row>
    <row r="261" spans="1:11" x14ac:dyDescent="0.25">
      <c r="A261" t="s">
        <v>744</v>
      </c>
      <c r="B261" t="s">
        <v>743</v>
      </c>
      <c r="C261" t="s">
        <v>90</v>
      </c>
      <c r="D261" t="s">
        <v>171</v>
      </c>
      <c r="E261">
        <v>75</v>
      </c>
      <c r="F261">
        <v>90</v>
      </c>
      <c r="G261">
        <v>140</v>
      </c>
      <c r="H261">
        <v>60</v>
      </c>
      <c r="I261">
        <v>60</v>
      </c>
      <c r="J261">
        <v>40</v>
      </c>
      <c r="K261">
        <v>465</v>
      </c>
    </row>
    <row r="262" spans="1:11" x14ac:dyDescent="0.25">
      <c r="A262" t="s">
        <v>746</v>
      </c>
      <c r="B262" t="s">
        <v>745</v>
      </c>
      <c r="C262" t="s">
        <v>116</v>
      </c>
      <c r="E262">
        <v>100</v>
      </c>
      <c r="F262">
        <v>70</v>
      </c>
      <c r="G262">
        <v>70</v>
      </c>
      <c r="H262">
        <v>65</v>
      </c>
      <c r="I262">
        <v>65</v>
      </c>
      <c r="J262">
        <v>45</v>
      </c>
      <c r="K262">
        <v>415</v>
      </c>
    </row>
    <row r="263" spans="1:11" x14ac:dyDescent="0.25">
      <c r="A263" t="s">
        <v>748</v>
      </c>
      <c r="B263" t="s">
        <v>747</v>
      </c>
      <c r="C263" t="s">
        <v>132</v>
      </c>
      <c r="D263" t="s">
        <v>66</v>
      </c>
      <c r="E263">
        <v>65</v>
      </c>
      <c r="F263">
        <v>75</v>
      </c>
      <c r="G263">
        <v>105</v>
      </c>
      <c r="H263">
        <v>35</v>
      </c>
      <c r="I263">
        <v>65</v>
      </c>
      <c r="J263">
        <v>85</v>
      </c>
      <c r="K263">
        <v>430</v>
      </c>
    </row>
    <row r="264" spans="1:11" x14ac:dyDescent="0.25">
      <c r="A264" t="s">
        <v>750</v>
      </c>
      <c r="B264" t="s">
        <v>749</v>
      </c>
      <c r="C264" t="s">
        <v>171</v>
      </c>
      <c r="D264" t="s">
        <v>132</v>
      </c>
      <c r="E264">
        <v>75</v>
      </c>
      <c r="F264">
        <v>85</v>
      </c>
      <c r="G264">
        <v>200</v>
      </c>
      <c r="H264">
        <v>55</v>
      </c>
      <c r="I264">
        <v>65</v>
      </c>
      <c r="J264">
        <v>30</v>
      </c>
      <c r="K264">
        <v>510</v>
      </c>
    </row>
    <row r="265" spans="1:11" x14ac:dyDescent="0.25">
      <c r="A265" t="s">
        <v>752</v>
      </c>
      <c r="B265" t="s">
        <v>751</v>
      </c>
      <c r="C265" t="s">
        <v>171</v>
      </c>
      <c r="D265" t="s">
        <v>132</v>
      </c>
      <c r="E265">
        <v>75</v>
      </c>
      <c r="F265">
        <v>125</v>
      </c>
      <c r="G265">
        <v>230</v>
      </c>
      <c r="H265">
        <v>55</v>
      </c>
      <c r="I265">
        <v>95</v>
      </c>
      <c r="J265">
        <v>30</v>
      </c>
      <c r="K265">
        <v>610</v>
      </c>
    </row>
    <row r="266" spans="1:11" x14ac:dyDescent="0.25">
      <c r="A266" t="s">
        <v>754</v>
      </c>
      <c r="B266" t="s">
        <v>753</v>
      </c>
      <c r="C266" t="s">
        <v>157</v>
      </c>
      <c r="E266">
        <v>60</v>
      </c>
      <c r="F266">
        <v>80</v>
      </c>
      <c r="G266">
        <v>50</v>
      </c>
      <c r="H266">
        <v>40</v>
      </c>
      <c r="I266">
        <v>40</v>
      </c>
      <c r="J266">
        <v>30</v>
      </c>
      <c r="K266">
        <v>300</v>
      </c>
    </row>
    <row r="267" spans="1:11" x14ac:dyDescent="0.25">
      <c r="A267" t="s">
        <v>756</v>
      </c>
      <c r="B267" t="s">
        <v>755</v>
      </c>
      <c r="C267" t="s">
        <v>157</v>
      </c>
      <c r="E267">
        <v>90</v>
      </c>
      <c r="F267">
        <v>120</v>
      </c>
      <c r="G267">
        <v>75</v>
      </c>
      <c r="H267">
        <v>60</v>
      </c>
      <c r="I267">
        <v>60</v>
      </c>
      <c r="J267">
        <v>45</v>
      </c>
      <c r="K267">
        <v>450</v>
      </c>
    </row>
    <row r="268" spans="1:11" x14ac:dyDescent="0.25">
      <c r="A268" t="s">
        <v>758</v>
      </c>
      <c r="B268" t="s">
        <v>757</v>
      </c>
      <c r="C268" t="s">
        <v>76</v>
      </c>
      <c r="D268" t="s">
        <v>41</v>
      </c>
      <c r="E268">
        <v>65</v>
      </c>
      <c r="F268">
        <v>95</v>
      </c>
      <c r="G268">
        <v>85</v>
      </c>
      <c r="H268">
        <v>55</v>
      </c>
      <c r="I268">
        <v>55</v>
      </c>
      <c r="J268">
        <v>85</v>
      </c>
      <c r="K268">
        <v>440</v>
      </c>
    </row>
    <row r="269" spans="1:11" x14ac:dyDescent="0.25">
      <c r="A269" t="s">
        <v>760</v>
      </c>
      <c r="B269" t="s">
        <v>759</v>
      </c>
      <c r="C269" t="s">
        <v>135</v>
      </c>
      <c r="D269" t="s">
        <v>41</v>
      </c>
      <c r="E269">
        <v>65</v>
      </c>
      <c r="F269">
        <v>95</v>
      </c>
      <c r="G269">
        <v>85</v>
      </c>
      <c r="H269">
        <v>55</v>
      </c>
      <c r="I269">
        <v>55</v>
      </c>
      <c r="J269">
        <v>85</v>
      </c>
      <c r="K269">
        <v>440</v>
      </c>
    </row>
    <row r="270" spans="1:11" x14ac:dyDescent="0.25">
      <c r="A270" t="s">
        <v>762</v>
      </c>
      <c r="B270" t="s">
        <v>761</v>
      </c>
      <c r="C270" t="s">
        <v>90</v>
      </c>
      <c r="D270" t="s">
        <v>171</v>
      </c>
      <c r="E270">
        <v>70</v>
      </c>
      <c r="F270">
        <v>130</v>
      </c>
      <c r="G270">
        <v>100</v>
      </c>
      <c r="H270">
        <v>55</v>
      </c>
      <c r="I270">
        <v>80</v>
      </c>
      <c r="J270">
        <v>65</v>
      </c>
      <c r="K270">
        <v>500</v>
      </c>
    </row>
    <row r="271" spans="1:11" x14ac:dyDescent="0.25">
      <c r="A271" t="s">
        <v>765</v>
      </c>
      <c r="B271" t="s">
        <v>764</v>
      </c>
      <c r="C271" t="s">
        <v>90</v>
      </c>
      <c r="D271" t="s">
        <v>171</v>
      </c>
      <c r="E271">
        <v>70</v>
      </c>
      <c r="F271">
        <v>150</v>
      </c>
      <c r="G271">
        <v>140</v>
      </c>
      <c r="H271">
        <v>65</v>
      </c>
      <c r="I271">
        <v>100</v>
      </c>
      <c r="J271">
        <v>75</v>
      </c>
      <c r="K271">
        <v>600</v>
      </c>
    </row>
    <row r="272" spans="1:11" x14ac:dyDescent="0.25">
      <c r="A272" t="s">
        <v>767</v>
      </c>
      <c r="B272" t="s">
        <v>766</v>
      </c>
      <c r="C272" t="s">
        <v>90</v>
      </c>
      <c r="D272" t="s">
        <v>290</v>
      </c>
      <c r="E272">
        <v>20</v>
      </c>
      <c r="F272">
        <v>10</v>
      </c>
      <c r="G272">
        <v>230</v>
      </c>
      <c r="H272">
        <v>10</v>
      </c>
      <c r="I272">
        <v>230</v>
      </c>
      <c r="J272">
        <v>5</v>
      </c>
      <c r="K272">
        <v>505</v>
      </c>
    </row>
    <row r="273" spans="1:11" x14ac:dyDescent="0.25">
      <c r="A273" t="s">
        <v>770</v>
      </c>
      <c r="B273" t="s">
        <v>769</v>
      </c>
      <c r="C273" t="s">
        <v>90</v>
      </c>
      <c r="D273" t="s">
        <v>279</v>
      </c>
      <c r="E273">
        <v>80</v>
      </c>
      <c r="F273">
        <v>125</v>
      </c>
      <c r="G273">
        <v>75</v>
      </c>
      <c r="H273">
        <v>40</v>
      </c>
      <c r="I273">
        <v>95</v>
      </c>
      <c r="J273">
        <v>85</v>
      </c>
      <c r="K273">
        <v>500</v>
      </c>
    </row>
    <row r="274" spans="1:11" x14ac:dyDescent="0.25">
      <c r="A274" t="s">
        <v>772</v>
      </c>
      <c r="B274" t="s">
        <v>771</v>
      </c>
      <c r="C274" t="s">
        <v>90</v>
      </c>
      <c r="D274" t="s">
        <v>279</v>
      </c>
      <c r="E274">
        <v>80</v>
      </c>
      <c r="F274">
        <v>185</v>
      </c>
      <c r="G274">
        <v>115</v>
      </c>
      <c r="H274">
        <v>40</v>
      </c>
      <c r="I274">
        <v>105</v>
      </c>
      <c r="J274">
        <v>75</v>
      </c>
      <c r="K274">
        <v>600</v>
      </c>
    </row>
    <row r="275" spans="1:11" x14ac:dyDescent="0.25">
      <c r="A275" t="s">
        <v>774</v>
      </c>
      <c r="B275" t="s">
        <v>773</v>
      </c>
      <c r="C275" t="s">
        <v>135</v>
      </c>
      <c r="D275" t="s">
        <v>170</v>
      </c>
      <c r="E275">
        <v>55</v>
      </c>
      <c r="F275">
        <v>95</v>
      </c>
      <c r="G275">
        <v>55</v>
      </c>
      <c r="H275">
        <v>35</v>
      </c>
      <c r="I275">
        <v>75</v>
      </c>
      <c r="J275">
        <v>115</v>
      </c>
      <c r="K275">
        <v>430</v>
      </c>
    </row>
    <row r="276" spans="1:11" x14ac:dyDescent="0.25">
      <c r="A276" t="s">
        <v>777</v>
      </c>
      <c r="B276" t="s">
        <v>776</v>
      </c>
      <c r="C276" t="s">
        <v>279</v>
      </c>
      <c r="D276" t="s">
        <v>41</v>
      </c>
      <c r="E276">
        <v>55</v>
      </c>
      <c r="F276">
        <v>95</v>
      </c>
      <c r="G276">
        <v>55</v>
      </c>
      <c r="H276">
        <v>35</v>
      </c>
      <c r="I276">
        <v>75</v>
      </c>
      <c r="J276">
        <v>115</v>
      </c>
      <c r="K276">
        <v>430</v>
      </c>
    </row>
    <row r="277" spans="1:11" x14ac:dyDescent="0.25">
      <c r="A277" t="s">
        <v>779</v>
      </c>
      <c r="B277" t="s">
        <v>778</v>
      </c>
      <c r="C277" t="s">
        <v>116</v>
      </c>
      <c r="E277">
        <v>60</v>
      </c>
      <c r="F277">
        <v>80</v>
      </c>
      <c r="G277">
        <v>50</v>
      </c>
      <c r="H277">
        <v>50</v>
      </c>
      <c r="I277">
        <v>50</v>
      </c>
      <c r="J277">
        <v>40</v>
      </c>
      <c r="K277">
        <v>330</v>
      </c>
    </row>
    <row r="278" spans="1:11" x14ac:dyDescent="0.25">
      <c r="A278" t="s">
        <v>782</v>
      </c>
      <c r="B278" t="s">
        <v>781</v>
      </c>
      <c r="C278" t="s">
        <v>116</v>
      </c>
      <c r="E278">
        <v>90</v>
      </c>
      <c r="F278">
        <v>130</v>
      </c>
      <c r="G278">
        <v>75</v>
      </c>
      <c r="H278">
        <v>75</v>
      </c>
      <c r="I278">
        <v>75</v>
      </c>
      <c r="J278">
        <v>55</v>
      </c>
      <c r="K278">
        <v>500</v>
      </c>
    </row>
    <row r="279" spans="1:11" x14ac:dyDescent="0.25">
      <c r="A279" t="s">
        <v>784</v>
      </c>
      <c r="B279" t="s">
        <v>783</v>
      </c>
      <c r="C279" t="s">
        <v>57</v>
      </c>
      <c r="E279">
        <v>40</v>
      </c>
      <c r="F279">
        <v>40</v>
      </c>
      <c r="G279">
        <v>40</v>
      </c>
      <c r="H279">
        <v>70</v>
      </c>
      <c r="I279">
        <v>40</v>
      </c>
      <c r="J279">
        <v>20</v>
      </c>
      <c r="K279">
        <v>250</v>
      </c>
    </row>
    <row r="280" spans="1:11" x14ac:dyDescent="0.25">
      <c r="A280" t="s">
        <v>787</v>
      </c>
      <c r="B280" t="s">
        <v>786</v>
      </c>
      <c r="C280" t="s">
        <v>57</v>
      </c>
      <c r="D280" t="s">
        <v>290</v>
      </c>
      <c r="E280">
        <v>60</v>
      </c>
      <c r="F280">
        <v>50</v>
      </c>
      <c r="G280">
        <v>120</v>
      </c>
      <c r="H280">
        <v>90</v>
      </c>
      <c r="I280">
        <v>80</v>
      </c>
      <c r="J280">
        <v>30</v>
      </c>
      <c r="K280">
        <v>430</v>
      </c>
    </row>
    <row r="281" spans="1:11" x14ac:dyDescent="0.25">
      <c r="A281" t="s">
        <v>789</v>
      </c>
      <c r="B281" t="s">
        <v>788</v>
      </c>
      <c r="C281" t="s">
        <v>170</v>
      </c>
      <c r="D281" t="s">
        <v>132</v>
      </c>
      <c r="E281">
        <v>50</v>
      </c>
      <c r="F281">
        <v>50</v>
      </c>
      <c r="G281">
        <v>40</v>
      </c>
      <c r="H281">
        <v>30</v>
      </c>
      <c r="I281">
        <v>30</v>
      </c>
      <c r="J281">
        <v>50</v>
      </c>
      <c r="K281">
        <v>250</v>
      </c>
    </row>
    <row r="282" spans="1:11" x14ac:dyDescent="0.25">
      <c r="A282" t="s">
        <v>791</v>
      </c>
      <c r="B282" t="s">
        <v>790</v>
      </c>
      <c r="C282" t="s">
        <v>170</v>
      </c>
      <c r="D282" t="s">
        <v>132</v>
      </c>
      <c r="E282">
        <v>100</v>
      </c>
      <c r="F282">
        <v>100</v>
      </c>
      <c r="G282">
        <v>80</v>
      </c>
      <c r="H282">
        <v>60</v>
      </c>
      <c r="I282">
        <v>60</v>
      </c>
      <c r="J282">
        <v>50</v>
      </c>
      <c r="K282">
        <v>450</v>
      </c>
    </row>
    <row r="283" spans="1:11" x14ac:dyDescent="0.25">
      <c r="A283" t="s">
        <v>793</v>
      </c>
      <c r="B283" t="s">
        <v>792</v>
      </c>
      <c r="C283" t="s">
        <v>76</v>
      </c>
      <c r="D283" t="s">
        <v>290</v>
      </c>
      <c r="E283">
        <v>65</v>
      </c>
      <c r="F283">
        <v>55</v>
      </c>
      <c r="G283">
        <v>95</v>
      </c>
      <c r="H283">
        <v>65</v>
      </c>
      <c r="I283">
        <v>95</v>
      </c>
      <c r="J283">
        <v>35</v>
      </c>
      <c r="K283">
        <v>410</v>
      </c>
    </row>
    <row r="284" spans="1:11" x14ac:dyDescent="0.25">
      <c r="A284" t="s">
        <v>795</v>
      </c>
      <c r="B284" t="s">
        <v>794</v>
      </c>
      <c r="C284" t="s">
        <v>419</v>
      </c>
      <c r="E284">
        <v>60</v>
      </c>
      <c r="F284">
        <v>55</v>
      </c>
      <c r="G284">
        <v>100</v>
      </c>
      <c r="H284">
        <v>65</v>
      </c>
      <c r="I284">
        <v>100</v>
      </c>
      <c r="J284">
        <v>30</v>
      </c>
      <c r="K284">
        <v>410</v>
      </c>
    </row>
    <row r="285" spans="1:11" x14ac:dyDescent="0.25">
      <c r="A285" t="s">
        <v>797</v>
      </c>
      <c r="B285" t="s">
        <v>796</v>
      </c>
      <c r="C285" t="s">
        <v>76</v>
      </c>
      <c r="E285">
        <v>35</v>
      </c>
      <c r="F285">
        <v>65</v>
      </c>
      <c r="G285">
        <v>35</v>
      </c>
      <c r="H285">
        <v>65</v>
      </c>
      <c r="I285">
        <v>35</v>
      </c>
      <c r="J285">
        <v>65</v>
      </c>
      <c r="K285">
        <v>300</v>
      </c>
    </row>
    <row r="286" spans="1:11" x14ac:dyDescent="0.25">
      <c r="A286" t="s">
        <v>800</v>
      </c>
      <c r="B286" t="s">
        <v>799</v>
      </c>
      <c r="C286" t="s">
        <v>76</v>
      </c>
      <c r="E286">
        <v>75</v>
      </c>
      <c r="F286">
        <v>105</v>
      </c>
      <c r="G286">
        <v>75</v>
      </c>
      <c r="H286">
        <v>105</v>
      </c>
      <c r="I286">
        <v>75</v>
      </c>
      <c r="J286">
        <v>45</v>
      </c>
      <c r="K286">
        <v>480</v>
      </c>
    </row>
    <row r="287" spans="1:11" x14ac:dyDescent="0.25">
      <c r="A287" t="s">
        <v>803</v>
      </c>
      <c r="B287" t="s">
        <v>802</v>
      </c>
      <c r="C287" t="s">
        <v>170</v>
      </c>
      <c r="D287" t="s">
        <v>66</v>
      </c>
      <c r="E287">
        <v>45</v>
      </c>
      <c r="F287">
        <v>55</v>
      </c>
      <c r="G287">
        <v>45</v>
      </c>
      <c r="H287">
        <v>65</v>
      </c>
      <c r="I287">
        <v>45</v>
      </c>
      <c r="J287">
        <v>75</v>
      </c>
      <c r="K287">
        <v>330</v>
      </c>
    </row>
    <row r="288" spans="1:11" x14ac:dyDescent="0.25">
      <c r="A288" t="s">
        <v>805</v>
      </c>
      <c r="B288" t="s">
        <v>804</v>
      </c>
      <c r="C288" t="s">
        <v>76</v>
      </c>
      <c r="D288" t="s">
        <v>66</v>
      </c>
      <c r="E288">
        <v>85</v>
      </c>
      <c r="F288">
        <v>40</v>
      </c>
      <c r="G288">
        <v>70</v>
      </c>
      <c r="H288">
        <v>80</v>
      </c>
      <c r="I288">
        <v>140</v>
      </c>
      <c r="J288">
        <v>70</v>
      </c>
      <c r="K288">
        <v>485</v>
      </c>
    </row>
    <row r="289" spans="1:11" x14ac:dyDescent="0.25">
      <c r="A289" t="s">
        <v>807</v>
      </c>
      <c r="B289" t="s">
        <v>806</v>
      </c>
      <c r="C289" t="s">
        <v>171</v>
      </c>
      <c r="D289" t="s">
        <v>66</v>
      </c>
      <c r="E289">
        <v>65</v>
      </c>
      <c r="F289">
        <v>80</v>
      </c>
      <c r="G289">
        <v>140</v>
      </c>
      <c r="H289">
        <v>40</v>
      </c>
      <c r="I289">
        <v>70</v>
      </c>
      <c r="J289">
        <v>70</v>
      </c>
      <c r="K289">
        <v>465</v>
      </c>
    </row>
    <row r="290" spans="1:11" x14ac:dyDescent="0.25">
      <c r="A290" t="s">
        <v>809</v>
      </c>
      <c r="B290" t="s">
        <v>808</v>
      </c>
      <c r="C290" t="s">
        <v>135</v>
      </c>
      <c r="D290" t="s">
        <v>57</v>
      </c>
      <c r="E290">
        <v>45</v>
      </c>
      <c r="F290">
        <v>60</v>
      </c>
      <c r="G290">
        <v>30</v>
      </c>
      <c r="H290">
        <v>80</v>
      </c>
      <c r="I290">
        <v>50</v>
      </c>
      <c r="J290">
        <v>65</v>
      </c>
      <c r="K290">
        <v>330</v>
      </c>
    </row>
    <row r="291" spans="1:11" x14ac:dyDescent="0.25">
      <c r="A291" t="s">
        <v>811</v>
      </c>
      <c r="B291" t="s">
        <v>810</v>
      </c>
      <c r="C291" t="s">
        <v>135</v>
      </c>
      <c r="D291" t="s">
        <v>57</v>
      </c>
      <c r="E291">
        <v>75</v>
      </c>
      <c r="F291">
        <v>90</v>
      </c>
      <c r="G291">
        <v>50</v>
      </c>
      <c r="H291">
        <v>110</v>
      </c>
      <c r="I291">
        <v>80</v>
      </c>
      <c r="J291">
        <v>95</v>
      </c>
      <c r="K291">
        <v>500</v>
      </c>
    </row>
    <row r="292" spans="1:11" x14ac:dyDescent="0.25">
      <c r="A292" t="s">
        <v>813</v>
      </c>
      <c r="B292" t="s">
        <v>812</v>
      </c>
      <c r="C292" t="s">
        <v>135</v>
      </c>
      <c r="D292" t="s">
        <v>57</v>
      </c>
      <c r="E292">
        <v>75</v>
      </c>
      <c r="F292">
        <v>90</v>
      </c>
      <c r="G292">
        <v>90</v>
      </c>
      <c r="H292">
        <v>140</v>
      </c>
      <c r="I292">
        <v>90</v>
      </c>
      <c r="J292">
        <v>115</v>
      </c>
      <c r="K292">
        <v>600</v>
      </c>
    </row>
    <row r="293" spans="1:11" x14ac:dyDescent="0.25">
      <c r="A293" t="s">
        <v>815</v>
      </c>
      <c r="B293" t="s">
        <v>814</v>
      </c>
      <c r="C293" t="s">
        <v>76</v>
      </c>
      <c r="D293" t="s">
        <v>61</v>
      </c>
      <c r="E293">
        <v>75</v>
      </c>
      <c r="F293">
        <v>95</v>
      </c>
      <c r="G293">
        <v>95</v>
      </c>
      <c r="H293">
        <v>95</v>
      </c>
      <c r="I293">
        <v>95</v>
      </c>
      <c r="J293">
        <v>85</v>
      </c>
      <c r="K293">
        <v>540</v>
      </c>
    </row>
    <row r="294" spans="1:11" x14ac:dyDescent="0.25">
      <c r="A294" t="s">
        <v>817</v>
      </c>
      <c r="B294" t="s">
        <v>816</v>
      </c>
      <c r="C294" t="s">
        <v>132</v>
      </c>
      <c r="E294">
        <v>90</v>
      </c>
      <c r="F294">
        <v>60</v>
      </c>
      <c r="G294">
        <v>60</v>
      </c>
      <c r="H294">
        <v>40</v>
      </c>
      <c r="I294">
        <v>40</v>
      </c>
      <c r="J294">
        <v>40</v>
      </c>
      <c r="K294">
        <v>330</v>
      </c>
    </row>
    <row r="295" spans="1:11" x14ac:dyDescent="0.25">
      <c r="A295" t="s">
        <v>819</v>
      </c>
      <c r="B295" t="s">
        <v>818</v>
      </c>
      <c r="C295" t="s">
        <v>132</v>
      </c>
      <c r="E295">
        <v>90</v>
      </c>
      <c r="F295">
        <v>120</v>
      </c>
      <c r="G295">
        <v>120</v>
      </c>
      <c r="H295">
        <v>60</v>
      </c>
      <c r="I295">
        <v>60</v>
      </c>
      <c r="J295">
        <v>50</v>
      </c>
      <c r="K295">
        <v>500</v>
      </c>
    </row>
    <row r="296" spans="1:11" x14ac:dyDescent="0.25">
      <c r="A296" t="s">
        <v>821</v>
      </c>
      <c r="B296" t="s">
        <v>820</v>
      </c>
      <c r="C296" t="s">
        <v>116</v>
      </c>
      <c r="E296">
        <v>85</v>
      </c>
      <c r="F296">
        <v>80</v>
      </c>
      <c r="G296">
        <v>90</v>
      </c>
      <c r="H296">
        <v>105</v>
      </c>
      <c r="I296">
        <v>95</v>
      </c>
      <c r="J296">
        <v>60</v>
      </c>
      <c r="K296">
        <v>515</v>
      </c>
    </row>
    <row r="297" spans="1:11" x14ac:dyDescent="0.25">
      <c r="A297" t="s">
        <v>823</v>
      </c>
      <c r="B297" t="s">
        <v>822</v>
      </c>
      <c r="C297" t="s">
        <v>116</v>
      </c>
      <c r="E297">
        <v>73</v>
      </c>
      <c r="F297">
        <v>95</v>
      </c>
      <c r="G297">
        <v>62</v>
      </c>
      <c r="H297">
        <v>85</v>
      </c>
      <c r="I297">
        <v>65</v>
      </c>
      <c r="J297">
        <v>85</v>
      </c>
      <c r="K297">
        <v>465</v>
      </c>
    </row>
    <row r="298" spans="1:11" x14ac:dyDescent="0.25">
      <c r="A298" t="s">
        <v>825</v>
      </c>
      <c r="B298" t="s">
        <v>824</v>
      </c>
      <c r="C298" t="s">
        <v>116</v>
      </c>
      <c r="E298">
        <v>55</v>
      </c>
      <c r="F298">
        <v>20</v>
      </c>
      <c r="G298">
        <v>35</v>
      </c>
      <c r="H298">
        <v>20</v>
      </c>
      <c r="I298">
        <v>45</v>
      </c>
      <c r="J298">
        <v>75</v>
      </c>
      <c r="K298">
        <v>250</v>
      </c>
    </row>
    <row r="299" spans="1:11" x14ac:dyDescent="0.25">
      <c r="A299" t="s">
        <v>827</v>
      </c>
      <c r="B299" t="s">
        <v>826</v>
      </c>
      <c r="C299" t="s">
        <v>279</v>
      </c>
      <c r="E299">
        <v>35</v>
      </c>
      <c r="F299">
        <v>35</v>
      </c>
      <c r="G299">
        <v>35</v>
      </c>
      <c r="H299">
        <v>35</v>
      </c>
      <c r="I299">
        <v>35</v>
      </c>
      <c r="J299">
        <v>35</v>
      </c>
      <c r="K299">
        <v>210</v>
      </c>
    </row>
    <row r="300" spans="1:11" x14ac:dyDescent="0.25">
      <c r="A300" t="s">
        <v>829</v>
      </c>
      <c r="B300" t="s">
        <v>828</v>
      </c>
      <c r="C300" t="s">
        <v>279</v>
      </c>
      <c r="E300">
        <v>50</v>
      </c>
      <c r="F300">
        <v>95</v>
      </c>
      <c r="G300">
        <v>95</v>
      </c>
      <c r="H300">
        <v>35</v>
      </c>
      <c r="I300">
        <v>110</v>
      </c>
      <c r="J300">
        <v>70</v>
      </c>
      <c r="K300">
        <v>455</v>
      </c>
    </row>
    <row r="301" spans="1:11" x14ac:dyDescent="0.25">
      <c r="A301" t="s">
        <v>831</v>
      </c>
      <c r="B301" t="s">
        <v>830</v>
      </c>
      <c r="C301" t="s">
        <v>170</v>
      </c>
      <c r="D301" t="s">
        <v>162</v>
      </c>
      <c r="E301">
        <v>45</v>
      </c>
      <c r="F301">
        <v>30</v>
      </c>
      <c r="G301">
        <v>15</v>
      </c>
      <c r="H301">
        <v>85</v>
      </c>
      <c r="I301">
        <v>65</v>
      </c>
      <c r="J301">
        <v>65</v>
      </c>
      <c r="K301">
        <v>305</v>
      </c>
    </row>
    <row r="302" spans="1:11" x14ac:dyDescent="0.25">
      <c r="A302" t="s">
        <v>833</v>
      </c>
      <c r="B302" t="s">
        <v>832</v>
      </c>
      <c r="C302" t="s">
        <v>154</v>
      </c>
      <c r="E302">
        <v>45</v>
      </c>
      <c r="F302">
        <v>63</v>
      </c>
      <c r="G302">
        <v>37</v>
      </c>
      <c r="H302">
        <v>65</v>
      </c>
      <c r="I302">
        <v>55</v>
      </c>
      <c r="J302">
        <v>95</v>
      </c>
      <c r="K302">
        <v>360</v>
      </c>
    </row>
    <row r="303" spans="1:11" x14ac:dyDescent="0.25">
      <c r="A303" t="s">
        <v>835</v>
      </c>
      <c r="B303" t="s">
        <v>834</v>
      </c>
      <c r="C303" t="s">
        <v>57</v>
      </c>
      <c r="E303">
        <v>45</v>
      </c>
      <c r="F303">
        <v>75</v>
      </c>
      <c r="G303">
        <v>37</v>
      </c>
      <c r="H303">
        <v>70</v>
      </c>
      <c r="I303">
        <v>55</v>
      </c>
      <c r="J303">
        <v>83</v>
      </c>
      <c r="K303">
        <v>365</v>
      </c>
    </row>
    <row r="304" spans="1:11" x14ac:dyDescent="0.25">
      <c r="A304" t="s">
        <v>837</v>
      </c>
      <c r="B304" t="s">
        <v>836</v>
      </c>
      <c r="C304" t="s">
        <v>116</v>
      </c>
      <c r="E304">
        <v>95</v>
      </c>
      <c r="F304">
        <v>80</v>
      </c>
      <c r="G304">
        <v>105</v>
      </c>
      <c r="H304">
        <v>40</v>
      </c>
      <c r="I304">
        <v>70</v>
      </c>
      <c r="J304">
        <v>100</v>
      </c>
      <c r="K304">
        <v>490</v>
      </c>
    </row>
    <row r="305" spans="1:11" x14ac:dyDescent="0.25">
      <c r="A305" t="s">
        <v>839</v>
      </c>
      <c r="B305" t="s">
        <v>838</v>
      </c>
      <c r="C305" t="s">
        <v>116</v>
      </c>
      <c r="E305">
        <v>255</v>
      </c>
      <c r="F305">
        <v>10</v>
      </c>
      <c r="G305">
        <v>10</v>
      </c>
      <c r="H305">
        <v>75</v>
      </c>
      <c r="I305">
        <v>135</v>
      </c>
      <c r="J305">
        <v>55</v>
      </c>
      <c r="K305">
        <v>540</v>
      </c>
    </row>
    <row r="306" spans="1:11" x14ac:dyDescent="0.25">
      <c r="A306" t="s">
        <v>841</v>
      </c>
      <c r="B306" t="s">
        <v>840</v>
      </c>
      <c r="C306" t="s">
        <v>154</v>
      </c>
      <c r="E306">
        <v>90</v>
      </c>
      <c r="F306">
        <v>85</v>
      </c>
      <c r="G306">
        <v>75</v>
      </c>
      <c r="H306">
        <v>115</v>
      </c>
      <c r="I306">
        <v>100</v>
      </c>
      <c r="J306">
        <v>115</v>
      </c>
      <c r="K306">
        <v>580</v>
      </c>
    </row>
    <row r="307" spans="1:11" x14ac:dyDescent="0.25">
      <c r="A307" t="s">
        <v>843</v>
      </c>
      <c r="B307" t="s">
        <v>842</v>
      </c>
      <c r="C307" t="s">
        <v>57</v>
      </c>
      <c r="E307">
        <v>115</v>
      </c>
      <c r="F307">
        <v>115</v>
      </c>
      <c r="G307">
        <v>85</v>
      </c>
      <c r="H307">
        <v>90</v>
      </c>
      <c r="I307">
        <v>75</v>
      </c>
      <c r="J307">
        <v>100</v>
      </c>
      <c r="K307">
        <v>580</v>
      </c>
    </row>
    <row r="308" spans="1:11" x14ac:dyDescent="0.25">
      <c r="A308" t="s">
        <v>845</v>
      </c>
      <c r="B308" t="s">
        <v>844</v>
      </c>
      <c r="C308" t="s">
        <v>76</v>
      </c>
      <c r="E308">
        <v>100</v>
      </c>
      <c r="F308">
        <v>75</v>
      </c>
      <c r="G308">
        <v>115</v>
      </c>
      <c r="H308">
        <v>90</v>
      </c>
      <c r="I308">
        <v>115</v>
      </c>
      <c r="J308">
        <v>85</v>
      </c>
      <c r="K308">
        <v>580</v>
      </c>
    </row>
    <row r="309" spans="1:11" x14ac:dyDescent="0.25">
      <c r="A309" t="s">
        <v>847</v>
      </c>
      <c r="B309" t="s">
        <v>846</v>
      </c>
      <c r="C309" t="s">
        <v>290</v>
      </c>
      <c r="D309" t="s">
        <v>132</v>
      </c>
      <c r="E309">
        <v>50</v>
      </c>
      <c r="F309">
        <v>64</v>
      </c>
      <c r="G309">
        <v>50</v>
      </c>
      <c r="H309">
        <v>45</v>
      </c>
      <c r="I309">
        <v>50</v>
      </c>
      <c r="J309">
        <v>41</v>
      </c>
      <c r="K309">
        <v>300</v>
      </c>
    </row>
    <row r="310" spans="1:11" x14ac:dyDescent="0.25">
      <c r="A310" t="s">
        <v>849</v>
      </c>
      <c r="B310" t="s">
        <v>848</v>
      </c>
      <c r="C310" t="s">
        <v>290</v>
      </c>
      <c r="D310" t="s">
        <v>132</v>
      </c>
      <c r="E310">
        <v>70</v>
      </c>
      <c r="F310">
        <v>84</v>
      </c>
      <c r="G310">
        <v>70</v>
      </c>
      <c r="H310">
        <v>65</v>
      </c>
      <c r="I310">
        <v>70</v>
      </c>
      <c r="J310">
        <v>51</v>
      </c>
      <c r="K310">
        <v>410</v>
      </c>
    </row>
    <row r="311" spans="1:11" x14ac:dyDescent="0.25">
      <c r="A311" t="s">
        <v>851</v>
      </c>
      <c r="B311" t="s">
        <v>850</v>
      </c>
      <c r="C311" t="s">
        <v>290</v>
      </c>
      <c r="D311" t="s">
        <v>135</v>
      </c>
      <c r="E311">
        <v>100</v>
      </c>
      <c r="F311">
        <v>134</v>
      </c>
      <c r="G311">
        <v>110</v>
      </c>
      <c r="H311">
        <v>95</v>
      </c>
      <c r="I311">
        <v>100</v>
      </c>
      <c r="J311">
        <v>61</v>
      </c>
      <c r="K311">
        <v>600</v>
      </c>
    </row>
    <row r="312" spans="1:11" x14ac:dyDescent="0.25">
      <c r="A312" t="s">
        <v>854</v>
      </c>
      <c r="B312" t="s">
        <v>853</v>
      </c>
      <c r="C312" t="s">
        <v>290</v>
      </c>
      <c r="D312" t="s">
        <v>135</v>
      </c>
      <c r="E312">
        <v>100</v>
      </c>
      <c r="F312">
        <v>164</v>
      </c>
      <c r="G312">
        <v>150</v>
      </c>
      <c r="H312">
        <v>95</v>
      </c>
      <c r="I312">
        <v>120</v>
      </c>
      <c r="J312">
        <v>71</v>
      </c>
      <c r="K312">
        <v>700</v>
      </c>
    </row>
    <row r="313" spans="1:11" x14ac:dyDescent="0.25">
      <c r="A313" t="s">
        <v>856</v>
      </c>
      <c r="B313" t="s">
        <v>855</v>
      </c>
      <c r="C313" t="s">
        <v>162</v>
      </c>
      <c r="D313" t="s">
        <v>66</v>
      </c>
      <c r="E313">
        <v>106</v>
      </c>
      <c r="F313">
        <v>90</v>
      </c>
      <c r="G313">
        <v>130</v>
      </c>
      <c r="H313">
        <v>90</v>
      </c>
      <c r="I313">
        <v>154</v>
      </c>
      <c r="J313">
        <v>110</v>
      </c>
      <c r="K313">
        <v>680</v>
      </c>
    </row>
    <row r="314" spans="1:11" x14ac:dyDescent="0.25">
      <c r="A314" t="s">
        <v>858</v>
      </c>
      <c r="B314" t="s">
        <v>857</v>
      </c>
      <c r="C314" t="s">
        <v>57</v>
      </c>
      <c r="D314" t="s">
        <v>66</v>
      </c>
      <c r="E314">
        <v>106</v>
      </c>
      <c r="F314">
        <v>130</v>
      </c>
      <c r="G314">
        <v>90</v>
      </c>
      <c r="H314">
        <v>110</v>
      </c>
      <c r="I314">
        <v>154</v>
      </c>
      <c r="J314">
        <v>90</v>
      </c>
      <c r="K314">
        <v>680</v>
      </c>
    </row>
    <row r="315" spans="1:11" x14ac:dyDescent="0.25">
      <c r="A315" t="s">
        <v>860</v>
      </c>
      <c r="B315" t="s">
        <v>859</v>
      </c>
      <c r="C315" t="s">
        <v>162</v>
      </c>
      <c r="D315" t="s">
        <v>40</v>
      </c>
      <c r="E315">
        <v>100</v>
      </c>
      <c r="F315">
        <v>100</v>
      </c>
      <c r="G315">
        <v>100</v>
      </c>
      <c r="H315">
        <v>100</v>
      </c>
      <c r="I315">
        <v>100</v>
      </c>
      <c r="J315">
        <v>100</v>
      </c>
      <c r="K315">
        <v>600</v>
      </c>
    </row>
    <row r="316" spans="1:11" x14ac:dyDescent="0.25">
      <c r="A316" t="s">
        <v>862</v>
      </c>
      <c r="B316" t="s">
        <v>861</v>
      </c>
      <c r="C316" t="s">
        <v>40</v>
      </c>
      <c r="E316">
        <v>40</v>
      </c>
      <c r="F316">
        <v>45</v>
      </c>
      <c r="G316">
        <v>35</v>
      </c>
      <c r="H316">
        <v>65</v>
      </c>
      <c r="I316">
        <v>55</v>
      </c>
      <c r="J316">
        <v>70</v>
      </c>
      <c r="K316">
        <v>310</v>
      </c>
    </row>
    <row r="317" spans="1:11" x14ac:dyDescent="0.25">
      <c r="A317" t="s">
        <v>864</v>
      </c>
      <c r="B317" t="s">
        <v>863</v>
      </c>
      <c r="C317" t="s">
        <v>40</v>
      </c>
      <c r="E317">
        <v>50</v>
      </c>
      <c r="F317">
        <v>65</v>
      </c>
      <c r="G317">
        <v>45</v>
      </c>
      <c r="H317">
        <v>85</v>
      </c>
      <c r="I317">
        <v>65</v>
      </c>
      <c r="J317">
        <v>95</v>
      </c>
      <c r="K317">
        <v>405</v>
      </c>
    </row>
    <row r="318" spans="1:11" x14ac:dyDescent="0.25">
      <c r="A318" t="s">
        <v>866</v>
      </c>
      <c r="B318" t="s">
        <v>865</v>
      </c>
      <c r="C318" t="s">
        <v>40</v>
      </c>
      <c r="E318">
        <v>70</v>
      </c>
      <c r="F318">
        <v>85</v>
      </c>
      <c r="G318">
        <v>65</v>
      </c>
      <c r="H318">
        <v>105</v>
      </c>
      <c r="I318">
        <v>85</v>
      </c>
      <c r="J318">
        <v>120</v>
      </c>
      <c r="K318">
        <v>530</v>
      </c>
    </row>
    <row r="319" spans="1:11" x14ac:dyDescent="0.25">
      <c r="A319" t="s">
        <v>868</v>
      </c>
      <c r="B319" t="s">
        <v>867</v>
      </c>
      <c r="C319" t="s">
        <v>40</v>
      </c>
      <c r="D319" t="s">
        <v>61</v>
      </c>
      <c r="E319">
        <v>70</v>
      </c>
      <c r="F319">
        <v>110</v>
      </c>
      <c r="G319">
        <v>75</v>
      </c>
      <c r="H319">
        <v>145</v>
      </c>
      <c r="I319">
        <v>85</v>
      </c>
      <c r="J319">
        <v>145</v>
      </c>
      <c r="K319">
        <v>630</v>
      </c>
    </row>
    <row r="320" spans="1:11" x14ac:dyDescent="0.25">
      <c r="A320" t="s">
        <v>870</v>
      </c>
      <c r="B320" t="s">
        <v>869</v>
      </c>
      <c r="C320" t="s">
        <v>57</v>
      </c>
      <c r="E320">
        <v>45</v>
      </c>
      <c r="F320">
        <v>60</v>
      </c>
      <c r="G320">
        <v>40</v>
      </c>
      <c r="H320">
        <v>70</v>
      </c>
      <c r="I320">
        <v>50</v>
      </c>
      <c r="J320">
        <v>45</v>
      </c>
      <c r="K320">
        <v>310</v>
      </c>
    </row>
    <row r="321" spans="1:11" x14ac:dyDescent="0.25">
      <c r="A321" t="s">
        <v>872</v>
      </c>
      <c r="B321" t="s">
        <v>871</v>
      </c>
      <c r="C321" t="s">
        <v>57</v>
      </c>
      <c r="D321" t="s">
        <v>279</v>
      </c>
      <c r="E321">
        <v>60</v>
      </c>
      <c r="F321">
        <v>85</v>
      </c>
      <c r="G321">
        <v>60</v>
      </c>
      <c r="H321">
        <v>85</v>
      </c>
      <c r="I321">
        <v>60</v>
      </c>
      <c r="J321">
        <v>55</v>
      </c>
      <c r="K321">
        <v>405</v>
      </c>
    </row>
    <row r="322" spans="1:11" x14ac:dyDescent="0.25">
      <c r="A322" t="s">
        <v>874</v>
      </c>
      <c r="B322" t="s">
        <v>873</v>
      </c>
      <c r="C322" t="s">
        <v>57</v>
      </c>
      <c r="D322" t="s">
        <v>279</v>
      </c>
      <c r="E322">
        <v>80</v>
      </c>
      <c r="F322">
        <v>120</v>
      </c>
      <c r="G322">
        <v>70</v>
      </c>
      <c r="H322">
        <v>110</v>
      </c>
      <c r="I322">
        <v>70</v>
      </c>
      <c r="J322">
        <v>80</v>
      </c>
      <c r="K322">
        <v>530</v>
      </c>
    </row>
    <row r="323" spans="1:11" x14ac:dyDescent="0.25">
      <c r="A323" t="s">
        <v>876</v>
      </c>
      <c r="B323" t="s">
        <v>875</v>
      </c>
      <c r="C323" t="s">
        <v>57</v>
      </c>
      <c r="D323" t="s">
        <v>279</v>
      </c>
      <c r="E323">
        <v>80</v>
      </c>
      <c r="F323">
        <v>160</v>
      </c>
      <c r="G323">
        <v>80</v>
      </c>
      <c r="H323">
        <v>130</v>
      </c>
      <c r="I323">
        <v>80</v>
      </c>
      <c r="J323">
        <v>100</v>
      </c>
      <c r="K323">
        <v>630</v>
      </c>
    </row>
    <row r="324" spans="1:11" x14ac:dyDescent="0.25">
      <c r="A324" t="s">
        <v>878</v>
      </c>
      <c r="B324" t="s">
        <v>877</v>
      </c>
      <c r="C324" t="s">
        <v>76</v>
      </c>
      <c r="E324">
        <v>50</v>
      </c>
      <c r="F324">
        <v>70</v>
      </c>
      <c r="G324">
        <v>50</v>
      </c>
      <c r="H324">
        <v>50</v>
      </c>
      <c r="I324">
        <v>50</v>
      </c>
      <c r="J324">
        <v>40</v>
      </c>
      <c r="K324">
        <v>310</v>
      </c>
    </row>
    <row r="325" spans="1:11" x14ac:dyDescent="0.25">
      <c r="A325" t="s">
        <v>880</v>
      </c>
      <c r="B325" t="s">
        <v>879</v>
      </c>
      <c r="C325" t="s">
        <v>76</v>
      </c>
      <c r="D325" t="s">
        <v>132</v>
      </c>
      <c r="E325">
        <v>70</v>
      </c>
      <c r="F325">
        <v>85</v>
      </c>
      <c r="G325">
        <v>70</v>
      </c>
      <c r="H325">
        <v>60</v>
      </c>
      <c r="I325">
        <v>70</v>
      </c>
      <c r="J325">
        <v>50</v>
      </c>
      <c r="K325">
        <v>405</v>
      </c>
    </row>
    <row r="326" spans="1:11" x14ac:dyDescent="0.25">
      <c r="A326" t="s">
        <v>882</v>
      </c>
      <c r="B326" t="s">
        <v>881</v>
      </c>
      <c r="C326" t="s">
        <v>76</v>
      </c>
      <c r="D326" t="s">
        <v>132</v>
      </c>
      <c r="E326">
        <v>100</v>
      </c>
      <c r="F326">
        <v>110</v>
      </c>
      <c r="G326">
        <v>90</v>
      </c>
      <c r="H326">
        <v>85</v>
      </c>
      <c r="I326">
        <v>90</v>
      </c>
      <c r="J326">
        <v>60</v>
      </c>
      <c r="K326">
        <v>535</v>
      </c>
    </row>
    <row r="327" spans="1:11" x14ac:dyDescent="0.25">
      <c r="A327" t="s">
        <v>884</v>
      </c>
      <c r="B327" t="s">
        <v>883</v>
      </c>
      <c r="C327" t="s">
        <v>76</v>
      </c>
      <c r="D327" t="s">
        <v>132</v>
      </c>
      <c r="E327">
        <v>100</v>
      </c>
      <c r="F327">
        <v>150</v>
      </c>
      <c r="G327">
        <v>110</v>
      </c>
      <c r="H327">
        <v>95</v>
      </c>
      <c r="I327">
        <v>110</v>
      </c>
      <c r="J327">
        <v>70</v>
      </c>
      <c r="K327">
        <v>635</v>
      </c>
    </row>
    <row r="328" spans="1:11" x14ac:dyDescent="0.25">
      <c r="A328" t="s">
        <v>886</v>
      </c>
      <c r="B328" t="s">
        <v>885</v>
      </c>
      <c r="C328" t="s">
        <v>135</v>
      </c>
      <c r="E328">
        <v>35</v>
      </c>
      <c r="F328">
        <v>55</v>
      </c>
      <c r="G328">
        <v>35</v>
      </c>
      <c r="H328">
        <v>30</v>
      </c>
      <c r="I328">
        <v>30</v>
      </c>
      <c r="J328">
        <v>35</v>
      </c>
      <c r="K328">
        <v>220</v>
      </c>
    </row>
    <row r="329" spans="1:11" x14ac:dyDescent="0.25">
      <c r="A329" t="s">
        <v>888</v>
      </c>
      <c r="B329" t="s">
        <v>887</v>
      </c>
      <c r="C329" t="s">
        <v>135</v>
      </c>
      <c r="E329">
        <v>70</v>
      </c>
      <c r="F329">
        <v>90</v>
      </c>
      <c r="G329">
        <v>70</v>
      </c>
      <c r="H329">
        <v>60</v>
      </c>
      <c r="I329">
        <v>60</v>
      </c>
      <c r="J329">
        <v>70</v>
      </c>
      <c r="K329">
        <v>420</v>
      </c>
    </row>
    <row r="330" spans="1:11" x14ac:dyDescent="0.25">
      <c r="A330" t="s">
        <v>890</v>
      </c>
      <c r="B330" t="s">
        <v>889</v>
      </c>
      <c r="C330" t="s">
        <v>116</v>
      </c>
      <c r="E330">
        <v>38</v>
      </c>
      <c r="F330">
        <v>30</v>
      </c>
      <c r="G330">
        <v>41</v>
      </c>
      <c r="H330">
        <v>30</v>
      </c>
      <c r="I330">
        <v>41</v>
      </c>
      <c r="J330">
        <v>60</v>
      </c>
      <c r="K330">
        <v>240</v>
      </c>
    </row>
    <row r="331" spans="1:11" x14ac:dyDescent="0.25">
      <c r="A331" t="s">
        <v>892</v>
      </c>
      <c r="B331" t="s">
        <v>891</v>
      </c>
      <c r="C331" t="s">
        <v>135</v>
      </c>
      <c r="D331" t="s">
        <v>116</v>
      </c>
      <c r="E331">
        <v>38</v>
      </c>
      <c r="F331">
        <v>30</v>
      </c>
      <c r="G331">
        <v>41</v>
      </c>
      <c r="H331">
        <v>30</v>
      </c>
      <c r="I331">
        <v>41</v>
      </c>
      <c r="J331">
        <v>60</v>
      </c>
      <c r="K331">
        <v>240</v>
      </c>
    </row>
    <row r="332" spans="1:11" x14ac:dyDescent="0.25">
      <c r="A332" t="s">
        <v>894</v>
      </c>
      <c r="B332" t="s">
        <v>893</v>
      </c>
      <c r="C332" t="s">
        <v>116</v>
      </c>
      <c r="E332">
        <v>78</v>
      </c>
      <c r="F332">
        <v>70</v>
      </c>
      <c r="G332">
        <v>61</v>
      </c>
      <c r="H332">
        <v>50</v>
      </c>
      <c r="I332">
        <v>61</v>
      </c>
      <c r="J332">
        <v>100</v>
      </c>
      <c r="K332">
        <v>420</v>
      </c>
    </row>
    <row r="333" spans="1:11" x14ac:dyDescent="0.25">
      <c r="A333" t="s">
        <v>896</v>
      </c>
      <c r="B333" t="s">
        <v>895</v>
      </c>
      <c r="C333" t="s">
        <v>135</v>
      </c>
      <c r="D333" t="s">
        <v>116</v>
      </c>
      <c r="E333">
        <v>78</v>
      </c>
      <c r="F333">
        <v>70</v>
      </c>
      <c r="G333">
        <v>61</v>
      </c>
      <c r="H333">
        <v>50</v>
      </c>
      <c r="I333">
        <v>61</v>
      </c>
      <c r="J333">
        <v>100</v>
      </c>
      <c r="K333">
        <v>420</v>
      </c>
    </row>
    <row r="334" spans="1:11" x14ac:dyDescent="0.25">
      <c r="A334" t="s">
        <v>898</v>
      </c>
      <c r="B334" t="s">
        <v>897</v>
      </c>
      <c r="C334" t="s">
        <v>90</v>
      </c>
      <c r="E334">
        <v>45</v>
      </c>
      <c r="F334">
        <v>45</v>
      </c>
      <c r="G334">
        <v>35</v>
      </c>
      <c r="H334">
        <v>20</v>
      </c>
      <c r="I334">
        <v>30</v>
      </c>
      <c r="J334">
        <v>20</v>
      </c>
      <c r="K334">
        <v>195</v>
      </c>
    </row>
    <row r="335" spans="1:11" x14ac:dyDescent="0.25">
      <c r="A335" t="s">
        <v>900</v>
      </c>
      <c r="B335" t="s">
        <v>899</v>
      </c>
      <c r="C335" t="s">
        <v>90</v>
      </c>
      <c r="E335">
        <v>50</v>
      </c>
      <c r="F335">
        <v>35</v>
      </c>
      <c r="G335">
        <v>55</v>
      </c>
      <c r="H335">
        <v>25</v>
      </c>
      <c r="I335">
        <v>25</v>
      </c>
      <c r="J335">
        <v>15</v>
      </c>
      <c r="K335">
        <v>205</v>
      </c>
    </row>
    <row r="336" spans="1:11" x14ac:dyDescent="0.25">
      <c r="A336" t="s">
        <v>902</v>
      </c>
      <c r="B336" t="s">
        <v>901</v>
      </c>
      <c r="C336" t="s">
        <v>90</v>
      </c>
      <c r="D336" t="s">
        <v>66</v>
      </c>
      <c r="E336">
        <v>60</v>
      </c>
      <c r="F336">
        <v>70</v>
      </c>
      <c r="G336">
        <v>50</v>
      </c>
      <c r="H336">
        <v>100</v>
      </c>
      <c r="I336">
        <v>50</v>
      </c>
      <c r="J336">
        <v>65</v>
      </c>
      <c r="K336">
        <v>395</v>
      </c>
    </row>
    <row r="337" spans="1:11" x14ac:dyDescent="0.25">
      <c r="A337" t="s">
        <v>904</v>
      </c>
      <c r="B337" t="s">
        <v>903</v>
      </c>
      <c r="C337" t="s">
        <v>90</v>
      </c>
      <c r="E337">
        <v>50</v>
      </c>
      <c r="F337">
        <v>35</v>
      </c>
      <c r="G337">
        <v>55</v>
      </c>
      <c r="H337">
        <v>25</v>
      </c>
      <c r="I337">
        <v>25</v>
      </c>
      <c r="J337">
        <v>15</v>
      </c>
      <c r="K337">
        <v>205</v>
      </c>
    </row>
    <row r="338" spans="1:11" x14ac:dyDescent="0.25">
      <c r="A338" t="s">
        <v>906</v>
      </c>
      <c r="B338" t="s">
        <v>905</v>
      </c>
      <c r="C338" t="s">
        <v>90</v>
      </c>
      <c r="D338" t="s">
        <v>41</v>
      </c>
      <c r="E338">
        <v>60</v>
      </c>
      <c r="F338">
        <v>50</v>
      </c>
      <c r="G338">
        <v>70</v>
      </c>
      <c r="H338">
        <v>50</v>
      </c>
      <c r="I338">
        <v>90</v>
      </c>
      <c r="J338">
        <v>65</v>
      </c>
      <c r="K338">
        <v>385</v>
      </c>
    </row>
    <row r="339" spans="1:11" x14ac:dyDescent="0.25">
      <c r="A339" t="s">
        <v>908</v>
      </c>
      <c r="B339" t="s">
        <v>907</v>
      </c>
      <c r="C339" t="s">
        <v>76</v>
      </c>
      <c r="D339" t="s">
        <v>40</v>
      </c>
      <c r="E339">
        <v>40</v>
      </c>
      <c r="F339">
        <v>30</v>
      </c>
      <c r="G339">
        <v>30</v>
      </c>
      <c r="H339">
        <v>40</v>
      </c>
      <c r="I339">
        <v>50</v>
      </c>
      <c r="J339">
        <v>30</v>
      </c>
      <c r="K339">
        <v>220</v>
      </c>
    </row>
    <row r="340" spans="1:11" x14ac:dyDescent="0.25">
      <c r="A340" t="s">
        <v>910</v>
      </c>
      <c r="B340" t="s">
        <v>909</v>
      </c>
      <c r="C340" t="s">
        <v>76</v>
      </c>
      <c r="D340" t="s">
        <v>40</v>
      </c>
      <c r="E340">
        <v>60</v>
      </c>
      <c r="F340">
        <v>50</v>
      </c>
      <c r="G340">
        <v>50</v>
      </c>
      <c r="H340">
        <v>60</v>
      </c>
      <c r="I340">
        <v>70</v>
      </c>
      <c r="J340">
        <v>50</v>
      </c>
      <c r="K340">
        <v>340</v>
      </c>
    </row>
    <row r="341" spans="1:11" x14ac:dyDescent="0.25">
      <c r="A341" t="s">
        <v>912</v>
      </c>
      <c r="B341" t="s">
        <v>911</v>
      </c>
      <c r="C341" t="s">
        <v>76</v>
      </c>
      <c r="D341" t="s">
        <v>40</v>
      </c>
      <c r="E341">
        <v>80</v>
      </c>
      <c r="F341">
        <v>70</v>
      </c>
      <c r="G341">
        <v>70</v>
      </c>
      <c r="H341">
        <v>90</v>
      </c>
      <c r="I341">
        <v>100</v>
      </c>
      <c r="J341">
        <v>70</v>
      </c>
      <c r="K341">
        <v>480</v>
      </c>
    </row>
    <row r="342" spans="1:11" x14ac:dyDescent="0.25">
      <c r="A342" t="s">
        <v>914</v>
      </c>
      <c r="B342" t="s">
        <v>913</v>
      </c>
      <c r="C342" t="s">
        <v>40</v>
      </c>
      <c r="E342">
        <v>40</v>
      </c>
      <c r="F342">
        <v>40</v>
      </c>
      <c r="G342">
        <v>50</v>
      </c>
      <c r="H342">
        <v>30</v>
      </c>
      <c r="I342">
        <v>30</v>
      </c>
      <c r="J342">
        <v>30</v>
      </c>
      <c r="K342">
        <v>220</v>
      </c>
    </row>
    <row r="343" spans="1:11" x14ac:dyDescent="0.25">
      <c r="A343" t="s">
        <v>916</v>
      </c>
      <c r="B343" t="s">
        <v>915</v>
      </c>
      <c r="C343" t="s">
        <v>40</v>
      </c>
      <c r="D343" t="s">
        <v>135</v>
      </c>
      <c r="E343">
        <v>70</v>
      </c>
      <c r="F343">
        <v>70</v>
      </c>
      <c r="G343">
        <v>40</v>
      </c>
      <c r="H343">
        <v>60</v>
      </c>
      <c r="I343">
        <v>40</v>
      </c>
      <c r="J343">
        <v>60</v>
      </c>
      <c r="K343">
        <v>340</v>
      </c>
    </row>
    <row r="344" spans="1:11" x14ac:dyDescent="0.25">
      <c r="A344" t="s">
        <v>918</v>
      </c>
      <c r="B344" t="s">
        <v>917</v>
      </c>
      <c r="C344" t="s">
        <v>40</v>
      </c>
      <c r="D344" t="s">
        <v>135</v>
      </c>
      <c r="E344">
        <v>90</v>
      </c>
      <c r="F344">
        <v>100</v>
      </c>
      <c r="G344">
        <v>60</v>
      </c>
      <c r="H344">
        <v>90</v>
      </c>
      <c r="I344">
        <v>60</v>
      </c>
      <c r="J344">
        <v>80</v>
      </c>
      <c r="K344">
        <v>480</v>
      </c>
    </row>
    <row r="345" spans="1:11" x14ac:dyDescent="0.25">
      <c r="A345" t="s">
        <v>920</v>
      </c>
      <c r="B345" t="s">
        <v>919</v>
      </c>
      <c r="C345" t="s">
        <v>116</v>
      </c>
      <c r="D345" t="s">
        <v>66</v>
      </c>
      <c r="E345">
        <v>40</v>
      </c>
      <c r="F345">
        <v>55</v>
      </c>
      <c r="G345">
        <v>30</v>
      </c>
      <c r="H345">
        <v>30</v>
      </c>
      <c r="I345">
        <v>30</v>
      </c>
      <c r="J345">
        <v>85</v>
      </c>
      <c r="K345">
        <v>270</v>
      </c>
    </row>
    <row r="346" spans="1:11" x14ac:dyDescent="0.25">
      <c r="A346" t="s">
        <v>922</v>
      </c>
      <c r="B346" t="s">
        <v>921</v>
      </c>
      <c r="C346" t="s">
        <v>116</v>
      </c>
      <c r="D346" t="s">
        <v>66</v>
      </c>
      <c r="E346">
        <v>60</v>
      </c>
      <c r="F346">
        <v>85</v>
      </c>
      <c r="G346">
        <v>60</v>
      </c>
      <c r="H346">
        <v>75</v>
      </c>
      <c r="I346">
        <v>50</v>
      </c>
      <c r="J346">
        <v>125</v>
      </c>
      <c r="K346">
        <v>455</v>
      </c>
    </row>
    <row r="347" spans="1:11" x14ac:dyDescent="0.25">
      <c r="A347" t="s">
        <v>924</v>
      </c>
      <c r="B347" t="s">
        <v>923</v>
      </c>
      <c r="C347" t="s">
        <v>76</v>
      </c>
      <c r="D347" t="s">
        <v>66</v>
      </c>
      <c r="E347">
        <v>40</v>
      </c>
      <c r="F347">
        <v>30</v>
      </c>
      <c r="G347">
        <v>30</v>
      </c>
      <c r="H347">
        <v>55</v>
      </c>
      <c r="I347">
        <v>30</v>
      </c>
      <c r="J347">
        <v>85</v>
      </c>
      <c r="K347">
        <v>270</v>
      </c>
    </row>
    <row r="348" spans="1:11" x14ac:dyDescent="0.25">
      <c r="A348" t="s">
        <v>926</v>
      </c>
      <c r="B348" t="s">
        <v>925</v>
      </c>
      <c r="C348" t="s">
        <v>76</v>
      </c>
      <c r="D348" t="s">
        <v>66</v>
      </c>
      <c r="E348">
        <v>60</v>
      </c>
      <c r="F348">
        <v>50</v>
      </c>
      <c r="G348">
        <v>100</v>
      </c>
      <c r="H348">
        <v>95</v>
      </c>
      <c r="I348">
        <v>70</v>
      </c>
      <c r="J348">
        <v>65</v>
      </c>
      <c r="K348">
        <v>440</v>
      </c>
    </row>
    <row r="349" spans="1:11" x14ac:dyDescent="0.25">
      <c r="A349" t="s">
        <v>928</v>
      </c>
      <c r="B349" t="s">
        <v>927</v>
      </c>
      <c r="C349" t="s">
        <v>162</v>
      </c>
      <c r="D349" t="s">
        <v>157</v>
      </c>
      <c r="E349">
        <v>28</v>
      </c>
      <c r="F349">
        <v>25</v>
      </c>
      <c r="G349">
        <v>25</v>
      </c>
      <c r="H349">
        <v>45</v>
      </c>
      <c r="I349">
        <v>35</v>
      </c>
      <c r="J349">
        <v>40</v>
      </c>
      <c r="K349">
        <v>198</v>
      </c>
    </row>
    <row r="350" spans="1:11" x14ac:dyDescent="0.25">
      <c r="A350" t="s">
        <v>930</v>
      </c>
      <c r="B350" t="s">
        <v>929</v>
      </c>
      <c r="C350" t="s">
        <v>162</v>
      </c>
      <c r="D350" t="s">
        <v>157</v>
      </c>
      <c r="E350">
        <v>38</v>
      </c>
      <c r="F350">
        <v>35</v>
      </c>
      <c r="G350">
        <v>35</v>
      </c>
      <c r="H350">
        <v>65</v>
      </c>
      <c r="I350">
        <v>55</v>
      </c>
      <c r="J350">
        <v>50</v>
      </c>
      <c r="K350">
        <v>278</v>
      </c>
    </row>
    <row r="351" spans="1:11" x14ac:dyDescent="0.25">
      <c r="A351" t="s">
        <v>932</v>
      </c>
      <c r="B351" t="s">
        <v>931</v>
      </c>
      <c r="C351" t="s">
        <v>162</v>
      </c>
      <c r="D351" t="s">
        <v>157</v>
      </c>
      <c r="E351">
        <v>68</v>
      </c>
      <c r="F351">
        <v>65</v>
      </c>
      <c r="G351">
        <v>65</v>
      </c>
      <c r="H351">
        <v>125</v>
      </c>
      <c r="I351">
        <v>115</v>
      </c>
      <c r="J351">
        <v>80</v>
      </c>
      <c r="K351">
        <v>518</v>
      </c>
    </row>
    <row r="352" spans="1:11" x14ac:dyDescent="0.25">
      <c r="A352" t="s">
        <v>934</v>
      </c>
      <c r="B352" t="s">
        <v>933</v>
      </c>
      <c r="C352" t="s">
        <v>162</v>
      </c>
      <c r="D352" t="s">
        <v>157</v>
      </c>
      <c r="E352">
        <v>68</v>
      </c>
      <c r="F352">
        <v>85</v>
      </c>
      <c r="G352">
        <v>65</v>
      </c>
      <c r="H352">
        <v>165</v>
      </c>
      <c r="I352">
        <v>135</v>
      </c>
      <c r="J352">
        <v>100</v>
      </c>
      <c r="K352">
        <v>618</v>
      </c>
    </row>
    <row r="353" spans="1:11" x14ac:dyDescent="0.25">
      <c r="A353" t="s">
        <v>937</v>
      </c>
      <c r="B353" t="s">
        <v>936</v>
      </c>
      <c r="C353" t="s">
        <v>90</v>
      </c>
      <c r="D353" t="s">
        <v>76</v>
      </c>
      <c r="E353">
        <v>40</v>
      </c>
      <c r="F353">
        <v>30</v>
      </c>
      <c r="G353">
        <v>32</v>
      </c>
      <c r="H353">
        <v>50</v>
      </c>
      <c r="I353">
        <v>52</v>
      </c>
      <c r="J353">
        <v>65</v>
      </c>
      <c r="K353">
        <v>269</v>
      </c>
    </row>
    <row r="354" spans="1:11" x14ac:dyDescent="0.25">
      <c r="A354" t="s">
        <v>939</v>
      </c>
      <c r="B354" t="s">
        <v>938</v>
      </c>
      <c r="C354" t="s">
        <v>90</v>
      </c>
      <c r="D354" t="s">
        <v>66</v>
      </c>
      <c r="E354">
        <v>70</v>
      </c>
      <c r="F354">
        <v>60</v>
      </c>
      <c r="G354">
        <v>62</v>
      </c>
      <c r="H354">
        <v>100</v>
      </c>
      <c r="I354">
        <v>82</v>
      </c>
      <c r="J354">
        <v>80</v>
      </c>
      <c r="K354">
        <v>454</v>
      </c>
    </row>
    <row r="355" spans="1:11" x14ac:dyDescent="0.25">
      <c r="A355" t="s">
        <v>941</v>
      </c>
      <c r="B355" t="s">
        <v>940</v>
      </c>
      <c r="C355" t="s">
        <v>40</v>
      </c>
      <c r="E355">
        <v>60</v>
      </c>
      <c r="F355">
        <v>40</v>
      </c>
      <c r="G355">
        <v>60</v>
      </c>
      <c r="H355">
        <v>40</v>
      </c>
      <c r="I355">
        <v>60</v>
      </c>
      <c r="J355">
        <v>35</v>
      </c>
      <c r="K355">
        <v>295</v>
      </c>
    </row>
    <row r="356" spans="1:11" x14ac:dyDescent="0.25">
      <c r="A356" t="s">
        <v>944</v>
      </c>
      <c r="B356" t="s">
        <v>943</v>
      </c>
      <c r="C356" t="s">
        <v>40</v>
      </c>
      <c r="D356" t="s">
        <v>279</v>
      </c>
      <c r="E356">
        <v>60</v>
      </c>
      <c r="F356">
        <v>130</v>
      </c>
      <c r="G356">
        <v>80</v>
      </c>
      <c r="H356">
        <v>60</v>
      </c>
      <c r="I356">
        <v>60</v>
      </c>
      <c r="J356">
        <v>70</v>
      </c>
      <c r="K356">
        <v>460</v>
      </c>
    </row>
    <row r="357" spans="1:11" x14ac:dyDescent="0.25">
      <c r="A357" t="s">
        <v>946</v>
      </c>
      <c r="B357" t="s">
        <v>945</v>
      </c>
      <c r="C357" t="s">
        <v>116</v>
      </c>
      <c r="E357">
        <v>60</v>
      </c>
      <c r="F357">
        <v>60</v>
      </c>
      <c r="G357">
        <v>60</v>
      </c>
      <c r="H357">
        <v>35</v>
      </c>
      <c r="I357">
        <v>35</v>
      </c>
      <c r="J357">
        <v>30</v>
      </c>
      <c r="K357">
        <v>280</v>
      </c>
    </row>
    <row r="358" spans="1:11" x14ac:dyDescent="0.25">
      <c r="A358" t="s">
        <v>949</v>
      </c>
      <c r="B358" t="s">
        <v>948</v>
      </c>
      <c r="C358" t="s">
        <v>116</v>
      </c>
      <c r="E358">
        <v>80</v>
      </c>
      <c r="F358">
        <v>80</v>
      </c>
      <c r="G358">
        <v>80</v>
      </c>
      <c r="H358">
        <v>55</v>
      </c>
      <c r="I358">
        <v>55</v>
      </c>
      <c r="J358">
        <v>90</v>
      </c>
      <c r="K358">
        <v>440</v>
      </c>
    </row>
    <row r="359" spans="1:11" x14ac:dyDescent="0.25">
      <c r="A359" t="s">
        <v>951</v>
      </c>
      <c r="B359" t="s">
        <v>950</v>
      </c>
      <c r="C359" t="s">
        <v>116</v>
      </c>
      <c r="E359">
        <v>150</v>
      </c>
      <c r="F359">
        <v>160</v>
      </c>
      <c r="G359">
        <v>100</v>
      </c>
      <c r="H359">
        <v>95</v>
      </c>
      <c r="I359">
        <v>65</v>
      </c>
      <c r="J359">
        <v>100</v>
      </c>
      <c r="K359">
        <v>670</v>
      </c>
    </row>
    <row r="360" spans="1:11" x14ac:dyDescent="0.25">
      <c r="A360" t="s">
        <v>953</v>
      </c>
      <c r="B360" t="s">
        <v>952</v>
      </c>
      <c r="C360" t="s">
        <v>90</v>
      </c>
      <c r="D360" t="s">
        <v>132</v>
      </c>
      <c r="E360">
        <v>31</v>
      </c>
      <c r="F360">
        <v>45</v>
      </c>
      <c r="G360">
        <v>90</v>
      </c>
      <c r="H360">
        <v>30</v>
      </c>
      <c r="I360">
        <v>30</v>
      </c>
      <c r="J360">
        <v>40</v>
      </c>
      <c r="K360">
        <v>266</v>
      </c>
    </row>
    <row r="361" spans="1:11" x14ac:dyDescent="0.25">
      <c r="A361" t="s">
        <v>955</v>
      </c>
      <c r="B361" t="s">
        <v>954</v>
      </c>
      <c r="C361" t="s">
        <v>90</v>
      </c>
      <c r="D361" t="s">
        <v>66</v>
      </c>
      <c r="E361">
        <v>61</v>
      </c>
      <c r="F361">
        <v>90</v>
      </c>
      <c r="G361">
        <v>45</v>
      </c>
      <c r="H361">
        <v>50</v>
      </c>
      <c r="I361">
        <v>50</v>
      </c>
      <c r="J361">
        <v>160</v>
      </c>
      <c r="K361">
        <v>456</v>
      </c>
    </row>
    <row r="362" spans="1:11" x14ac:dyDescent="0.25">
      <c r="A362" t="s">
        <v>957</v>
      </c>
      <c r="B362" t="s">
        <v>956</v>
      </c>
      <c r="C362" t="s">
        <v>90</v>
      </c>
      <c r="D362" t="s">
        <v>419</v>
      </c>
      <c r="E362">
        <v>1</v>
      </c>
      <c r="F362">
        <v>90</v>
      </c>
      <c r="G362">
        <v>45</v>
      </c>
      <c r="H362">
        <v>30</v>
      </c>
      <c r="I362">
        <v>30</v>
      </c>
      <c r="J362">
        <v>40</v>
      </c>
      <c r="K362">
        <v>236</v>
      </c>
    </row>
    <row r="363" spans="1:11" x14ac:dyDescent="0.25">
      <c r="A363" t="s">
        <v>960</v>
      </c>
      <c r="B363" t="s">
        <v>959</v>
      </c>
      <c r="C363" t="s">
        <v>116</v>
      </c>
      <c r="E363">
        <v>64</v>
      </c>
      <c r="F363">
        <v>51</v>
      </c>
      <c r="G363">
        <v>23</v>
      </c>
      <c r="H363">
        <v>51</v>
      </c>
      <c r="I363">
        <v>23</v>
      </c>
      <c r="J363">
        <v>28</v>
      </c>
      <c r="K363">
        <v>240</v>
      </c>
    </row>
    <row r="364" spans="1:11" x14ac:dyDescent="0.25">
      <c r="A364" t="s">
        <v>962</v>
      </c>
      <c r="B364" t="s">
        <v>961</v>
      </c>
      <c r="C364" t="s">
        <v>116</v>
      </c>
      <c r="E364">
        <v>84</v>
      </c>
      <c r="F364">
        <v>71</v>
      </c>
      <c r="G364">
        <v>43</v>
      </c>
      <c r="H364">
        <v>71</v>
      </c>
      <c r="I364">
        <v>43</v>
      </c>
      <c r="J364">
        <v>48</v>
      </c>
      <c r="K364">
        <v>360</v>
      </c>
    </row>
    <row r="365" spans="1:11" x14ac:dyDescent="0.25">
      <c r="A365" t="s">
        <v>964</v>
      </c>
      <c r="B365" t="s">
        <v>963</v>
      </c>
      <c r="C365" t="s">
        <v>116</v>
      </c>
      <c r="E365">
        <v>104</v>
      </c>
      <c r="F365">
        <v>91</v>
      </c>
      <c r="G365">
        <v>63</v>
      </c>
      <c r="H365">
        <v>91</v>
      </c>
      <c r="I365">
        <v>73</v>
      </c>
      <c r="J365">
        <v>68</v>
      </c>
      <c r="K365">
        <v>490</v>
      </c>
    </row>
    <row r="366" spans="1:11" x14ac:dyDescent="0.25">
      <c r="A366" t="s">
        <v>966</v>
      </c>
      <c r="B366" t="s">
        <v>965</v>
      </c>
      <c r="C366" t="s">
        <v>279</v>
      </c>
      <c r="E366">
        <v>72</v>
      </c>
      <c r="F366">
        <v>60</v>
      </c>
      <c r="G366">
        <v>30</v>
      </c>
      <c r="H366">
        <v>20</v>
      </c>
      <c r="I366">
        <v>30</v>
      </c>
      <c r="J366">
        <v>25</v>
      </c>
      <c r="K366">
        <v>237</v>
      </c>
    </row>
    <row r="367" spans="1:11" x14ac:dyDescent="0.25">
      <c r="A367" t="s">
        <v>968</v>
      </c>
      <c r="B367" t="s">
        <v>967</v>
      </c>
      <c r="C367" t="s">
        <v>279</v>
      </c>
      <c r="E367">
        <v>144</v>
      </c>
      <c r="F367">
        <v>120</v>
      </c>
      <c r="G367">
        <v>60</v>
      </c>
      <c r="H367">
        <v>40</v>
      </c>
      <c r="I367">
        <v>60</v>
      </c>
      <c r="J367">
        <v>50</v>
      </c>
      <c r="K367">
        <v>474</v>
      </c>
    </row>
    <row r="368" spans="1:11" x14ac:dyDescent="0.25">
      <c r="A368" t="s">
        <v>970</v>
      </c>
      <c r="B368" t="s">
        <v>969</v>
      </c>
      <c r="C368" t="s">
        <v>116</v>
      </c>
      <c r="D368" t="s">
        <v>157</v>
      </c>
      <c r="E368">
        <v>50</v>
      </c>
      <c r="F368">
        <v>20</v>
      </c>
      <c r="G368">
        <v>40</v>
      </c>
      <c r="H368">
        <v>20</v>
      </c>
      <c r="I368">
        <v>40</v>
      </c>
      <c r="J368">
        <v>20</v>
      </c>
      <c r="K368">
        <v>190</v>
      </c>
    </row>
    <row r="369" spans="1:11" x14ac:dyDescent="0.25">
      <c r="A369" t="s">
        <v>972</v>
      </c>
      <c r="B369" t="s">
        <v>971</v>
      </c>
      <c r="C369" t="s">
        <v>290</v>
      </c>
      <c r="E369">
        <v>30</v>
      </c>
      <c r="F369">
        <v>45</v>
      </c>
      <c r="G369">
        <v>135</v>
      </c>
      <c r="H369">
        <v>45</v>
      </c>
      <c r="I369">
        <v>90</v>
      </c>
      <c r="J369">
        <v>30</v>
      </c>
      <c r="K369">
        <v>375</v>
      </c>
    </row>
    <row r="370" spans="1:11" x14ac:dyDescent="0.25">
      <c r="A370" t="s">
        <v>974</v>
      </c>
      <c r="B370" t="s">
        <v>973</v>
      </c>
      <c r="C370" t="s">
        <v>116</v>
      </c>
      <c r="E370">
        <v>50</v>
      </c>
      <c r="F370">
        <v>45</v>
      </c>
      <c r="G370">
        <v>45</v>
      </c>
      <c r="H370">
        <v>35</v>
      </c>
      <c r="I370">
        <v>35</v>
      </c>
      <c r="J370">
        <v>50</v>
      </c>
      <c r="K370">
        <v>260</v>
      </c>
    </row>
    <row r="371" spans="1:11" x14ac:dyDescent="0.25">
      <c r="A371" t="s">
        <v>977</v>
      </c>
      <c r="B371" t="s">
        <v>976</v>
      </c>
      <c r="C371" t="s">
        <v>116</v>
      </c>
      <c r="E371">
        <v>70</v>
      </c>
      <c r="F371">
        <v>65</v>
      </c>
      <c r="G371">
        <v>65</v>
      </c>
      <c r="H371">
        <v>55</v>
      </c>
      <c r="I371">
        <v>55</v>
      </c>
      <c r="J371">
        <v>90</v>
      </c>
      <c r="K371">
        <v>400</v>
      </c>
    </row>
    <row r="372" spans="1:11" x14ac:dyDescent="0.25">
      <c r="A372" t="s">
        <v>979</v>
      </c>
      <c r="B372" t="s">
        <v>978</v>
      </c>
      <c r="C372" t="s">
        <v>135</v>
      </c>
      <c r="D372" t="s">
        <v>419</v>
      </c>
      <c r="E372">
        <v>50</v>
      </c>
      <c r="F372">
        <v>75</v>
      </c>
      <c r="G372">
        <v>75</v>
      </c>
      <c r="H372">
        <v>65</v>
      </c>
      <c r="I372">
        <v>65</v>
      </c>
      <c r="J372">
        <v>50</v>
      </c>
      <c r="K372">
        <v>380</v>
      </c>
    </row>
    <row r="373" spans="1:11" x14ac:dyDescent="0.25">
      <c r="A373" t="s">
        <v>982</v>
      </c>
      <c r="B373" t="s">
        <v>981</v>
      </c>
      <c r="C373" t="s">
        <v>135</v>
      </c>
      <c r="D373" t="s">
        <v>419</v>
      </c>
      <c r="E373">
        <v>50</v>
      </c>
      <c r="F373">
        <v>85</v>
      </c>
      <c r="G373">
        <v>125</v>
      </c>
      <c r="H373">
        <v>85</v>
      </c>
      <c r="I373">
        <v>115</v>
      </c>
      <c r="J373">
        <v>20</v>
      </c>
      <c r="K373">
        <v>480</v>
      </c>
    </row>
    <row r="374" spans="1:11" x14ac:dyDescent="0.25">
      <c r="A374" t="s">
        <v>984</v>
      </c>
      <c r="B374" t="s">
        <v>983</v>
      </c>
      <c r="C374" t="s">
        <v>171</v>
      </c>
      <c r="D374" t="s">
        <v>157</v>
      </c>
      <c r="E374">
        <v>50</v>
      </c>
      <c r="F374">
        <v>85</v>
      </c>
      <c r="G374">
        <v>85</v>
      </c>
      <c r="H374">
        <v>55</v>
      </c>
      <c r="I374">
        <v>55</v>
      </c>
      <c r="J374">
        <v>50</v>
      </c>
      <c r="K374">
        <v>380</v>
      </c>
    </row>
    <row r="375" spans="1:11" x14ac:dyDescent="0.25">
      <c r="A375" t="s">
        <v>986</v>
      </c>
      <c r="B375" t="s">
        <v>985</v>
      </c>
      <c r="C375" t="s">
        <v>171</v>
      </c>
      <c r="D375" t="s">
        <v>157</v>
      </c>
      <c r="E375">
        <v>50</v>
      </c>
      <c r="F375">
        <v>105</v>
      </c>
      <c r="G375">
        <v>125</v>
      </c>
      <c r="H375">
        <v>55</v>
      </c>
      <c r="I375">
        <v>95</v>
      </c>
      <c r="J375">
        <v>50</v>
      </c>
      <c r="K375">
        <v>480</v>
      </c>
    </row>
    <row r="376" spans="1:11" x14ac:dyDescent="0.25">
      <c r="A376" t="s">
        <v>988</v>
      </c>
      <c r="B376" t="s">
        <v>987</v>
      </c>
      <c r="C376" t="s">
        <v>171</v>
      </c>
      <c r="D376" t="s">
        <v>290</v>
      </c>
      <c r="E376">
        <v>50</v>
      </c>
      <c r="F376">
        <v>70</v>
      </c>
      <c r="G376">
        <v>100</v>
      </c>
      <c r="H376">
        <v>40</v>
      </c>
      <c r="I376">
        <v>40</v>
      </c>
      <c r="J376">
        <v>30</v>
      </c>
      <c r="K376">
        <v>330</v>
      </c>
    </row>
    <row r="377" spans="1:11" x14ac:dyDescent="0.25">
      <c r="A377" t="s">
        <v>991</v>
      </c>
      <c r="B377" t="s">
        <v>990</v>
      </c>
      <c r="C377" t="s">
        <v>171</v>
      </c>
      <c r="D377" t="s">
        <v>290</v>
      </c>
      <c r="E377">
        <v>60</v>
      </c>
      <c r="F377">
        <v>90</v>
      </c>
      <c r="G377">
        <v>140</v>
      </c>
      <c r="H377">
        <v>50</v>
      </c>
      <c r="I377">
        <v>50</v>
      </c>
      <c r="J377">
        <v>40</v>
      </c>
      <c r="K377">
        <v>430</v>
      </c>
    </row>
    <row r="378" spans="1:11" x14ac:dyDescent="0.25">
      <c r="A378" t="s">
        <v>993</v>
      </c>
      <c r="B378" t="s">
        <v>992</v>
      </c>
      <c r="C378" t="s">
        <v>171</v>
      </c>
      <c r="D378" t="s">
        <v>290</v>
      </c>
      <c r="E378">
        <v>70</v>
      </c>
      <c r="F378">
        <v>110</v>
      </c>
      <c r="G378">
        <v>180</v>
      </c>
      <c r="H378">
        <v>60</v>
      </c>
      <c r="I378">
        <v>60</v>
      </c>
      <c r="J378">
        <v>50</v>
      </c>
      <c r="K378">
        <v>530</v>
      </c>
    </row>
    <row r="379" spans="1:11" x14ac:dyDescent="0.25">
      <c r="A379" t="s">
        <v>995</v>
      </c>
      <c r="B379" t="s">
        <v>994</v>
      </c>
      <c r="C379" t="s">
        <v>171</v>
      </c>
      <c r="E379">
        <v>70</v>
      </c>
      <c r="F379">
        <v>140</v>
      </c>
      <c r="G379">
        <v>230</v>
      </c>
      <c r="H379">
        <v>60</v>
      </c>
      <c r="I379">
        <v>80</v>
      </c>
      <c r="J379">
        <v>50</v>
      </c>
      <c r="K379">
        <v>630</v>
      </c>
    </row>
    <row r="380" spans="1:11" x14ac:dyDescent="0.25">
      <c r="A380" t="s">
        <v>997</v>
      </c>
      <c r="B380" t="s">
        <v>996</v>
      </c>
      <c r="C380" t="s">
        <v>279</v>
      </c>
      <c r="D380" t="s">
        <v>162</v>
      </c>
      <c r="E380">
        <v>30</v>
      </c>
      <c r="F380">
        <v>40</v>
      </c>
      <c r="G380">
        <v>55</v>
      </c>
      <c r="H380">
        <v>40</v>
      </c>
      <c r="I380">
        <v>55</v>
      </c>
      <c r="J380">
        <v>60</v>
      </c>
      <c r="K380">
        <v>280</v>
      </c>
    </row>
    <row r="381" spans="1:11" x14ac:dyDescent="0.25">
      <c r="A381" t="s">
        <v>1000</v>
      </c>
      <c r="B381" t="s">
        <v>999</v>
      </c>
      <c r="C381" t="s">
        <v>279</v>
      </c>
      <c r="D381" t="s">
        <v>162</v>
      </c>
      <c r="E381">
        <v>60</v>
      </c>
      <c r="F381">
        <v>60</v>
      </c>
      <c r="G381">
        <v>75</v>
      </c>
      <c r="H381">
        <v>60</v>
      </c>
      <c r="I381">
        <v>75</v>
      </c>
      <c r="J381">
        <v>80</v>
      </c>
      <c r="K381">
        <v>410</v>
      </c>
    </row>
    <row r="382" spans="1:11" x14ac:dyDescent="0.25">
      <c r="A382" t="s">
        <v>1002</v>
      </c>
      <c r="B382" t="s">
        <v>1001</v>
      </c>
      <c r="C382" t="s">
        <v>279</v>
      </c>
      <c r="D382" t="s">
        <v>162</v>
      </c>
      <c r="E382">
        <v>60</v>
      </c>
      <c r="F382">
        <v>100</v>
      </c>
      <c r="G382">
        <v>85</v>
      </c>
      <c r="H382">
        <v>80</v>
      </c>
      <c r="I382">
        <v>85</v>
      </c>
      <c r="J382">
        <v>100</v>
      </c>
      <c r="K382">
        <v>510</v>
      </c>
    </row>
    <row r="383" spans="1:11" x14ac:dyDescent="0.25">
      <c r="A383" t="s">
        <v>1004</v>
      </c>
      <c r="B383" t="s">
        <v>1003</v>
      </c>
      <c r="C383" t="s">
        <v>154</v>
      </c>
      <c r="E383">
        <v>40</v>
      </c>
      <c r="F383">
        <v>45</v>
      </c>
      <c r="G383">
        <v>40</v>
      </c>
      <c r="H383">
        <v>65</v>
      </c>
      <c r="I383">
        <v>40</v>
      </c>
      <c r="J383">
        <v>65</v>
      </c>
      <c r="K383">
        <v>295</v>
      </c>
    </row>
    <row r="384" spans="1:11" x14ac:dyDescent="0.25">
      <c r="A384" t="s">
        <v>1007</v>
      </c>
      <c r="B384" t="s">
        <v>1006</v>
      </c>
      <c r="C384" t="s">
        <v>154</v>
      </c>
      <c r="E384">
        <v>70</v>
      </c>
      <c r="F384">
        <v>75</v>
      </c>
      <c r="G384">
        <v>60</v>
      </c>
      <c r="H384">
        <v>105</v>
      </c>
      <c r="I384">
        <v>60</v>
      </c>
      <c r="J384">
        <v>105</v>
      </c>
      <c r="K384">
        <v>475</v>
      </c>
    </row>
    <row r="385" spans="1:11" x14ac:dyDescent="0.25">
      <c r="A385" t="s">
        <v>1009</v>
      </c>
      <c r="B385" t="s">
        <v>1008</v>
      </c>
      <c r="C385" t="s">
        <v>154</v>
      </c>
      <c r="E385">
        <v>70</v>
      </c>
      <c r="F385">
        <v>75</v>
      </c>
      <c r="G385">
        <v>80</v>
      </c>
      <c r="H385">
        <v>135</v>
      </c>
      <c r="I385">
        <v>80</v>
      </c>
      <c r="J385">
        <v>135</v>
      </c>
      <c r="K385">
        <v>575</v>
      </c>
    </row>
    <row r="386" spans="1:11" x14ac:dyDescent="0.25">
      <c r="A386" t="s">
        <v>1011</v>
      </c>
      <c r="B386" t="s">
        <v>1010</v>
      </c>
      <c r="C386" t="s">
        <v>154</v>
      </c>
      <c r="E386">
        <v>60</v>
      </c>
      <c r="F386">
        <v>50</v>
      </c>
      <c r="G386">
        <v>40</v>
      </c>
      <c r="H386">
        <v>85</v>
      </c>
      <c r="I386">
        <v>75</v>
      </c>
      <c r="J386">
        <v>95</v>
      </c>
      <c r="K386">
        <v>405</v>
      </c>
    </row>
    <row r="387" spans="1:11" x14ac:dyDescent="0.25">
      <c r="A387" t="s">
        <v>1013</v>
      </c>
      <c r="B387" t="s">
        <v>1012</v>
      </c>
      <c r="C387" t="s">
        <v>154</v>
      </c>
      <c r="E387">
        <v>60</v>
      </c>
      <c r="F387">
        <v>40</v>
      </c>
      <c r="G387">
        <v>50</v>
      </c>
      <c r="H387">
        <v>75</v>
      </c>
      <c r="I387">
        <v>85</v>
      </c>
      <c r="J387">
        <v>95</v>
      </c>
      <c r="K387">
        <v>405</v>
      </c>
    </row>
    <row r="388" spans="1:11" x14ac:dyDescent="0.25">
      <c r="A388" t="s">
        <v>1015</v>
      </c>
      <c r="B388" t="s">
        <v>1014</v>
      </c>
      <c r="C388" t="s">
        <v>90</v>
      </c>
      <c r="E388">
        <v>65</v>
      </c>
      <c r="F388">
        <v>73</v>
      </c>
      <c r="G388">
        <v>75</v>
      </c>
      <c r="H388">
        <v>47</v>
      </c>
      <c r="I388">
        <v>85</v>
      </c>
      <c r="J388">
        <v>85</v>
      </c>
      <c r="K388">
        <v>430</v>
      </c>
    </row>
    <row r="389" spans="1:11" x14ac:dyDescent="0.25">
      <c r="A389" t="s">
        <v>1017</v>
      </c>
      <c r="B389" t="s">
        <v>1016</v>
      </c>
      <c r="C389" t="s">
        <v>90</v>
      </c>
      <c r="E389">
        <v>65</v>
      </c>
      <c r="F389">
        <v>47</v>
      </c>
      <c r="G389">
        <v>75</v>
      </c>
      <c r="H389">
        <v>73</v>
      </c>
      <c r="I389">
        <v>85</v>
      </c>
      <c r="J389">
        <v>85</v>
      </c>
      <c r="K389">
        <v>430</v>
      </c>
    </row>
    <row r="390" spans="1:11" x14ac:dyDescent="0.25">
      <c r="A390" t="s">
        <v>1019</v>
      </c>
      <c r="B390" t="s">
        <v>1018</v>
      </c>
      <c r="C390" t="s">
        <v>40</v>
      </c>
      <c r="D390" t="s">
        <v>41</v>
      </c>
      <c r="E390">
        <v>50</v>
      </c>
      <c r="F390">
        <v>60</v>
      </c>
      <c r="G390">
        <v>45</v>
      </c>
      <c r="H390">
        <v>100</v>
      </c>
      <c r="I390">
        <v>80</v>
      </c>
      <c r="J390">
        <v>65</v>
      </c>
      <c r="K390">
        <v>400</v>
      </c>
    </row>
    <row r="391" spans="1:11" x14ac:dyDescent="0.25">
      <c r="A391" t="s">
        <v>1021</v>
      </c>
      <c r="B391" t="s">
        <v>1020</v>
      </c>
      <c r="C391" t="s">
        <v>41</v>
      </c>
      <c r="E391">
        <v>70</v>
      </c>
      <c r="F391">
        <v>43</v>
      </c>
      <c r="G391">
        <v>53</v>
      </c>
      <c r="H391">
        <v>43</v>
      </c>
      <c r="I391">
        <v>53</v>
      </c>
      <c r="J391">
        <v>40</v>
      </c>
      <c r="K391">
        <v>302</v>
      </c>
    </row>
    <row r="392" spans="1:11" x14ac:dyDescent="0.25">
      <c r="A392" t="s">
        <v>1023</v>
      </c>
      <c r="B392" t="s">
        <v>1022</v>
      </c>
      <c r="C392" t="s">
        <v>41</v>
      </c>
      <c r="E392">
        <v>100</v>
      </c>
      <c r="F392">
        <v>73</v>
      </c>
      <c r="G392">
        <v>83</v>
      </c>
      <c r="H392">
        <v>73</v>
      </c>
      <c r="I392">
        <v>83</v>
      </c>
      <c r="J392">
        <v>55</v>
      </c>
      <c r="K392">
        <v>467</v>
      </c>
    </row>
    <row r="393" spans="1:11" x14ac:dyDescent="0.25">
      <c r="A393" t="s">
        <v>1025</v>
      </c>
      <c r="B393" t="s">
        <v>1024</v>
      </c>
      <c r="C393" t="s">
        <v>76</v>
      </c>
      <c r="D393" t="s">
        <v>135</v>
      </c>
      <c r="E393">
        <v>45</v>
      </c>
      <c r="F393">
        <v>90</v>
      </c>
      <c r="G393">
        <v>20</v>
      </c>
      <c r="H393">
        <v>65</v>
      </c>
      <c r="I393">
        <v>20</v>
      </c>
      <c r="J393">
        <v>65</v>
      </c>
      <c r="K393">
        <v>305</v>
      </c>
    </row>
    <row r="394" spans="1:11" x14ac:dyDescent="0.25">
      <c r="A394" t="s">
        <v>1028</v>
      </c>
      <c r="B394" t="s">
        <v>1027</v>
      </c>
      <c r="C394" t="s">
        <v>76</v>
      </c>
      <c r="D394" t="s">
        <v>135</v>
      </c>
      <c r="E394">
        <v>70</v>
      </c>
      <c r="F394">
        <v>120</v>
      </c>
      <c r="G394">
        <v>40</v>
      </c>
      <c r="H394">
        <v>95</v>
      </c>
      <c r="I394">
        <v>40</v>
      </c>
      <c r="J394">
        <v>95</v>
      </c>
      <c r="K394">
        <v>460</v>
      </c>
    </row>
    <row r="395" spans="1:11" x14ac:dyDescent="0.25">
      <c r="A395" t="s">
        <v>1030</v>
      </c>
      <c r="B395" t="s">
        <v>1029</v>
      </c>
      <c r="C395" t="s">
        <v>76</v>
      </c>
      <c r="D395" t="s">
        <v>135</v>
      </c>
      <c r="E395">
        <v>70</v>
      </c>
      <c r="F395">
        <v>140</v>
      </c>
      <c r="G395">
        <v>70</v>
      </c>
      <c r="H395">
        <v>110</v>
      </c>
      <c r="I395">
        <v>65</v>
      </c>
      <c r="J395">
        <v>105</v>
      </c>
      <c r="K395">
        <v>560</v>
      </c>
    </row>
    <row r="396" spans="1:11" x14ac:dyDescent="0.25">
      <c r="A396" t="s">
        <v>1033</v>
      </c>
      <c r="B396" t="s">
        <v>1032</v>
      </c>
      <c r="C396" t="s">
        <v>76</v>
      </c>
      <c r="E396">
        <v>130</v>
      </c>
      <c r="F396">
        <v>70</v>
      </c>
      <c r="G396">
        <v>35</v>
      </c>
      <c r="H396">
        <v>70</v>
      </c>
      <c r="I396">
        <v>35</v>
      </c>
      <c r="J396">
        <v>60</v>
      </c>
      <c r="K396">
        <v>400</v>
      </c>
    </row>
    <row r="397" spans="1:11" x14ac:dyDescent="0.25">
      <c r="A397" t="s">
        <v>1035</v>
      </c>
      <c r="B397" t="s">
        <v>1034</v>
      </c>
      <c r="C397" t="s">
        <v>76</v>
      </c>
      <c r="E397">
        <v>170</v>
      </c>
      <c r="F397">
        <v>90</v>
      </c>
      <c r="G397">
        <v>45</v>
      </c>
      <c r="H397">
        <v>90</v>
      </c>
      <c r="I397">
        <v>45</v>
      </c>
      <c r="J397">
        <v>60</v>
      </c>
      <c r="K397">
        <v>500</v>
      </c>
    </row>
    <row r="398" spans="1:11" x14ac:dyDescent="0.25">
      <c r="A398" t="s">
        <v>1037</v>
      </c>
      <c r="B398" t="s">
        <v>1036</v>
      </c>
      <c r="C398" t="s">
        <v>57</v>
      </c>
      <c r="D398" t="s">
        <v>132</v>
      </c>
      <c r="E398">
        <v>60</v>
      </c>
      <c r="F398">
        <v>60</v>
      </c>
      <c r="G398">
        <v>40</v>
      </c>
      <c r="H398">
        <v>65</v>
      </c>
      <c r="I398">
        <v>45</v>
      </c>
      <c r="J398">
        <v>35</v>
      </c>
      <c r="K398">
        <v>305</v>
      </c>
    </row>
    <row r="399" spans="1:11" x14ac:dyDescent="0.25">
      <c r="A399" t="s">
        <v>1040</v>
      </c>
      <c r="B399" t="s">
        <v>1039</v>
      </c>
      <c r="C399" t="s">
        <v>57</v>
      </c>
      <c r="D399" t="s">
        <v>132</v>
      </c>
      <c r="E399">
        <v>70</v>
      </c>
      <c r="F399">
        <v>100</v>
      </c>
      <c r="G399">
        <v>70</v>
      </c>
      <c r="H399">
        <v>105</v>
      </c>
      <c r="I399">
        <v>75</v>
      </c>
      <c r="J399">
        <v>40</v>
      </c>
      <c r="K399">
        <v>460</v>
      </c>
    </row>
    <row r="400" spans="1:11" x14ac:dyDescent="0.25">
      <c r="A400" t="s">
        <v>1043</v>
      </c>
      <c r="B400" t="s">
        <v>1042</v>
      </c>
      <c r="C400" t="s">
        <v>57</v>
      </c>
      <c r="D400" t="s">
        <v>132</v>
      </c>
      <c r="E400">
        <v>70</v>
      </c>
      <c r="F400">
        <v>120</v>
      </c>
      <c r="G400">
        <v>100</v>
      </c>
      <c r="H400">
        <v>145</v>
      </c>
      <c r="I400">
        <v>105</v>
      </c>
      <c r="J400">
        <v>20</v>
      </c>
      <c r="K400">
        <v>560</v>
      </c>
    </row>
    <row r="401" spans="1:11" x14ac:dyDescent="0.25">
      <c r="A401" t="s">
        <v>1045</v>
      </c>
      <c r="B401" t="s">
        <v>1044</v>
      </c>
      <c r="C401" t="s">
        <v>57</v>
      </c>
      <c r="E401">
        <v>70</v>
      </c>
      <c r="F401">
        <v>85</v>
      </c>
      <c r="G401">
        <v>140</v>
      </c>
      <c r="H401">
        <v>85</v>
      </c>
      <c r="I401">
        <v>70</v>
      </c>
      <c r="J401">
        <v>20</v>
      </c>
      <c r="K401">
        <v>470</v>
      </c>
    </row>
    <row r="402" spans="1:11" x14ac:dyDescent="0.25">
      <c r="A402" t="s">
        <v>1048</v>
      </c>
      <c r="B402" t="s">
        <v>1047</v>
      </c>
      <c r="C402" t="s">
        <v>162</v>
      </c>
      <c r="E402">
        <v>60</v>
      </c>
      <c r="F402">
        <v>25</v>
      </c>
      <c r="G402">
        <v>35</v>
      </c>
      <c r="H402">
        <v>70</v>
      </c>
      <c r="I402">
        <v>80</v>
      </c>
      <c r="J402">
        <v>60</v>
      </c>
      <c r="K402">
        <v>330</v>
      </c>
    </row>
    <row r="403" spans="1:11" x14ac:dyDescent="0.25">
      <c r="A403" t="s">
        <v>1050</v>
      </c>
      <c r="B403" t="s">
        <v>1049</v>
      </c>
      <c r="C403" t="s">
        <v>162</v>
      </c>
      <c r="E403">
        <v>80</v>
      </c>
      <c r="F403">
        <v>45</v>
      </c>
      <c r="G403">
        <v>65</v>
      </c>
      <c r="H403">
        <v>90</v>
      </c>
      <c r="I403">
        <v>110</v>
      </c>
      <c r="J403">
        <v>80</v>
      </c>
      <c r="K403">
        <v>470</v>
      </c>
    </row>
    <row r="404" spans="1:11" x14ac:dyDescent="0.25">
      <c r="A404" t="s">
        <v>1052</v>
      </c>
      <c r="B404" t="s">
        <v>1051</v>
      </c>
      <c r="C404" t="s">
        <v>116</v>
      </c>
      <c r="E404">
        <v>60</v>
      </c>
      <c r="F404">
        <v>60</v>
      </c>
      <c r="G404">
        <v>60</v>
      </c>
      <c r="H404">
        <v>60</v>
      </c>
      <c r="I404">
        <v>60</v>
      </c>
      <c r="J404">
        <v>60</v>
      </c>
      <c r="K404">
        <v>360</v>
      </c>
    </row>
    <row r="405" spans="1:11" x14ac:dyDescent="0.25">
      <c r="A405" t="s">
        <v>1054</v>
      </c>
      <c r="B405" t="s">
        <v>1053</v>
      </c>
      <c r="C405" t="s">
        <v>132</v>
      </c>
      <c r="E405">
        <v>45</v>
      </c>
      <c r="F405">
        <v>100</v>
      </c>
      <c r="G405">
        <v>45</v>
      </c>
      <c r="H405">
        <v>45</v>
      </c>
      <c r="I405">
        <v>45</v>
      </c>
      <c r="J405">
        <v>10</v>
      </c>
      <c r="K405">
        <v>290</v>
      </c>
    </row>
    <row r="406" spans="1:11" x14ac:dyDescent="0.25">
      <c r="A406" t="s">
        <v>1056</v>
      </c>
      <c r="B406" t="s">
        <v>1055</v>
      </c>
      <c r="C406" t="s">
        <v>132</v>
      </c>
      <c r="D406" t="s">
        <v>61</v>
      </c>
      <c r="E406">
        <v>50</v>
      </c>
      <c r="F406">
        <v>70</v>
      </c>
      <c r="G406">
        <v>50</v>
      </c>
      <c r="H406">
        <v>50</v>
      </c>
      <c r="I406">
        <v>50</v>
      </c>
      <c r="J406">
        <v>70</v>
      </c>
      <c r="K406">
        <v>340</v>
      </c>
    </row>
    <row r="407" spans="1:11" x14ac:dyDescent="0.25">
      <c r="A407" t="s">
        <v>1058</v>
      </c>
      <c r="B407" t="s">
        <v>1057</v>
      </c>
      <c r="C407" t="s">
        <v>132</v>
      </c>
      <c r="D407" t="s">
        <v>61</v>
      </c>
      <c r="E407">
        <v>80</v>
      </c>
      <c r="F407">
        <v>100</v>
      </c>
      <c r="G407">
        <v>80</v>
      </c>
      <c r="H407">
        <v>80</v>
      </c>
      <c r="I407">
        <v>80</v>
      </c>
      <c r="J407">
        <v>100</v>
      </c>
      <c r="K407">
        <v>520</v>
      </c>
    </row>
    <row r="408" spans="1:11" x14ac:dyDescent="0.25">
      <c r="A408" t="s">
        <v>1060</v>
      </c>
      <c r="B408" t="s">
        <v>1059</v>
      </c>
      <c r="C408" t="s">
        <v>40</v>
      </c>
      <c r="E408">
        <v>50</v>
      </c>
      <c r="F408">
        <v>85</v>
      </c>
      <c r="G408">
        <v>40</v>
      </c>
      <c r="H408">
        <v>85</v>
      </c>
      <c r="I408">
        <v>40</v>
      </c>
      <c r="J408">
        <v>35</v>
      </c>
      <c r="K408">
        <v>335</v>
      </c>
    </row>
    <row r="409" spans="1:11" x14ac:dyDescent="0.25">
      <c r="A409" t="s">
        <v>1062</v>
      </c>
      <c r="B409" t="s">
        <v>1061</v>
      </c>
      <c r="C409" t="s">
        <v>40</v>
      </c>
      <c r="D409" t="s">
        <v>135</v>
      </c>
      <c r="E409">
        <v>70</v>
      </c>
      <c r="F409">
        <v>115</v>
      </c>
      <c r="G409">
        <v>60</v>
      </c>
      <c r="H409">
        <v>115</v>
      </c>
      <c r="I409">
        <v>60</v>
      </c>
      <c r="J409">
        <v>55</v>
      </c>
      <c r="K409">
        <v>475</v>
      </c>
    </row>
    <row r="410" spans="1:11" x14ac:dyDescent="0.25">
      <c r="A410" t="s">
        <v>1064</v>
      </c>
      <c r="B410" t="s">
        <v>1063</v>
      </c>
      <c r="C410" t="s">
        <v>116</v>
      </c>
      <c r="D410" t="s">
        <v>66</v>
      </c>
      <c r="E410">
        <v>45</v>
      </c>
      <c r="F410">
        <v>40</v>
      </c>
      <c r="G410">
        <v>60</v>
      </c>
      <c r="H410">
        <v>40</v>
      </c>
      <c r="I410">
        <v>75</v>
      </c>
      <c r="J410">
        <v>50</v>
      </c>
      <c r="K410">
        <v>310</v>
      </c>
    </row>
    <row r="411" spans="1:11" x14ac:dyDescent="0.25">
      <c r="A411" t="s">
        <v>1066</v>
      </c>
      <c r="B411" t="s">
        <v>1065</v>
      </c>
      <c r="C411" t="s">
        <v>61</v>
      </c>
      <c r="D411" t="s">
        <v>66</v>
      </c>
      <c r="E411">
        <v>75</v>
      </c>
      <c r="F411">
        <v>70</v>
      </c>
      <c r="G411">
        <v>90</v>
      </c>
      <c r="H411">
        <v>70</v>
      </c>
      <c r="I411">
        <v>105</v>
      </c>
      <c r="J411">
        <v>80</v>
      </c>
      <c r="K411">
        <v>490</v>
      </c>
    </row>
    <row r="412" spans="1:11" x14ac:dyDescent="0.25">
      <c r="A412" t="s">
        <v>1068</v>
      </c>
      <c r="B412" t="s">
        <v>1067</v>
      </c>
      <c r="C412" t="s">
        <v>61</v>
      </c>
      <c r="D412" t="s">
        <v>157</v>
      </c>
      <c r="E412">
        <v>75</v>
      </c>
      <c r="F412">
        <v>110</v>
      </c>
      <c r="G412">
        <v>110</v>
      </c>
      <c r="H412">
        <v>110</v>
      </c>
      <c r="I412">
        <v>105</v>
      </c>
      <c r="J412">
        <v>80</v>
      </c>
      <c r="K412">
        <v>590</v>
      </c>
    </row>
    <row r="413" spans="1:11" x14ac:dyDescent="0.25">
      <c r="A413" t="s">
        <v>1070</v>
      </c>
      <c r="B413" t="s">
        <v>1069</v>
      </c>
      <c r="C413" t="s">
        <v>116</v>
      </c>
      <c r="E413">
        <v>73</v>
      </c>
      <c r="F413">
        <v>115</v>
      </c>
      <c r="G413">
        <v>60</v>
      </c>
      <c r="H413">
        <v>60</v>
      </c>
      <c r="I413">
        <v>60</v>
      </c>
      <c r="J413">
        <v>90</v>
      </c>
      <c r="K413">
        <v>458</v>
      </c>
    </row>
    <row r="414" spans="1:11" x14ac:dyDescent="0.25">
      <c r="A414" t="s">
        <v>1073</v>
      </c>
      <c r="B414" t="s">
        <v>1072</v>
      </c>
      <c r="C414" t="s">
        <v>41</v>
      </c>
      <c r="E414">
        <v>73</v>
      </c>
      <c r="F414">
        <v>100</v>
      </c>
      <c r="G414">
        <v>60</v>
      </c>
      <c r="H414">
        <v>100</v>
      </c>
      <c r="I414">
        <v>60</v>
      </c>
      <c r="J414">
        <v>65</v>
      </c>
      <c r="K414">
        <v>458</v>
      </c>
    </row>
    <row r="415" spans="1:11" x14ac:dyDescent="0.25">
      <c r="A415" t="s">
        <v>1075</v>
      </c>
      <c r="B415" t="s">
        <v>1074</v>
      </c>
      <c r="C415" t="s">
        <v>290</v>
      </c>
      <c r="D415" t="s">
        <v>162</v>
      </c>
      <c r="E415">
        <v>90</v>
      </c>
      <c r="F415">
        <v>55</v>
      </c>
      <c r="G415">
        <v>65</v>
      </c>
      <c r="H415">
        <v>95</v>
      </c>
      <c r="I415">
        <v>85</v>
      </c>
      <c r="J415">
        <v>70</v>
      </c>
      <c r="K415">
        <v>460</v>
      </c>
    </row>
    <row r="416" spans="1:11" x14ac:dyDescent="0.25">
      <c r="A416" t="s">
        <v>1077</v>
      </c>
      <c r="B416" t="s">
        <v>1076</v>
      </c>
      <c r="C416" t="s">
        <v>290</v>
      </c>
      <c r="D416" t="s">
        <v>162</v>
      </c>
      <c r="E416">
        <v>90</v>
      </c>
      <c r="F416">
        <v>95</v>
      </c>
      <c r="G416">
        <v>85</v>
      </c>
      <c r="H416">
        <v>55</v>
      </c>
      <c r="I416">
        <v>65</v>
      </c>
      <c r="J416">
        <v>70</v>
      </c>
      <c r="K416">
        <v>460</v>
      </c>
    </row>
    <row r="417" spans="1:11" x14ac:dyDescent="0.25">
      <c r="A417" t="s">
        <v>1079</v>
      </c>
      <c r="B417" t="s">
        <v>1078</v>
      </c>
      <c r="C417" t="s">
        <v>76</v>
      </c>
      <c r="D417" t="s">
        <v>132</v>
      </c>
      <c r="E417">
        <v>50</v>
      </c>
      <c r="F417">
        <v>48</v>
      </c>
      <c r="G417">
        <v>43</v>
      </c>
      <c r="H417">
        <v>46</v>
      </c>
      <c r="I417">
        <v>41</v>
      </c>
      <c r="J417">
        <v>60</v>
      </c>
      <c r="K417">
        <v>288</v>
      </c>
    </row>
    <row r="418" spans="1:11" x14ac:dyDescent="0.25">
      <c r="A418" t="s">
        <v>1081</v>
      </c>
      <c r="B418" t="s">
        <v>1080</v>
      </c>
      <c r="C418" t="s">
        <v>76</v>
      </c>
      <c r="D418" t="s">
        <v>132</v>
      </c>
      <c r="E418">
        <v>110</v>
      </c>
      <c r="F418">
        <v>78</v>
      </c>
      <c r="G418">
        <v>73</v>
      </c>
      <c r="H418">
        <v>76</v>
      </c>
      <c r="I418">
        <v>71</v>
      </c>
      <c r="J418">
        <v>60</v>
      </c>
      <c r="K418">
        <v>468</v>
      </c>
    </row>
    <row r="419" spans="1:11" x14ac:dyDescent="0.25">
      <c r="A419" t="s">
        <v>1083</v>
      </c>
      <c r="B419" t="s">
        <v>1082</v>
      </c>
      <c r="C419" t="s">
        <v>76</v>
      </c>
      <c r="E419">
        <v>43</v>
      </c>
      <c r="F419">
        <v>80</v>
      </c>
      <c r="G419">
        <v>65</v>
      </c>
      <c r="H419">
        <v>50</v>
      </c>
      <c r="I419">
        <v>35</v>
      </c>
      <c r="J419">
        <v>35</v>
      </c>
      <c r="K419">
        <v>308</v>
      </c>
    </row>
    <row r="420" spans="1:11" x14ac:dyDescent="0.25">
      <c r="A420" t="s">
        <v>1085</v>
      </c>
      <c r="B420" t="s">
        <v>1084</v>
      </c>
      <c r="C420" t="s">
        <v>76</v>
      </c>
      <c r="D420" t="s">
        <v>135</v>
      </c>
      <c r="E420">
        <v>63</v>
      </c>
      <c r="F420">
        <v>120</v>
      </c>
      <c r="G420">
        <v>85</v>
      </c>
      <c r="H420">
        <v>90</v>
      </c>
      <c r="I420">
        <v>55</v>
      </c>
      <c r="J420">
        <v>55</v>
      </c>
      <c r="K420">
        <v>468</v>
      </c>
    </row>
    <row r="421" spans="1:11" x14ac:dyDescent="0.25">
      <c r="A421" t="s">
        <v>1087</v>
      </c>
      <c r="B421" t="s">
        <v>1086</v>
      </c>
      <c r="C421" t="s">
        <v>132</v>
      </c>
      <c r="D421" t="s">
        <v>162</v>
      </c>
      <c r="E421">
        <v>40</v>
      </c>
      <c r="F421">
        <v>40</v>
      </c>
      <c r="G421">
        <v>55</v>
      </c>
      <c r="H421">
        <v>40</v>
      </c>
      <c r="I421">
        <v>70</v>
      </c>
      <c r="J421">
        <v>55</v>
      </c>
      <c r="K421">
        <v>300</v>
      </c>
    </row>
    <row r="422" spans="1:11" x14ac:dyDescent="0.25">
      <c r="A422" t="s">
        <v>1089</v>
      </c>
      <c r="B422" t="s">
        <v>1088</v>
      </c>
      <c r="C422" t="s">
        <v>132</v>
      </c>
      <c r="D422" t="s">
        <v>162</v>
      </c>
      <c r="E422">
        <v>60</v>
      </c>
      <c r="F422">
        <v>70</v>
      </c>
      <c r="G422">
        <v>105</v>
      </c>
      <c r="H422">
        <v>70</v>
      </c>
      <c r="I422">
        <v>120</v>
      </c>
      <c r="J422">
        <v>75</v>
      </c>
      <c r="K422">
        <v>500</v>
      </c>
    </row>
    <row r="423" spans="1:11" x14ac:dyDescent="0.25">
      <c r="A423" t="s">
        <v>1091</v>
      </c>
      <c r="B423" t="s">
        <v>1090</v>
      </c>
      <c r="C423" t="s">
        <v>290</v>
      </c>
      <c r="D423" t="s">
        <v>40</v>
      </c>
      <c r="E423">
        <v>66</v>
      </c>
      <c r="F423">
        <v>41</v>
      </c>
      <c r="G423">
        <v>77</v>
      </c>
      <c r="H423">
        <v>61</v>
      </c>
      <c r="I423">
        <v>87</v>
      </c>
      <c r="J423">
        <v>23</v>
      </c>
      <c r="K423">
        <v>355</v>
      </c>
    </row>
    <row r="424" spans="1:11" x14ac:dyDescent="0.25">
      <c r="A424" t="s">
        <v>1094</v>
      </c>
      <c r="B424" t="s">
        <v>1093</v>
      </c>
      <c r="C424" t="s">
        <v>290</v>
      </c>
      <c r="D424" t="s">
        <v>40</v>
      </c>
      <c r="E424">
        <v>86</v>
      </c>
      <c r="F424">
        <v>81</v>
      </c>
      <c r="G424">
        <v>97</v>
      </c>
      <c r="H424">
        <v>81</v>
      </c>
      <c r="I424">
        <v>107</v>
      </c>
      <c r="J424">
        <v>43</v>
      </c>
      <c r="K424">
        <v>495</v>
      </c>
    </row>
    <row r="425" spans="1:11" x14ac:dyDescent="0.25">
      <c r="A425" t="s">
        <v>1096</v>
      </c>
      <c r="B425" t="s">
        <v>1095</v>
      </c>
      <c r="C425" t="s">
        <v>290</v>
      </c>
      <c r="D425" t="s">
        <v>90</v>
      </c>
      <c r="E425">
        <v>45</v>
      </c>
      <c r="F425">
        <v>95</v>
      </c>
      <c r="G425">
        <v>50</v>
      </c>
      <c r="H425">
        <v>40</v>
      </c>
      <c r="I425">
        <v>50</v>
      </c>
      <c r="J425">
        <v>75</v>
      </c>
      <c r="K425">
        <v>355</v>
      </c>
    </row>
    <row r="426" spans="1:11" x14ac:dyDescent="0.25">
      <c r="A426" t="s">
        <v>1098</v>
      </c>
      <c r="B426" t="s">
        <v>1097</v>
      </c>
      <c r="C426" t="s">
        <v>290</v>
      </c>
      <c r="D426" t="s">
        <v>90</v>
      </c>
      <c r="E426">
        <v>75</v>
      </c>
      <c r="F426">
        <v>125</v>
      </c>
      <c r="G426">
        <v>100</v>
      </c>
      <c r="H426">
        <v>70</v>
      </c>
      <c r="I426">
        <v>80</v>
      </c>
      <c r="J426">
        <v>45</v>
      </c>
      <c r="K426">
        <v>495</v>
      </c>
    </row>
    <row r="427" spans="1:11" x14ac:dyDescent="0.25">
      <c r="A427" t="s">
        <v>1100</v>
      </c>
      <c r="B427" t="s">
        <v>1099</v>
      </c>
      <c r="C427" t="s">
        <v>76</v>
      </c>
      <c r="E427">
        <v>20</v>
      </c>
      <c r="F427">
        <v>15</v>
      </c>
      <c r="G427">
        <v>20</v>
      </c>
      <c r="H427">
        <v>10</v>
      </c>
      <c r="I427">
        <v>55</v>
      </c>
      <c r="J427">
        <v>80</v>
      </c>
      <c r="K427">
        <v>200</v>
      </c>
    </row>
    <row r="428" spans="1:11" x14ac:dyDescent="0.25">
      <c r="A428" t="s">
        <v>1102</v>
      </c>
      <c r="B428" t="s">
        <v>1101</v>
      </c>
      <c r="C428" t="s">
        <v>76</v>
      </c>
      <c r="E428">
        <v>95</v>
      </c>
      <c r="F428">
        <v>60</v>
      </c>
      <c r="G428">
        <v>79</v>
      </c>
      <c r="H428">
        <v>100</v>
      </c>
      <c r="I428">
        <v>125</v>
      </c>
      <c r="J428">
        <v>81</v>
      </c>
      <c r="K428">
        <v>540</v>
      </c>
    </row>
    <row r="429" spans="1:11" x14ac:dyDescent="0.25">
      <c r="A429" t="s">
        <v>1104</v>
      </c>
      <c r="B429" t="s">
        <v>1103</v>
      </c>
      <c r="C429" t="s">
        <v>116</v>
      </c>
      <c r="E429">
        <v>70</v>
      </c>
      <c r="F429">
        <v>70</v>
      </c>
      <c r="G429">
        <v>70</v>
      </c>
      <c r="H429">
        <v>70</v>
      </c>
      <c r="I429">
        <v>70</v>
      </c>
      <c r="J429">
        <v>70</v>
      </c>
      <c r="K429">
        <v>420</v>
      </c>
    </row>
    <row r="430" spans="1:11" x14ac:dyDescent="0.25">
      <c r="A430" t="s">
        <v>1107</v>
      </c>
      <c r="B430" t="s">
        <v>1106</v>
      </c>
      <c r="C430" t="s">
        <v>116</v>
      </c>
      <c r="E430">
        <v>70</v>
      </c>
      <c r="F430">
        <v>70</v>
      </c>
      <c r="G430">
        <v>70</v>
      </c>
      <c r="H430">
        <v>70</v>
      </c>
      <c r="I430">
        <v>70</v>
      </c>
      <c r="J430">
        <v>70</v>
      </c>
      <c r="K430">
        <v>420</v>
      </c>
    </row>
    <row r="431" spans="1:11" x14ac:dyDescent="0.25">
      <c r="A431" t="s">
        <v>1109</v>
      </c>
      <c r="B431" t="s">
        <v>1108</v>
      </c>
      <c r="C431" t="s">
        <v>116</v>
      </c>
      <c r="E431">
        <v>70</v>
      </c>
      <c r="F431">
        <v>70</v>
      </c>
      <c r="G431">
        <v>70</v>
      </c>
      <c r="H431">
        <v>70</v>
      </c>
      <c r="I431">
        <v>70</v>
      </c>
      <c r="J431">
        <v>70</v>
      </c>
      <c r="K431">
        <v>420</v>
      </c>
    </row>
    <row r="432" spans="1:11" x14ac:dyDescent="0.25">
      <c r="A432" t="s">
        <v>1111</v>
      </c>
      <c r="B432" t="s">
        <v>1110</v>
      </c>
      <c r="C432" t="s">
        <v>116</v>
      </c>
      <c r="E432">
        <v>70</v>
      </c>
      <c r="F432">
        <v>70</v>
      </c>
      <c r="G432">
        <v>70</v>
      </c>
      <c r="H432">
        <v>70</v>
      </c>
      <c r="I432">
        <v>70</v>
      </c>
      <c r="J432">
        <v>70</v>
      </c>
      <c r="K432">
        <v>420</v>
      </c>
    </row>
    <row r="433" spans="1:11" x14ac:dyDescent="0.25">
      <c r="A433" t="s">
        <v>1113</v>
      </c>
      <c r="B433" t="s">
        <v>1112</v>
      </c>
      <c r="C433" t="s">
        <v>116</v>
      </c>
      <c r="E433">
        <v>60</v>
      </c>
      <c r="F433">
        <v>90</v>
      </c>
      <c r="G433">
        <v>70</v>
      </c>
      <c r="H433">
        <v>60</v>
      </c>
      <c r="I433">
        <v>120</v>
      </c>
      <c r="J433">
        <v>40</v>
      </c>
      <c r="K433">
        <v>440</v>
      </c>
    </row>
    <row r="434" spans="1:11" x14ac:dyDescent="0.25">
      <c r="A434" t="s">
        <v>1117</v>
      </c>
      <c r="B434" t="s">
        <v>1116</v>
      </c>
      <c r="C434" t="s">
        <v>419</v>
      </c>
      <c r="E434">
        <v>44</v>
      </c>
      <c r="F434">
        <v>75</v>
      </c>
      <c r="G434">
        <v>35</v>
      </c>
      <c r="H434">
        <v>63</v>
      </c>
      <c r="I434">
        <v>33</v>
      </c>
      <c r="J434">
        <v>45</v>
      </c>
      <c r="K434">
        <v>295</v>
      </c>
    </row>
    <row r="435" spans="1:11" x14ac:dyDescent="0.25">
      <c r="A435" t="s">
        <v>1119</v>
      </c>
      <c r="B435" t="s">
        <v>1118</v>
      </c>
      <c r="C435" t="s">
        <v>419</v>
      </c>
      <c r="E435">
        <v>64</v>
      </c>
      <c r="F435">
        <v>115</v>
      </c>
      <c r="G435">
        <v>65</v>
      </c>
      <c r="H435">
        <v>83</v>
      </c>
      <c r="I435">
        <v>63</v>
      </c>
      <c r="J435">
        <v>65</v>
      </c>
      <c r="K435">
        <v>455</v>
      </c>
    </row>
    <row r="436" spans="1:11" x14ac:dyDescent="0.25">
      <c r="A436" t="s">
        <v>1121</v>
      </c>
      <c r="B436" t="s">
        <v>1120</v>
      </c>
      <c r="C436" t="s">
        <v>419</v>
      </c>
      <c r="E436">
        <v>64</v>
      </c>
      <c r="F436">
        <v>165</v>
      </c>
      <c r="G436">
        <v>75</v>
      </c>
      <c r="H436">
        <v>93</v>
      </c>
      <c r="I436">
        <v>83</v>
      </c>
      <c r="J436">
        <v>75</v>
      </c>
      <c r="K436">
        <v>555</v>
      </c>
    </row>
    <row r="437" spans="1:11" x14ac:dyDescent="0.25">
      <c r="A437" t="s">
        <v>1123</v>
      </c>
      <c r="B437" t="s">
        <v>1122</v>
      </c>
      <c r="C437" t="s">
        <v>419</v>
      </c>
      <c r="E437">
        <v>20</v>
      </c>
      <c r="F437">
        <v>40</v>
      </c>
      <c r="G437">
        <v>90</v>
      </c>
      <c r="H437">
        <v>30</v>
      </c>
      <c r="I437">
        <v>90</v>
      </c>
      <c r="J437">
        <v>25</v>
      </c>
      <c r="K437">
        <v>295</v>
      </c>
    </row>
    <row r="438" spans="1:11" x14ac:dyDescent="0.25">
      <c r="A438" t="s">
        <v>1125</v>
      </c>
      <c r="B438" t="s">
        <v>1124</v>
      </c>
      <c r="C438" t="s">
        <v>419</v>
      </c>
      <c r="E438">
        <v>40</v>
      </c>
      <c r="F438">
        <v>70</v>
      </c>
      <c r="G438">
        <v>130</v>
      </c>
      <c r="H438">
        <v>60</v>
      </c>
      <c r="I438">
        <v>130</v>
      </c>
      <c r="J438">
        <v>25</v>
      </c>
      <c r="K438">
        <v>455</v>
      </c>
    </row>
    <row r="439" spans="1:11" x14ac:dyDescent="0.25">
      <c r="A439" t="s">
        <v>1127</v>
      </c>
      <c r="B439" t="s">
        <v>1126</v>
      </c>
      <c r="C439" t="s">
        <v>40</v>
      </c>
      <c r="D439" t="s">
        <v>66</v>
      </c>
      <c r="E439">
        <v>99</v>
      </c>
      <c r="F439">
        <v>68</v>
      </c>
      <c r="G439">
        <v>83</v>
      </c>
      <c r="H439">
        <v>72</v>
      </c>
      <c r="I439">
        <v>87</v>
      </c>
      <c r="J439">
        <v>51</v>
      </c>
      <c r="K439">
        <v>460</v>
      </c>
    </row>
    <row r="440" spans="1:11" x14ac:dyDescent="0.25">
      <c r="A440" t="s">
        <v>1129</v>
      </c>
      <c r="B440" t="s">
        <v>1128</v>
      </c>
      <c r="C440" t="s">
        <v>162</v>
      </c>
      <c r="E440">
        <v>75</v>
      </c>
      <c r="F440">
        <v>50</v>
      </c>
      <c r="G440">
        <v>80</v>
      </c>
      <c r="H440">
        <v>95</v>
      </c>
      <c r="I440">
        <v>90</v>
      </c>
      <c r="J440">
        <v>65</v>
      </c>
      <c r="K440">
        <v>455</v>
      </c>
    </row>
    <row r="441" spans="1:11" x14ac:dyDescent="0.25">
      <c r="A441" t="s">
        <v>1131</v>
      </c>
      <c r="B441" t="s">
        <v>1130</v>
      </c>
      <c r="C441" t="s">
        <v>135</v>
      </c>
      <c r="E441">
        <v>65</v>
      </c>
      <c r="F441">
        <v>130</v>
      </c>
      <c r="G441">
        <v>60</v>
      </c>
      <c r="H441">
        <v>75</v>
      </c>
      <c r="I441">
        <v>60</v>
      </c>
      <c r="J441">
        <v>75</v>
      </c>
      <c r="K441">
        <v>465</v>
      </c>
    </row>
    <row r="442" spans="1:11" x14ac:dyDescent="0.25">
      <c r="A442" t="s">
        <v>1133</v>
      </c>
      <c r="B442" t="s">
        <v>1132</v>
      </c>
      <c r="C442" t="s">
        <v>135</v>
      </c>
      <c r="E442">
        <v>65</v>
      </c>
      <c r="F442">
        <v>150</v>
      </c>
      <c r="G442">
        <v>60</v>
      </c>
      <c r="H442">
        <v>115</v>
      </c>
      <c r="I442">
        <v>60</v>
      </c>
      <c r="J442">
        <v>115</v>
      </c>
      <c r="K442">
        <v>565</v>
      </c>
    </row>
    <row r="443" spans="1:11" x14ac:dyDescent="0.25">
      <c r="A443" t="s">
        <v>1135</v>
      </c>
      <c r="B443" t="s">
        <v>1134</v>
      </c>
      <c r="C443" t="s">
        <v>162</v>
      </c>
      <c r="E443">
        <v>95</v>
      </c>
      <c r="F443">
        <v>23</v>
      </c>
      <c r="G443">
        <v>48</v>
      </c>
      <c r="H443">
        <v>23</v>
      </c>
      <c r="I443">
        <v>48</v>
      </c>
      <c r="J443">
        <v>23</v>
      </c>
      <c r="K443">
        <v>260</v>
      </c>
    </row>
    <row r="444" spans="1:11" x14ac:dyDescent="0.25">
      <c r="A444" t="s">
        <v>1137</v>
      </c>
      <c r="B444" t="s">
        <v>1136</v>
      </c>
      <c r="C444" t="s">
        <v>170</v>
      </c>
      <c r="E444">
        <v>50</v>
      </c>
      <c r="F444">
        <v>50</v>
      </c>
      <c r="G444">
        <v>50</v>
      </c>
      <c r="H444">
        <v>50</v>
      </c>
      <c r="I444">
        <v>50</v>
      </c>
      <c r="J444">
        <v>50</v>
      </c>
      <c r="K444">
        <v>300</v>
      </c>
    </row>
    <row r="445" spans="1:11" x14ac:dyDescent="0.25">
      <c r="A445" t="s">
        <v>1139</v>
      </c>
      <c r="B445" t="s">
        <v>1138</v>
      </c>
      <c r="C445" t="s">
        <v>170</v>
      </c>
      <c r="E445">
        <v>80</v>
      </c>
      <c r="F445">
        <v>80</v>
      </c>
      <c r="G445">
        <v>80</v>
      </c>
      <c r="H445">
        <v>80</v>
      </c>
      <c r="I445">
        <v>80</v>
      </c>
      <c r="J445">
        <v>80</v>
      </c>
      <c r="K445">
        <v>480</v>
      </c>
    </row>
    <row r="446" spans="1:11" x14ac:dyDescent="0.25">
      <c r="A446" t="s">
        <v>1141</v>
      </c>
      <c r="B446" t="s">
        <v>1140</v>
      </c>
      <c r="C446" t="s">
        <v>170</v>
      </c>
      <c r="E446">
        <v>80</v>
      </c>
      <c r="F446">
        <v>120</v>
      </c>
      <c r="G446">
        <v>80</v>
      </c>
      <c r="H446">
        <v>120</v>
      </c>
      <c r="I446">
        <v>80</v>
      </c>
      <c r="J446">
        <v>100</v>
      </c>
      <c r="K446">
        <v>580</v>
      </c>
    </row>
    <row r="447" spans="1:11" x14ac:dyDescent="0.25">
      <c r="A447" t="s">
        <v>1144</v>
      </c>
      <c r="B447" t="s">
        <v>1143</v>
      </c>
      <c r="C447" t="s">
        <v>170</v>
      </c>
      <c r="D447" t="s">
        <v>76</v>
      </c>
      <c r="E447">
        <v>70</v>
      </c>
      <c r="F447">
        <v>40</v>
      </c>
      <c r="G447">
        <v>50</v>
      </c>
      <c r="H447">
        <v>55</v>
      </c>
      <c r="I447">
        <v>50</v>
      </c>
      <c r="J447">
        <v>25</v>
      </c>
      <c r="K447">
        <v>290</v>
      </c>
    </row>
    <row r="448" spans="1:11" x14ac:dyDescent="0.25">
      <c r="A448" t="s">
        <v>1146</v>
      </c>
      <c r="B448" t="s">
        <v>1145</v>
      </c>
      <c r="C448" t="s">
        <v>170</v>
      </c>
      <c r="D448" t="s">
        <v>76</v>
      </c>
      <c r="E448">
        <v>90</v>
      </c>
      <c r="F448">
        <v>60</v>
      </c>
      <c r="G448">
        <v>70</v>
      </c>
      <c r="H448">
        <v>75</v>
      </c>
      <c r="I448">
        <v>70</v>
      </c>
      <c r="J448">
        <v>45</v>
      </c>
      <c r="K448">
        <v>410</v>
      </c>
    </row>
    <row r="449" spans="1:11" x14ac:dyDescent="0.25">
      <c r="A449" t="s">
        <v>1148</v>
      </c>
      <c r="B449" t="s">
        <v>1147</v>
      </c>
      <c r="C449" t="s">
        <v>170</v>
      </c>
      <c r="D449" t="s">
        <v>76</v>
      </c>
      <c r="E449">
        <v>110</v>
      </c>
      <c r="F449">
        <v>80</v>
      </c>
      <c r="G449">
        <v>90</v>
      </c>
      <c r="H449">
        <v>95</v>
      </c>
      <c r="I449">
        <v>90</v>
      </c>
      <c r="J449">
        <v>65</v>
      </c>
      <c r="K449">
        <v>530</v>
      </c>
    </row>
    <row r="450" spans="1:11" x14ac:dyDescent="0.25">
      <c r="A450" t="s">
        <v>1150</v>
      </c>
      <c r="B450" t="s">
        <v>1149</v>
      </c>
      <c r="C450" t="s">
        <v>76</v>
      </c>
      <c r="E450">
        <v>35</v>
      </c>
      <c r="F450">
        <v>64</v>
      </c>
      <c r="G450">
        <v>85</v>
      </c>
      <c r="H450">
        <v>74</v>
      </c>
      <c r="I450">
        <v>55</v>
      </c>
      <c r="J450">
        <v>32</v>
      </c>
      <c r="K450">
        <v>345</v>
      </c>
    </row>
    <row r="451" spans="1:11" x14ac:dyDescent="0.25">
      <c r="A451" t="s">
        <v>1152</v>
      </c>
      <c r="B451" t="s">
        <v>1151</v>
      </c>
      <c r="C451" t="s">
        <v>76</v>
      </c>
      <c r="E451">
        <v>55</v>
      </c>
      <c r="F451">
        <v>104</v>
      </c>
      <c r="G451">
        <v>105</v>
      </c>
      <c r="H451">
        <v>94</v>
      </c>
      <c r="I451">
        <v>75</v>
      </c>
      <c r="J451">
        <v>52</v>
      </c>
      <c r="K451">
        <v>485</v>
      </c>
    </row>
    <row r="452" spans="1:11" x14ac:dyDescent="0.25">
      <c r="A452" t="s">
        <v>1154</v>
      </c>
      <c r="B452" t="s">
        <v>1153</v>
      </c>
      <c r="C452" t="s">
        <v>76</v>
      </c>
      <c r="E452">
        <v>55</v>
      </c>
      <c r="F452">
        <v>84</v>
      </c>
      <c r="G452">
        <v>105</v>
      </c>
      <c r="H452">
        <v>114</v>
      </c>
      <c r="I452">
        <v>75</v>
      </c>
      <c r="J452">
        <v>52</v>
      </c>
      <c r="K452">
        <v>485</v>
      </c>
    </row>
    <row r="453" spans="1:11" x14ac:dyDescent="0.25">
      <c r="A453" t="s">
        <v>1156</v>
      </c>
      <c r="B453" t="s">
        <v>1155</v>
      </c>
      <c r="C453" t="s">
        <v>76</v>
      </c>
      <c r="D453" t="s">
        <v>290</v>
      </c>
      <c r="E453">
        <v>100</v>
      </c>
      <c r="F453">
        <v>90</v>
      </c>
      <c r="G453">
        <v>130</v>
      </c>
      <c r="H453">
        <v>45</v>
      </c>
      <c r="I453">
        <v>65</v>
      </c>
      <c r="J453">
        <v>55</v>
      </c>
      <c r="K453">
        <v>485</v>
      </c>
    </row>
    <row r="454" spans="1:11" x14ac:dyDescent="0.25">
      <c r="A454" t="s">
        <v>1158</v>
      </c>
      <c r="B454" t="s">
        <v>1157</v>
      </c>
      <c r="C454" t="s">
        <v>76</v>
      </c>
      <c r="E454">
        <v>43</v>
      </c>
      <c r="F454">
        <v>30</v>
      </c>
      <c r="G454">
        <v>55</v>
      </c>
      <c r="H454">
        <v>40</v>
      </c>
      <c r="I454">
        <v>65</v>
      </c>
      <c r="J454">
        <v>97</v>
      </c>
      <c r="K454">
        <v>330</v>
      </c>
    </row>
    <row r="455" spans="1:11" x14ac:dyDescent="0.25">
      <c r="A455" t="s">
        <v>1160</v>
      </c>
      <c r="B455" t="s">
        <v>1159</v>
      </c>
      <c r="C455" t="s">
        <v>61</v>
      </c>
      <c r="E455">
        <v>45</v>
      </c>
      <c r="F455">
        <v>75</v>
      </c>
      <c r="G455">
        <v>60</v>
      </c>
      <c r="H455">
        <v>40</v>
      </c>
      <c r="I455">
        <v>30</v>
      </c>
      <c r="J455">
        <v>50</v>
      </c>
      <c r="K455">
        <v>300</v>
      </c>
    </row>
    <row r="456" spans="1:11" x14ac:dyDescent="0.25">
      <c r="A456" t="s">
        <v>1162</v>
      </c>
      <c r="B456" t="s">
        <v>1161</v>
      </c>
      <c r="C456" t="s">
        <v>61</v>
      </c>
      <c r="E456">
        <v>65</v>
      </c>
      <c r="F456">
        <v>95</v>
      </c>
      <c r="G456">
        <v>100</v>
      </c>
      <c r="H456">
        <v>60</v>
      </c>
      <c r="I456">
        <v>50</v>
      </c>
      <c r="J456">
        <v>50</v>
      </c>
      <c r="K456">
        <v>420</v>
      </c>
    </row>
    <row r="457" spans="1:11" x14ac:dyDescent="0.25">
      <c r="A457" t="s">
        <v>1164</v>
      </c>
      <c r="B457" t="s">
        <v>1163</v>
      </c>
      <c r="C457" t="s">
        <v>61</v>
      </c>
      <c r="D457" t="s">
        <v>66</v>
      </c>
      <c r="E457">
        <v>95</v>
      </c>
      <c r="F457">
        <v>135</v>
      </c>
      <c r="G457">
        <v>80</v>
      </c>
      <c r="H457">
        <v>110</v>
      </c>
      <c r="I457">
        <v>80</v>
      </c>
      <c r="J457">
        <v>100</v>
      </c>
      <c r="K457">
        <v>600</v>
      </c>
    </row>
    <row r="458" spans="1:11" x14ac:dyDescent="0.25">
      <c r="A458" t="s">
        <v>1166</v>
      </c>
      <c r="B458" t="s">
        <v>1165</v>
      </c>
      <c r="C458" t="s">
        <v>61</v>
      </c>
      <c r="D458" t="s">
        <v>66</v>
      </c>
      <c r="E458">
        <v>95</v>
      </c>
      <c r="F458">
        <v>145</v>
      </c>
      <c r="G458">
        <v>130</v>
      </c>
      <c r="H458">
        <v>120</v>
      </c>
      <c r="I458">
        <v>90</v>
      </c>
      <c r="J458">
        <v>120</v>
      </c>
      <c r="K458">
        <v>700</v>
      </c>
    </row>
    <row r="459" spans="1:11" x14ac:dyDescent="0.25">
      <c r="A459" t="s">
        <v>1168</v>
      </c>
      <c r="B459" t="s">
        <v>1167</v>
      </c>
      <c r="C459" t="s">
        <v>171</v>
      </c>
      <c r="D459" t="s">
        <v>162</v>
      </c>
      <c r="E459">
        <v>40</v>
      </c>
      <c r="F459">
        <v>55</v>
      </c>
      <c r="G459">
        <v>80</v>
      </c>
      <c r="H459">
        <v>35</v>
      </c>
      <c r="I459">
        <v>60</v>
      </c>
      <c r="J459">
        <v>30</v>
      </c>
      <c r="K459">
        <v>300</v>
      </c>
    </row>
    <row r="460" spans="1:11" x14ac:dyDescent="0.25">
      <c r="A460" t="s">
        <v>1170</v>
      </c>
      <c r="B460" t="s">
        <v>1169</v>
      </c>
      <c r="C460" t="s">
        <v>171</v>
      </c>
      <c r="D460" t="s">
        <v>162</v>
      </c>
      <c r="E460">
        <v>60</v>
      </c>
      <c r="F460">
        <v>75</v>
      </c>
      <c r="G460">
        <v>100</v>
      </c>
      <c r="H460">
        <v>55</v>
      </c>
      <c r="I460">
        <v>80</v>
      </c>
      <c r="J460">
        <v>50</v>
      </c>
      <c r="K460">
        <v>420</v>
      </c>
    </row>
    <row r="461" spans="1:11" x14ac:dyDescent="0.25">
      <c r="A461" t="s">
        <v>1172</v>
      </c>
      <c r="B461" t="s">
        <v>1171</v>
      </c>
      <c r="C461" t="s">
        <v>171</v>
      </c>
      <c r="D461" t="s">
        <v>162</v>
      </c>
      <c r="E461">
        <v>80</v>
      </c>
      <c r="F461">
        <v>135</v>
      </c>
      <c r="G461">
        <v>130</v>
      </c>
      <c r="H461">
        <v>95</v>
      </c>
      <c r="I461">
        <v>90</v>
      </c>
      <c r="J461">
        <v>70</v>
      </c>
      <c r="K461">
        <v>600</v>
      </c>
    </row>
    <row r="462" spans="1:11" x14ac:dyDescent="0.25">
      <c r="A462" t="s">
        <v>1174</v>
      </c>
      <c r="B462" t="s">
        <v>1173</v>
      </c>
      <c r="C462" t="s">
        <v>171</v>
      </c>
      <c r="D462" t="s">
        <v>162</v>
      </c>
      <c r="E462">
        <v>80</v>
      </c>
      <c r="F462">
        <v>145</v>
      </c>
      <c r="G462">
        <v>150</v>
      </c>
      <c r="H462">
        <v>105</v>
      </c>
      <c r="I462">
        <v>110</v>
      </c>
      <c r="J462">
        <v>110</v>
      </c>
      <c r="K462">
        <v>700</v>
      </c>
    </row>
    <row r="463" spans="1:11" x14ac:dyDescent="0.25">
      <c r="A463" t="s">
        <v>1176</v>
      </c>
      <c r="B463" t="s">
        <v>1175</v>
      </c>
      <c r="C463" t="s">
        <v>290</v>
      </c>
      <c r="E463">
        <v>80</v>
      </c>
      <c r="F463">
        <v>100</v>
      </c>
      <c r="G463">
        <v>200</v>
      </c>
      <c r="H463">
        <v>50</v>
      </c>
      <c r="I463">
        <v>100</v>
      </c>
      <c r="J463">
        <v>50</v>
      </c>
      <c r="K463">
        <v>580</v>
      </c>
    </row>
    <row r="464" spans="1:11" x14ac:dyDescent="0.25">
      <c r="A464" t="s">
        <v>1178</v>
      </c>
      <c r="B464" t="s">
        <v>1177</v>
      </c>
      <c r="C464" t="s">
        <v>170</v>
      </c>
      <c r="E464">
        <v>80</v>
      </c>
      <c r="F464">
        <v>50</v>
      </c>
      <c r="G464">
        <v>100</v>
      </c>
      <c r="H464">
        <v>100</v>
      </c>
      <c r="I464">
        <v>200</v>
      </c>
      <c r="J464">
        <v>50</v>
      </c>
      <c r="K464">
        <v>580</v>
      </c>
    </row>
    <row r="465" spans="1:11" x14ac:dyDescent="0.25">
      <c r="A465" t="s">
        <v>1180</v>
      </c>
      <c r="B465" t="s">
        <v>1179</v>
      </c>
      <c r="C465" t="s">
        <v>171</v>
      </c>
      <c r="E465">
        <v>80</v>
      </c>
      <c r="F465">
        <v>75</v>
      </c>
      <c r="G465">
        <v>150</v>
      </c>
      <c r="H465">
        <v>75</v>
      </c>
      <c r="I465">
        <v>150</v>
      </c>
      <c r="J465">
        <v>50</v>
      </c>
      <c r="K465">
        <v>580</v>
      </c>
    </row>
    <row r="466" spans="1:11" x14ac:dyDescent="0.25">
      <c r="A466" t="s">
        <v>1182</v>
      </c>
      <c r="B466" t="s">
        <v>1181</v>
      </c>
      <c r="C466" t="s">
        <v>61</v>
      </c>
      <c r="D466" t="s">
        <v>162</v>
      </c>
      <c r="E466">
        <v>80</v>
      </c>
      <c r="F466">
        <v>80</v>
      </c>
      <c r="G466">
        <v>90</v>
      </c>
      <c r="H466">
        <v>110</v>
      </c>
      <c r="I466">
        <v>130</v>
      </c>
      <c r="J466">
        <v>110</v>
      </c>
      <c r="K466">
        <v>600</v>
      </c>
    </row>
    <row r="467" spans="1:11" x14ac:dyDescent="0.25">
      <c r="A467" t="s">
        <v>1184</v>
      </c>
      <c r="B467" t="s">
        <v>1183</v>
      </c>
      <c r="C467" t="s">
        <v>61</v>
      </c>
      <c r="D467" t="s">
        <v>162</v>
      </c>
      <c r="E467">
        <v>80</v>
      </c>
      <c r="F467">
        <v>100</v>
      </c>
      <c r="G467">
        <v>120</v>
      </c>
      <c r="H467">
        <v>140</v>
      </c>
      <c r="I467">
        <v>150</v>
      </c>
      <c r="J467">
        <v>110</v>
      </c>
      <c r="K467">
        <v>700</v>
      </c>
    </row>
    <row r="468" spans="1:11" x14ac:dyDescent="0.25">
      <c r="A468" t="s">
        <v>1186</v>
      </c>
      <c r="B468" t="s">
        <v>1185</v>
      </c>
      <c r="C468" t="s">
        <v>61</v>
      </c>
      <c r="D468" t="s">
        <v>162</v>
      </c>
      <c r="E468">
        <v>80</v>
      </c>
      <c r="F468">
        <v>90</v>
      </c>
      <c r="G468">
        <v>80</v>
      </c>
      <c r="H468">
        <v>130</v>
      </c>
      <c r="I468">
        <v>110</v>
      </c>
      <c r="J468">
        <v>110</v>
      </c>
      <c r="K468">
        <v>600</v>
      </c>
    </row>
    <row r="469" spans="1:11" x14ac:dyDescent="0.25">
      <c r="A469" t="s">
        <v>1188</v>
      </c>
      <c r="B469" t="s">
        <v>1187</v>
      </c>
      <c r="C469" t="s">
        <v>61</v>
      </c>
      <c r="D469" t="s">
        <v>162</v>
      </c>
      <c r="E469">
        <v>80</v>
      </c>
      <c r="F469">
        <v>130</v>
      </c>
      <c r="G469">
        <v>100</v>
      </c>
      <c r="H469">
        <v>160</v>
      </c>
      <c r="I469">
        <v>120</v>
      </c>
      <c r="J469">
        <v>110</v>
      </c>
      <c r="K469">
        <v>700</v>
      </c>
    </row>
    <row r="470" spans="1:11" x14ac:dyDescent="0.25">
      <c r="A470" t="s">
        <v>1190</v>
      </c>
      <c r="B470" t="s">
        <v>1189</v>
      </c>
      <c r="C470" t="s">
        <v>76</v>
      </c>
      <c r="E470">
        <v>100</v>
      </c>
      <c r="F470">
        <v>100</v>
      </c>
      <c r="G470">
        <v>90</v>
      </c>
      <c r="H470">
        <v>150</v>
      </c>
      <c r="I470">
        <v>140</v>
      </c>
      <c r="J470">
        <v>90</v>
      </c>
      <c r="K470">
        <v>670</v>
      </c>
    </row>
    <row r="471" spans="1:11" x14ac:dyDescent="0.25">
      <c r="A471" t="s">
        <v>1192</v>
      </c>
      <c r="B471" t="s">
        <v>1191</v>
      </c>
      <c r="C471" t="s">
        <v>76</v>
      </c>
      <c r="E471">
        <v>100</v>
      </c>
      <c r="F471">
        <v>150</v>
      </c>
      <c r="G471">
        <v>90</v>
      </c>
      <c r="H471">
        <v>180</v>
      </c>
      <c r="I471">
        <v>160</v>
      </c>
      <c r="J471">
        <v>90</v>
      </c>
      <c r="K471">
        <v>770</v>
      </c>
    </row>
    <row r="472" spans="1:11" x14ac:dyDescent="0.25">
      <c r="A472" t="s">
        <v>1195</v>
      </c>
      <c r="B472" t="s">
        <v>1194</v>
      </c>
      <c r="C472" t="s">
        <v>132</v>
      </c>
      <c r="E472">
        <v>100</v>
      </c>
      <c r="F472">
        <v>150</v>
      </c>
      <c r="G472">
        <v>140</v>
      </c>
      <c r="H472">
        <v>100</v>
      </c>
      <c r="I472">
        <v>90</v>
      </c>
      <c r="J472">
        <v>90</v>
      </c>
      <c r="K472">
        <v>670</v>
      </c>
    </row>
    <row r="473" spans="1:11" x14ac:dyDescent="0.25">
      <c r="A473" t="s">
        <v>1197</v>
      </c>
      <c r="B473" t="s">
        <v>1196</v>
      </c>
      <c r="C473" t="s">
        <v>132</v>
      </c>
      <c r="D473" t="s">
        <v>57</v>
      </c>
      <c r="E473">
        <v>100</v>
      </c>
      <c r="F473">
        <v>180</v>
      </c>
      <c r="G473">
        <v>160</v>
      </c>
      <c r="H473">
        <v>150</v>
      </c>
      <c r="I473">
        <v>90</v>
      </c>
      <c r="J473">
        <v>90</v>
      </c>
      <c r="K473">
        <v>770</v>
      </c>
    </row>
    <row r="474" spans="1:11" x14ac:dyDescent="0.25">
      <c r="A474" t="s">
        <v>1200</v>
      </c>
      <c r="B474" t="s">
        <v>1199</v>
      </c>
      <c r="C474" t="s">
        <v>61</v>
      </c>
      <c r="D474" t="s">
        <v>66</v>
      </c>
      <c r="E474">
        <v>105</v>
      </c>
      <c r="F474">
        <v>150</v>
      </c>
      <c r="G474">
        <v>90</v>
      </c>
      <c r="H474">
        <v>150</v>
      </c>
      <c r="I474">
        <v>90</v>
      </c>
      <c r="J474">
        <v>95</v>
      </c>
      <c r="K474">
        <v>680</v>
      </c>
    </row>
    <row r="475" spans="1:11" x14ac:dyDescent="0.25">
      <c r="A475" t="s">
        <v>1203</v>
      </c>
      <c r="B475" t="s">
        <v>1202</v>
      </c>
      <c r="C475" t="s">
        <v>61</v>
      </c>
      <c r="D475" t="s">
        <v>66</v>
      </c>
      <c r="E475">
        <v>105</v>
      </c>
      <c r="F475">
        <v>180</v>
      </c>
      <c r="G475">
        <v>100</v>
      </c>
      <c r="H475">
        <v>180</v>
      </c>
      <c r="I475">
        <v>100</v>
      </c>
      <c r="J475">
        <v>115</v>
      </c>
      <c r="K475">
        <v>780</v>
      </c>
    </row>
    <row r="476" spans="1:11" x14ac:dyDescent="0.25">
      <c r="A476" t="s">
        <v>1206</v>
      </c>
      <c r="B476" t="s">
        <v>1205</v>
      </c>
      <c r="C476" t="s">
        <v>171</v>
      </c>
      <c r="D476" t="s">
        <v>162</v>
      </c>
      <c r="E476">
        <v>100</v>
      </c>
      <c r="F476">
        <v>100</v>
      </c>
      <c r="G476">
        <v>100</v>
      </c>
      <c r="H476">
        <v>100</v>
      </c>
      <c r="I476">
        <v>100</v>
      </c>
      <c r="J476">
        <v>100</v>
      </c>
      <c r="K476">
        <v>600</v>
      </c>
    </row>
    <row r="477" spans="1:11" x14ac:dyDescent="0.25">
      <c r="A477" t="s">
        <v>1208</v>
      </c>
      <c r="B477" t="s">
        <v>1207</v>
      </c>
      <c r="C477" t="s">
        <v>162</v>
      </c>
      <c r="E477">
        <v>50</v>
      </c>
      <c r="F477">
        <v>150</v>
      </c>
      <c r="G477">
        <v>50</v>
      </c>
      <c r="H477">
        <v>150</v>
      </c>
      <c r="I477">
        <v>50</v>
      </c>
      <c r="J477">
        <v>150</v>
      </c>
      <c r="K477">
        <v>600</v>
      </c>
    </row>
    <row r="478" spans="1:11" x14ac:dyDescent="0.25">
      <c r="A478" t="s">
        <v>1210</v>
      </c>
      <c r="B478" t="s">
        <v>1209</v>
      </c>
      <c r="C478" t="s">
        <v>162</v>
      </c>
      <c r="E478">
        <v>50</v>
      </c>
      <c r="F478">
        <v>180</v>
      </c>
      <c r="G478">
        <v>20</v>
      </c>
      <c r="H478">
        <v>180</v>
      </c>
      <c r="I478">
        <v>20</v>
      </c>
      <c r="J478">
        <v>150</v>
      </c>
      <c r="K478">
        <v>600</v>
      </c>
    </row>
    <row r="479" spans="1:11" x14ac:dyDescent="0.25">
      <c r="A479" t="s">
        <v>1212</v>
      </c>
      <c r="B479" t="s">
        <v>1211</v>
      </c>
      <c r="C479" t="s">
        <v>162</v>
      </c>
      <c r="E479">
        <v>50</v>
      </c>
      <c r="F479">
        <v>70</v>
      </c>
      <c r="G479">
        <v>160</v>
      </c>
      <c r="H479">
        <v>70</v>
      </c>
      <c r="I479">
        <v>160</v>
      </c>
      <c r="J479">
        <v>90</v>
      </c>
      <c r="K479">
        <v>600</v>
      </c>
    </row>
    <row r="480" spans="1:11" x14ac:dyDescent="0.25">
      <c r="A480" t="s">
        <v>1214</v>
      </c>
      <c r="B480" t="s">
        <v>1213</v>
      </c>
      <c r="C480" t="s">
        <v>162</v>
      </c>
      <c r="E480">
        <v>50</v>
      </c>
      <c r="F480">
        <v>95</v>
      </c>
      <c r="G480">
        <v>90</v>
      </c>
      <c r="H480">
        <v>95</v>
      </c>
      <c r="I480">
        <v>90</v>
      </c>
      <c r="J480">
        <v>180</v>
      </c>
      <c r="K480">
        <v>600</v>
      </c>
    </row>
    <row r="481" spans="1:11" x14ac:dyDescent="0.25">
      <c r="A481" t="s">
        <v>1216</v>
      </c>
      <c r="B481" t="s">
        <v>1215</v>
      </c>
      <c r="C481" t="s">
        <v>40</v>
      </c>
      <c r="E481">
        <v>55</v>
      </c>
      <c r="F481">
        <v>68</v>
      </c>
      <c r="G481">
        <v>64</v>
      </c>
      <c r="H481">
        <v>45</v>
      </c>
      <c r="I481">
        <v>55</v>
      </c>
      <c r="J481">
        <v>31</v>
      </c>
      <c r="K481">
        <v>318</v>
      </c>
    </row>
    <row r="482" spans="1:11" x14ac:dyDescent="0.25">
      <c r="A482" t="s">
        <v>1218</v>
      </c>
      <c r="B482" t="s">
        <v>1217</v>
      </c>
      <c r="C482" t="s">
        <v>40</v>
      </c>
      <c r="E482">
        <v>75</v>
      </c>
      <c r="F482">
        <v>89</v>
      </c>
      <c r="G482">
        <v>85</v>
      </c>
      <c r="H482">
        <v>55</v>
      </c>
      <c r="I482">
        <v>65</v>
      </c>
      <c r="J482">
        <v>36</v>
      </c>
      <c r="K482">
        <v>405</v>
      </c>
    </row>
    <row r="483" spans="1:11" x14ac:dyDescent="0.25">
      <c r="A483" t="s">
        <v>1220</v>
      </c>
      <c r="B483" t="s">
        <v>1219</v>
      </c>
      <c r="C483" t="s">
        <v>40</v>
      </c>
      <c r="D483" t="s">
        <v>132</v>
      </c>
      <c r="E483">
        <v>95</v>
      </c>
      <c r="F483">
        <v>109</v>
      </c>
      <c r="G483">
        <v>105</v>
      </c>
      <c r="H483">
        <v>75</v>
      </c>
      <c r="I483">
        <v>85</v>
      </c>
      <c r="J483">
        <v>56</v>
      </c>
      <c r="K483">
        <v>525</v>
      </c>
    </row>
    <row r="484" spans="1:11" x14ac:dyDescent="0.25">
      <c r="A484" t="s">
        <v>1222</v>
      </c>
      <c r="B484" t="s">
        <v>1221</v>
      </c>
      <c r="C484" t="s">
        <v>57</v>
      </c>
      <c r="E484">
        <v>44</v>
      </c>
      <c r="F484">
        <v>58</v>
      </c>
      <c r="G484">
        <v>44</v>
      </c>
      <c r="H484">
        <v>58</v>
      </c>
      <c r="I484">
        <v>44</v>
      </c>
      <c r="J484">
        <v>61</v>
      </c>
      <c r="K484">
        <v>309</v>
      </c>
    </row>
    <row r="485" spans="1:11" x14ac:dyDescent="0.25">
      <c r="A485" t="s">
        <v>1224</v>
      </c>
      <c r="B485" t="s">
        <v>1223</v>
      </c>
      <c r="C485" t="s">
        <v>57</v>
      </c>
      <c r="D485" t="s">
        <v>279</v>
      </c>
      <c r="E485">
        <v>64</v>
      </c>
      <c r="F485">
        <v>78</v>
      </c>
      <c r="G485">
        <v>52</v>
      </c>
      <c r="H485">
        <v>78</v>
      </c>
      <c r="I485">
        <v>52</v>
      </c>
      <c r="J485">
        <v>81</v>
      </c>
      <c r="K485">
        <v>405</v>
      </c>
    </row>
    <row r="486" spans="1:11" x14ac:dyDescent="0.25">
      <c r="A486" t="s">
        <v>1226</v>
      </c>
      <c r="B486" t="s">
        <v>1225</v>
      </c>
      <c r="C486" t="s">
        <v>57</v>
      </c>
      <c r="D486" t="s">
        <v>279</v>
      </c>
      <c r="E486">
        <v>76</v>
      </c>
      <c r="F486">
        <v>104</v>
      </c>
      <c r="G486">
        <v>71</v>
      </c>
      <c r="H486">
        <v>104</v>
      </c>
      <c r="I486">
        <v>71</v>
      </c>
      <c r="J486">
        <v>108</v>
      </c>
      <c r="K486">
        <v>534</v>
      </c>
    </row>
    <row r="487" spans="1:11" x14ac:dyDescent="0.25">
      <c r="A487" t="s">
        <v>1228</v>
      </c>
      <c r="B487" t="s">
        <v>1227</v>
      </c>
      <c r="C487" t="s">
        <v>76</v>
      </c>
      <c r="E487">
        <v>53</v>
      </c>
      <c r="F487">
        <v>51</v>
      </c>
      <c r="G487">
        <v>53</v>
      </c>
      <c r="H487">
        <v>61</v>
      </c>
      <c r="I487">
        <v>56</v>
      </c>
      <c r="J487">
        <v>40</v>
      </c>
      <c r="K487">
        <v>314</v>
      </c>
    </row>
    <row r="488" spans="1:11" x14ac:dyDescent="0.25">
      <c r="A488" t="s">
        <v>1230</v>
      </c>
      <c r="B488" t="s">
        <v>1229</v>
      </c>
      <c r="C488" t="s">
        <v>76</v>
      </c>
      <c r="E488">
        <v>64</v>
      </c>
      <c r="F488">
        <v>66</v>
      </c>
      <c r="G488">
        <v>68</v>
      </c>
      <c r="H488">
        <v>81</v>
      </c>
      <c r="I488">
        <v>76</v>
      </c>
      <c r="J488">
        <v>50</v>
      </c>
      <c r="K488">
        <v>405</v>
      </c>
    </row>
    <row r="489" spans="1:11" x14ac:dyDescent="0.25">
      <c r="A489" t="s">
        <v>1232</v>
      </c>
      <c r="B489" t="s">
        <v>1231</v>
      </c>
      <c r="C489" t="s">
        <v>76</v>
      </c>
      <c r="D489" t="s">
        <v>171</v>
      </c>
      <c r="E489">
        <v>84</v>
      </c>
      <c r="F489">
        <v>86</v>
      </c>
      <c r="G489">
        <v>88</v>
      </c>
      <c r="H489">
        <v>111</v>
      </c>
      <c r="I489">
        <v>101</v>
      </c>
      <c r="J489">
        <v>60</v>
      </c>
      <c r="K489">
        <v>530</v>
      </c>
    </row>
    <row r="490" spans="1:11" x14ac:dyDescent="0.25">
      <c r="A490" t="s">
        <v>1234</v>
      </c>
      <c r="B490" t="s">
        <v>1233</v>
      </c>
      <c r="C490" t="s">
        <v>116</v>
      </c>
      <c r="D490" t="s">
        <v>66</v>
      </c>
      <c r="E490">
        <v>40</v>
      </c>
      <c r="F490">
        <v>55</v>
      </c>
      <c r="G490">
        <v>30</v>
      </c>
      <c r="H490">
        <v>30</v>
      </c>
      <c r="I490">
        <v>30</v>
      </c>
      <c r="J490">
        <v>60</v>
      </c>
      <c r="K490">
        <v>245</v>
      </c>
    </row>
    <row r="491" spans="1:11" x14ac:dyDescent="0.25">
      <c r="A491" t="s">
        <v>1236</v>
      </c>
      <c r="B491" t="s">
        <v>1235</v>
      </c>
      <c r="C491" t="s">
        <v>116</v>
      </c>
      <c r="D491" t="s">
        <v>66</v>
      </c>
      <c r="E491">
        <v>55</v>
      </c>
      <c r="F491">
        <v>75</v>
      </c>
      <c r="G491">
        <v>50</v>
      </c>
      <c r="H491">
        <v>40</v>
      </c>
      <c r="I491">
        <v>40</v>
      </c>
      <c r="J491">
        <v>80</v>
      </c>
      <c r="K491">
        <v>340</v>
      </c>
    </row>
    <row r="492" spans="1:11" x14ac:dyDescent="0.25">
      <c r="A492" t="s">
        <v>1238</v>
      </c>
      <c r="B492" t="s">
        <v>1237</v>
      </c>
      <c r="C492" t="s">
        <v>116</v>
      </c>
      <c r="D492" t="s">
        <v>66</v>
      </c>
      <c r="E492">
        <v>85</v>
      </c>
      <c r="F492">
        <v>120</v>
      </c>
      <c r="G492">
        <v>70</v>
      </c>
      <c r="H492">
        <v>50</v>
      </c>
      <c r="I492">
        <v>60</v>
      </c>
      <c r="J492">
        <v>100</v>
      </c>
      <c r="K492">
        <v>485</v>
      </c>
    </row>
    <row r="493" spans="1:11" x14ac:dyDescent="0.25">
      <c r="A493" t="s">
        <v>1240</v>
      </c>
      <c r="B493" t="s">
        <v>1239</v>
      </c>
      <c r="C493" t="s">
        <v>116</v>
      </c>
      <c r="E493">
        <v>59</v>
      </c>
      <c r="F493">
        <v>45</v>
      </c>
      <c r="G493">
        <v>40</v>
      </c>
      <c r="H493">
        <v>35</v>
      </c>
      <c r="I493">
        <v>40</v>
      </c>
      <c r="J493">
        <v>31</v>
      </c>
      <c r="K493">
        <v>250</v>
      </c>
    </row>
    <row r="494" spans="1:11" x14ac:dyDescent="0.25">
      <c r="A494" t="s">
        <v>1242</v>
      </c>
      <c r="B494" t="s">
        <v>1241</v>
      </c>
      <c r="C494" t="s">
        <v>116</v>
      </c>
      <c r="D494" t="s">
        <v>76</v>
      </c>
      <c r="E494">
        <v>79</v>
      </c>
      <c r="F494">
        <v>85</v>
      </c>
      <c r="G494">
        <v>60</v>
      </c>
      <c r="H494">
        <v>55</v>
      </c>
      <c r="I494">
        <v>60</v>
      </c>
      <c r="J494">
        <v>71</v>
      </c>
      <c r="K494">
        <v>410</v>
      </c>
    </row>
    <row r="495" spans="1:11" x14ac:dyDescent="0.25">
      <c r="A495" t="s">
        <v>1244</v>
      </c>
      <c r="B495" t="s">
        <v>1243</v>
      </c>
      <c r="C495" t="s">
        <v>90</v>
      </c>
      <c r="E495">
        <v>37</v>
      </c>
      <c r="F495">
        <v>25</v>
      </c>
      <c r="G495">
        <v>41</v>
      </c>
      <c r="H495">
        <v>25</v>
      </c>
      <c r="I495">
        <v>41</v>
      </c>
      <c r="J495">
        <v>25</v>
      </c>
      <c r="K495">
        <v>194</v>
      </c>
    </row>
    <row r="496" spans="1:11" x14ac:dyDescent="0.25">
      <c r="A496" t="s">
        <v>1246</v>
      </c>
      <c r="B496" t="s">
        <v>1245</v>
      </c>
      <c r="C496" t="s">
        <v>90</v>
      </c>
      <c r="E496">
        <v>77</v>
      </c>
      <c r="F496">
        <v>85</v>
      </c>
      <c r="G496">
        <v>51</v>
      </c>
      <c r="H496">
        <v>55</v>
      </c>
      <c r="I496">
        <v>51</v>
      </c>
      <c r="J496">
        <v>65</v>
      </c>
      <c r="K496">
        <v>384</v>
      </c>
    </row>
    <row r="497" spans="1:11" x14ac:dyDescent="0.25">
      <c r="A497" t="s">
        <v>1248</v>
      </c>
      <c r="B497" t="s">
        <v>1247</v>
      </c>
      <c r="C497" t="s">
        <v>154</v>
      </c>
      <c r="E497">
        <v>45</v>
      </c>
      <c r="F497">
        <v>65</v>
      </c>
      <c r="G497">
        <v>34</v>
      </c>
      <c r="H497">
        <v>40</v>
      </c>
      <c r="I497">
        <v>34</v>
      </c>
      <c r="J497">
        <v>45</v>
      </c>
      <c r="K497">
        <v>263</v>
      </c>
    </row>
    <row r="498" spans="1:11" x14ac:dyDescent="0.25">
      <c r="A498" t="s">
        <v>1250</v>
      </c>
      <c r="B498" t="s">
        <v>1249</v>
      </c>
      <c r="C498" t="s">
        <v>154</v>
      </c>
      <c r="E498">
        <v>60</v>
      </c>
      <c r="F498">
        <v>85</v>
      </c>
      <c r="G498">
        <v>49</v>
      </c>
      <c r="H498">
        <v>60</v>
      </c>
      <c r="I498">
        <v>49</v>
      </c>
      <c r="J498">
        <v>60</v>
      </c>
      <c r="K498">
        <v>363</v>
      </c>
    </row>
    <row r="499" spans="1:11" x14ac:dyDescent="0.25">
      <c r="A499" t="s">
        <v>1252</v>
      </c>
      <c r="B499" t="s">
        <v>1251</v>
      </c>
      <c r="C499" t="s">
        <v>154</v>
      </c>
      <c r="E499">
        <v>80</v>
      </c>
      <c r="F499">
        <v>120</v>
      </c>
      <c r="G499">
        <v>79</v>
      </c>
      <c r="H499">
        <v>95</v>
      </c>
      <c r="I499">
        <v>79</v>
      </c>
      <c r="J499">
        <v>70</v>
      </c>
      <c r="K499">
        <v>523</v>
      </c>
    </row>
    <row r="500" spans="1:11" x14ac:dyDescent="0.25">
      <c r="A500" t="s">
        <v>1254</v>
      </c>
      <c r="B500" t="s">
        <v>1253</v>
      </c>
      <c r="C500" t="s">
        <v>40</v>
      </c>
      <c r="D500" t="s">
        <v>41</v>
      </c>
      <c r="E500">
        <v>40</v>
      </c>
      <c r="F500">
        <v>30</v>
      </c>
      <c r="G500">
        <v>35</v>
      </c>
      <c r="H500">
        <v>50</v>
      </c>
      <c r="I500">
        <v>70</v>
      </c>
      <c r="J500">
        <v>55</v>
      </c>
      <c r="K500">
        <v>280</v>
      </c>
    </row>
    <row r="501" spans="1:11" x14ac:dyDescent="0.25">
      <c r="A501" t="s">
        <v>1256</v>
      </c>
      <c r="B501" t="s">
        <v>1255</v>
      </c>
      <c r="C501" t="s">
        <v>40</v>
      </c>
      <c r="D501" t="s">
        <v>41</v>
      </c>
      <c r="E501">
        <v>60</v>
      </c>
      <c r="F501">
        <v>70</v>
      </c>
      <c r="G501">
        <v>65</v>
      </c>
      <c r="H501">
        <v>125</v>
      </c>
      <c r="I501">
        <v>105</v>
      </c>
      <c r="J501">
        <v>90</v>
      </c>
      <c r="K501">
        <v>515</v>
      </c>
    </row>
    <row r="502" spans="1:11" x14ac:dyDescent="0.25">
      <c r="A502" t="s">
        <v>1258</v>
      </c>
      <c r="B502" t="s">
        <v>1257</v>
      </c>
      <c r="C502" t="s">
        <v>290</v>
      </c>
      <c r="E502">
        <v>67</v>
      </c>
      <c r="F502">
        <v>125</v>
      </c>
      <c r="G502">
        <v>40</v>
      </c>
      <c r="H502">
        <v>30</v>
      </c>
      <c r="I502">
        <v>30</v>
      </c>
      <c r="J502">
        <v>58</v>
      </c>
      <c r="K502">
        <v>350</v>
      </c>
    </row>
    <row r="503" spans="1:11" x14ac:dyDescent="0.25">
      <c r="A503" t="s">
        <v>1260</v>
      </c>
      <c r="B503" t="s">
        <v>1259</v>
      </c>
      <c r="C503" t="s">
        <v>290</v>
      </c>
      <c r="E503">
        <v>97</v>
      </c>
      <c r="F503">
        <v>165</v>
      </c>
      <c r="G503">
        <v>60</v>
      </c>
      <c r="H503">
        <v>65</v>
      </c>
      <c r="I503">
        <v>50</v>
      </c>
      <c r="J503">
        <v>58</v>
      </c>
      <c r="K503">
        <v>495</v>
      </c>
    </row>
    <row r="504" spans="1:11" x14ac:dyDescent="0.25">
      <c r="A504" t="s">
        <v>1262</v>
      </c>
      <c r="B504" t="s">
        <v>1261</v>
      </c>
      <c r="C504" t="s">
        <v>290</v>
      </c>
      <c r="D504" t="s">
        <v>171</v>
      </c>
      <c r="E504">
        <v>30</v>
      </c>
      <c r="F504">
        <v>42</v>
      </c>
      <c r="G504">
        <v>118</v>
      </c>
      <c r="H504">
        <v>42</v>
      </c>
      <c r="I504">
        <v>88</v>
      </c>
      <c r="J504">
        <v>30</v>
      </c>
      <c r="K504">
        <v>350</v>
      </c>
    </row>
    <row r="505" spans="1:11" x14ac:dyDescent="0.25">
      <c r="A505" t="s">
        <v>1264</v>
      </c>
      <c r="B505" t="s">
        <v>1263</v>
      </c>
      <c r="C505" t="s">
        <v>290</v>
      </c>
      <c r="D505" t="s">
        <v>171</v>
      </c>
      <c r="E505">
        <v>60</v>
      </c>
      <c r="F505">
        <v>52</v>
      </c>
      <c r="G505">
        <v>168</v>
      </c>
      <c r="H505">
        <v>47</v>
      </c>
      <c r="I505">
        <v>138</v>
      </c>
      <c r="J505">
        <v>30</v>
      </c>
      <c r="K505">
        <v>495</v>
      </c>
    </row>
    <row r="506" spans="1:11" x14ac:dyDescent="0.25">
      <c r="A506" t="s">
        <v>1267</v>
      </c>
      <c r="B506" t="s">
        <v>1265</v>
      </c>
      <c r="C506" t="s">
        <v>90</v>
      </c>
      <c r="E506">
        <v>40</v>
      </c>
      <c r="F506">
        <v>29</v>
      </c>
      <c r="G506">
        <v>45</v>
      </c>
      <c r="H506">
        <v>29</v>
      </c>
      <c r="I506">
        <v>45</v>
      </c>
      <c r="J506">
        <v>36</v>
      </c>
      <c r="K506">
        <v>224</v>
      </c>
    </row>
    <row r="507" spans="1:11" x14ac:dyDescent="0.25">
      <c r="A507" t="s">
        <v>1269</v>
      </c>
      <c r="B507" t="s">
        <v>1268</v>
      </c>
      <c r="C507" t="s">
        <v>90</v>
      </c>
      <c r="E507">
        <v>40</v>
      </c>
      <c r="F507">
        <v>29</v>
      </c>
      <c r="G507">
        <v>45</v>
      </c>
      <c r="H507">
        <v>29</v>
      </c>
      <c r="I507">
        <v>45</v>
      </c>
      <c r="J507">
        <v>36</v>
      </c>
      <c r="K507">
        <v>224</v>
      </c>
    </row>
    <row r="508" spans="1:11" x14ac:dyDescent="0.25">
      <c r="A508" t="s">
        <v>1271</v>
      </c>
      <c r="B508" t="s">
        <v>1270</v>
      </c>
      <c r="C508" t="s">
        <v>90</v>
      </c>
      <c r="E508">
        <v>40</v>
      </c>
      <c r="F508">
        <v>29</v>
      </c>
      <c r="G508">
        <v>45</v>
      </c>
      <c r="H508">
        <v>29</v>
      </c>
      <c r="I508">
        <v>45</v>
      </c>
      <c r="J508">
        <v>36</v>
      </c>
      <c r="K508">
        <v>224</v>
      </c>
    </row>
    <row r="509" spans="1:11" x14ac:dyDescent="0.25">
      <c r="A509" t="s">
        <v>1274</v>
      </c>
      <c r="B509" t="s">
        <v>1272</v>
      </c>
      <c r="C509" t="s">
        <v>90</v>
      </c>
      <c r="D509" t="s">
        <v>40</v>
      </c>
      <c r="E509">
        <v>60</v>
      </c>
      <c r="F509">
        <v>59</v>
      </c>
      <c r="G509">
        <v>85</v>
      </c>
      <c r="H509">
        <v>79</v>
      </c>
      <c r="I509">
        <v>105</v>
      </c>
      <c r="J509">
        <v>36</v>
      </c>
      <c r="K509">
        <v>424</v>
      </c>
    </row>
    <row r="510" spans="1:11" x14ac:dyDescent="0.25">
      <c r="A510" t="s">
        <v>1276</v>
      </c>
      <c r="B510" t="s">
        <v>1275</v>
      </c>
      <c r="C510" t="s">
        <v>90</v>
      </c>
      <c r="D510" t="s">
        <v>132</v>
      </c>
      <c r="E510">
        <v>60</v>
      </c>
      <c r="F510">
        <v>79</v>
      </c>
      <c r="G510">
        <v>105</v>
      </c>
      <c r="H510">
        <v>59</v>
      </c>
      <c r="I510">
        <v>85</v>
      </c>
      <c r="J510">
        <v>36</v>
      </c>
      <c r="K510">
        <v>424</v>
      </c>
    </row>
    <row r="511" spans="1:11" x14ac:dyDescent="0.25">
      <c r="A511" t="s">
        <v>1278</v>
      </c>
      <c r="B511" t="s">
        <v>1277</v>
      </c>
      <c r="C511" t="s">
        <v>90</v>
      </c>
      <c r="D511" t="s">
        <v>171</v>
      </c>
      <c r="E511">
        <v>60</v>
      </c>
      <c r="F511">
        <v>69</v>
      </c>
      <c r="G511">
        <v>95</v>
      </c>
      <c r="H511">
        <v>69</v>
      </c>
      <c r="I511">
        <v>95</v>
      </c>
      <c r="J511">
        <v>36</v>
      </c>
      <c r="K511">
        <v>424</v>
      </c>
    </row>
    <row r="512" spans="1:11" x14ac:dyDescent="0.25">
      <c r="A512" t="s">
        <v>1280</v>
      </c>
      <c r="B512" t="s">
        <v>1279</v>
      </c>
      <c r="C512" t="s">
        <v>90</v>
      </c>
      <c r="D512" t="s">
        <v>66</v>
      </c>
      <c r="E512">
        <v>70</v>
      </c>
      <c r="F512">
        <v>94</v>
      </c>
      <c r="G512">
        <v>50</v>
      </c>
      <c r="H512">
        <v>94</v>
      </c>
      <c r="I512">
        <v>50</v>
      </c>
      <c r="J512">
        <v>66</v>
      </c>
      <c r="K512">
        <v>424</v>
      </c>
    </row>
    <row r="513" spans="1:11" x14ac:dyDescent="0.25">
      <c r="A513" t="s">
        <v>1282</v>
      </c>
      <c r="B513" t="s">
        <v>1281</v>
      </c>
      <c r="C513" t="s">
        <v>90</v>
      </c>
      <c r="D513" t="s">
        <v>66</v>
      </c>
      <c r="E513">
        <v>30</v>
      </c>
      <c r="F513">
        <v>30</v>
      </c>
      <c r="G513">
        <v>42</v>
      </c>
      <c r="H513">
        <v>30</v>
      </c>
      <c r="I513">
        <v>42</v>
      </c>
      <c r="J513">
        <v>70</v>
      </c>
      <c r="K513">
        <v>244</v>
      </c>
    </row>
    <row r="514" spans="1:11" x14ac:dyDescent="0.25">
      <c r="A514" t="s">
        <v>1284</v>
      </c>
      <c r="B514" t="s">
        <v>1283</v>
      </c>
      <c r="C514" t="s">
        <v>90</v>
      </c>
      <c r="D514" t="s">
        <v>66</v>
      </c>
      <c r="E514">
        <v>70</v>
      </c>
      <c r="F514">
        <v>80</v>
      </c>
      <c r="G514">
        <v>102</v>
      </c>
      <c r="H514">
        <v>80</v>
      </c>
      <c r="I514">
        <v>102</v>
      </c>
      <c r="J514">
        <v>40</v>
      </c>
      <c r="K514">
        <v>474</v>
      </c>
    </row>
    <row r="515" spans="1:11" x14ac:dyDescent="0.25">
      <c r="A515" t="s">
        <v>1286</v>
      </c>
      <c r="B515" t="s">
        <v>1285</v>
      </c>
      <c r="C515" t="s">
        <v>154</v>
      </c>
      <c r="E515">
        <v>60</v>
      </c>
      <c r="F515">
        <v>45</v>
      </c>
      <c r="G515">
        <v>70</v>
      </c>
      <c r="H515">
        <v>45</v>
      </c>
      <c r="I515">
        <v>90</v>
      </c>
      <c r="J515">
        <v>95</v>
      </c>
      <c r="K515">
        <v>405</v>
      </c>
    </row>
    <row r="516" spans="1:11" x14ac:dyDescent="0.25">
      <c r="A516" t="s">
        <v>1288</v>
      </c>
      <c r="B516" t="s">
        <v>1287</v>
      </c>
      <c r="C516" t="s">
        <v>76</v>
      </c>
      <c r="E516">
        <v>55</v>
      </c>
      <c r="F516">
        <v>65</v>
      </c>
      <c r="G516">
        <v>35</v>
      </c>
      <c r="H516">
        <v>60</v>
      </c>
      <c r="I516">
        <v>30</v>
      </c>
      <c r="J516">
        <v>85</v>
      </c>
      <c r="K516">
        <v>330</v>
      </c>
    </row>
    <row r="517" spans="1:11" x14ac:dyDescent="0.25">
      <c r="A517" t="s">
        <v>1290</v>
      </c>
      <c r="B517" t="s">
        <v>1289</v>
      </c>
      <c r="C517" t="s">
        <v>76</v>
      </c>
      <c r="E517">
        <v>85</v>
      </c>
      <c r="F517">
        <v>105</v>
      </c>
      <c r="G517">
        <v>55</v>
      </c>
      <c r="H517">
        <v>85</v>
      </c>
      <c r="I517">
        <v>50</v>
      </c>
      <c r="J517">
        <v>115</v>
      </c>
      <c r="K517">
        <v>495</v>
      </c>
    </row>
    <row r="518" spans="1:11" x14ac:dyDescent="0.25">
      <c r="A518" t="s">
        <v>1292</v>
      </c>
      <c r="B518" t="s">
        <v>1291</v>
      </c>
      <c r="C518" t="s">
        <v>40</v>
      </c>
      <c r="E518">
        <v>45</v>
      </c>
      <c r="F518">
        <v>35</v>
      </c>
      <c r="G518">
        <v>45</v>
      </c>
      <c r="H518">
        <v>62</v>
      </c>
      <c r="I518">
        <v>53</v>
      </c>
      <c r="J518">
        <v>35</v>
      </c>
      <c r="K518">
        <v>275</v>
      </c>
    </row>
    <row r="519" spans="1:11" x14ac:dyDescent="0.25">
      <c r="A519" t="s">
        <v>1294</v>
      </c>
      <c r="B519" t="s">
        <v>1293</v>
      </c>
      <c r="C519" t="s">
        <v>40</v>
      </c>
      <c r="E519">
        <v>70</v>
      </c>
      <c r="F519">
        <v>60</v>
      </c>
      <c r="G519">
        <v>70</v>
      </c>
      <c r="H519">
        <v>87</v>
      </c>
      <c r="I519">
        <v>78</v>
      </c>
      <c r="J519">
        <v>85</v>
      </c>
      <c r="K519">
        <v>450</v>
      </c>
    </row>
    <row r="520" spans="1:11" x14ac:dyDescent="0.25">
      <c r="A520" t="s">
        <v>1297</v>
      </c>
      <c r="B520" t="s">
        <v>1296</v>
      </c>
      <c r="C520" t="s">
        <v>40</v>
      </c>
      <c r="E520">
        <v>70</v>
      </c>
      <c r="F520">
        <v>60</v>
      </c>
      <c r="G520">
        <v>70</v>
      </c>
      <c r="H520">
        <v>87</v>
      </c>
      <c r="I520">
        <v>78</v>
      </c>
      <c r="J520">
        <v>85</v>
      </c>
      <c r="K520">
        <v>450</v>
      </c>
    </row>
    <row r="521" spans="1:11" x14ac:dyDescent="0.25">
      <c r="A521" t="s">
        <v>1300</v>
      </c>
      <c r="B521" t="s">
        <v>1298</v>
      </c>
      <c r="C521" t="s">
        <v>76</v>
      </c>
      <c r="E521">
        <v>76</v>
      </c>
      <c r="F521">
        <v>48</v>
      </c>
      <c r="G521">
        <v>48</v>
      </c>
      <c r="H521">
        <v>57</v>
      </c>
      <c r="I521">
        <v>62</v>
      </c>
      <c r="J521">
        <v>34</v>
      </c>
      <c r="K521">
        <v>325</v>
      </c>
    </row>
    <row r="522" spans="1:11" x14ac:dyDescent="0.25">
      <c r="A522" t="s">
        <v>1302</v>
      </c>
      <c r="B522" t="s">
        <v>1301</v>
      </c>
      <c r="C522" t="s">
        <v>76</v>
      </c>
      <c r="E522">
        <v>76</v>
      </c>
      <c r="F522">
        <v>48</v>
      </c>
      <c r="G522">
        <v>48</v>
      </c>
      <c r="H522">
        <v>57</v>
      </c>
      <c r="I522">
        <v>62</v>
      </c>
      <c r="J522">
        <v>34</v>
      </c>
      <c r="K522">
        <v>325</v>
      </c>
    </row>
    <row r="523" spans="1:11" x14ac:dyDescent="0.25">
      <c r="A523" t="s">
        <v>1305</v>
      </c>
      <c r="B523" t="s">
        <v>1303</v>
      </c>
      <c r="C523" t="s">
        <v>76</v>
      </c>
      <c r="D523" t="s">
        <v>132</v>
      </c>
      <c r="E523">
        <v>111</v>
      </c>
      <c r="F523">
        <v>83</v>
      </c>
      <c r="G523">
        <v>68</v>
      </c>
      <c r="H523">
        <v>92</v>
      </c>
      <c r="I523">
        <v>82</v>
      </c>
      <c r="J523">
        <v>39</v>
      </c>
      <c r="K523">
        <v>475</v>
      </c>
    </row>
    <row r="524" spans="1:11" x14ac:dyDescent="0.25">
      <c r="A524" t="s">
        <v>1307</v>
      </c>
      <c r="B524" t="s">
        <v>1306</v>
      </c>
      <c r="C524" t="s">
        <v>76</v>
      </c>
      <c r="D524" t="s">
        <v>132</v>
      </c>
      <c r="E524">
        <v>111</v>
      </c>
      <c r="F524">
        <v>83</v>
      </c>
      <c r="G524">
        <v>68</v>
      </c>
      <c r="H524">
        <v>92</v>
      </c>
      <c r="I524">
        <v>82</v>
      </c>
      <c r="J524">
        <v>39</v>
      </c>
      <c r="K524">
        <v>475</v>
      </c>
    </row>
    <row r="525" spans="1:11" x14ac:dyDescent="0.25">
      <c r="A525" t="s">
        <v>1309</v>
      </c>
      <c r="B525" t="s">
        <v>1308</v>
      </c>
      <c r="C525" t="s">
        <v>116</v>
      </c>
      <c r="E525">
        <v>75</v>
      </c>
      <c r="F525">
        <v>100</v>
      </c>
      <c r="G525">
        <v>66</v>
      </c>
      <c r="H525">
        <v>60</v>
      </c>
      <c r="I525">
        <v>66</v>
      </c>
      <c r="J525">
        <v>115</v>
      </c>
      <c r="K525">
        <v>482</v>
      </c>
    </row>
    <row r="526" spans="1:11" x14ac:dyDescent="0.25">
      <c r="A526" t="s">
        <v>1311</v>
      </c>
      <c r="B526" t="s">
        <v>1310</v>
      </c>
      <c r="C526" t="s">
        <v>419</v>
      </c>
      <c r="D526" t="s">
        <v>66</v>
      </c>
      <c r="E526">
        <v>90</v>
      </c>
      <c r="F526">
        <v>50</v>
      </c>
      <c r="G526">
        <v>34</v>
      </c>
      <c r="H526">
        <v>60</v>
      </c>
      <c r="I526">
        <v>44</v>
      </c>
      <c r="J526">
        <v>70</v>
      </c>
      <c r="K526">
        <v>348</v>
      </c>
    </row>
    <row r="527" spans="1:11" x14ac:dyDescent="0.25">
      <c r="A527" t="s">
        <v>1314</v>
      </c>
      <c r="B527" t="s">
        <v>1313</v>
      </c>
      <c r="C527" t="s">
        <v>419</v>
      </c>
      <c r="D527" t="s">
        <v>66</v>
      </c>
      <c r="E527">
        <v>150</v>
      </c>
      <c r="F527">
        <v>80</v>
      </c>
      <c r="G527">
        <v>44</v>
      </c>
      <c r="H527">
        <v>90</v>
      </c>
      <c r="I527">
        <v>54</v>
      </c>
      <c r="J527">
        <v>80</v>
      </c>
      <c r="K527">
        <v>498</v>
      </c>
    </row>
    <row r="528" spans="1:11" x14ac:dyDescent="0.25">
      <c r="A528" t="s">
        <v>1316</v>
      </c>
      <c r="B528" t="s">
        <v>1315</v>
      </c>
      <c r="C528" t="s">
        <v>116</v>
      </c>
      <c r="E528">
        <v>55</v>
      </c>
      <c r="F528">
        <v>66</v>
      </c>
      <c r="G528">
        <v>44</v>
      </c>
      <c r="H528">
        <v>44</v>
      </c>
      <c r="I528">
        <v>56</v>
      </c>
      <c r="J528">
        <v>85</v>
      </c>
      <c r="K528">
        <v>350</v>
      </c>
    </row>
    <row r="529" spans="1:11" x14ac:dyDescent="0.25">
      <c r="A529" t="s">
        <v>1319</v>
      </c>
      <c r="B529" t="s">
        <v>1318</v>
      </c>
      <c r="C529" t="s">
        <v>116</v>
      </c>
      <c r="E529">
        <v>65</v>
      </c>
      <c r="F529">
        <v>76</v>
      </c>
      <c r="G529">
        <v>84</v>
      </c>
      <c r="H529">
        <v>54</v>
      </c>
      <c r="I529">
        <v>96</v>
      </c>
      <c r="J529">
        <v>105</v>
      </c>
      <c r="K529">
        <v>480</v>
      </c>
    </row>
    <row r="530" spans="1:11" x14ac:dyDescent="0.25">
      <c r="A530" t="s">
        <v>1321</v>
      </c>
      <c r="B530" t="s">
        <v>1320</v>
      </c>
      <c r="C530" t="s">
        <v>116</v>
      </c>
      <c r="D530" t="s">
        <v>279</v>
      </c>
      <c r="E530">
        <v>65</v>
      </c>
      <c r="F530">
        <v>136</v>
      </c>
      <c r="G530">
        <v>94</v>
      </c>
      <c r="H530">
        <v>54</v>
      </c>
      <c r="I530">
        <v>96</v>
      </c>
      <c r="J530">
        <v>135</v>
      </c>
      <c r="K530">
        <v>580</v>
      </c>
    </row>
    <row r="531" spans="1:11" x14ac:dyDescent="0.25">
      <c r="A531" t="s">
        <v>1323</v>
      </c>
      <c r="B531" t="s">
        <v>1322</v>
      </c>
      <c r="C531" t="s">
        <v>419</v>
      </c>
      <c r="E531">
        <v>60</v>
      </c>
      <c r="F531">
        <v>60</v>
      </c>
      <c r="G531">
        <v>60</v>
      </c>
      <c r="H531">
        <v>105</v>
      </c>
      <c r="I531">
        <v>105</v>
      </c>
      <c r="J531">
        <v>105</v>
      </c>
      <c r="K531">
        <v>495</v>
      </c>
    </row>
    <row r="532" spans="1:11" x14ac:dyDescent="0.25">
      <c r="A532" t="s">
        <v>1325</v>
      </c>
      <c r="B532" t="s">
        <v>1324</v>
      </c>
      <c r="C532" t="s">
        <v>135</v>
      </c>
      <c r="D532" t="s">
        <v>66</v>
      </c>
      <c r="E532">
        <v>100</v>
      </c>
      <c r="F532">
        <v>125</v>
      </c>
      <c r="G532">
        <v>52</v>
      </c>
      <c r="H532">
        <v>105</v>
      </c>
      <c r="I532">
        <v>52</v>
      </c>
      <c r="J532">
        <v>71</v>
      </c>
      <c r="K532">
        <v>505</v>
      </c>
    </row>
    <row r="533" spans="1:11" x14ac:dyDescent="0.25">
      <c r="A533" t="s">
        <v>1327</v>
      </c>
      <c r="B533" t="s">
        <v>1326</v>
      </c>
      <c r="C533" t="s">
        <v>116</v>
      </c>
      <c r="E533">
        <v>49</v>
      </c>
      <c r="F533">
        <v>55</v>
      </c>
      <c r="G533">
        <v>42</v>
      </c>
      <c r="H533">
        <v>42</v>
      </c>
      <c r="I533">
        <v>37</v>
      </c>
      <c r="J533">
        <v>85</v>
      </c>
      <c r="K533">
        <v>310</v>
      </c>
    </row>
    <row r="534" spans="1:11" x14ac:dyDescent="0.25">
      <c r="A534" t="s">
        <v>1329</v>
      </c>
      <c r="B534" t="s">
        <v>1328</v>
      </c>
      <c r="C534" t="s">
        <v>116</v>
      </c>
      <c r="E534">
        <v>71</v>
      </c>
      <c r="F534">
        <v>82</v>
      </c>
      <c r="G534">
        <v>64</v>
      </c>
      <c r="H534">
        <v>64</v>
      </c>
      <c r="I534">
        <v>59</v>
      </c>
      <c r="J534">
        <v>112</v>
      </c>
      <c r="K534">
        <v>452</v>
      </c>
    </row>
    <row r="535" spans="1:11" x14ac:dyDescent="0.25">
      <c r="A535" t="s">
        <v>1331</v>
      </c>
      <c r="B535" t="s">
        <v>1330</v>
      </c>
      <c r="C535" t="s">
        <v>162</v>
      </c>
      <c r="E535">
        <v>45</v>
      </c>
      <c r="F535">
        <v>30</v>
      </c>
      <c r="G535">
        <v>50</v>
      </c>
      <c r="H535">
        <v>65</v>
      </c>
      <c r="I535">
        <v>50</v>
      </c>
      <c r="J535">
        <v>45</v>
      </c>
      <c r="K535">
        <v>285</v>
      </c>
    </row>
    <row r="536" spans="1:11" x14ac:dyDescent="0.25">
      <c r="A536" t="s">
        <v>1333</v>
      </c>
      <c r="B536" t="s">
        <v>1332</v>
      </c>
      <c r="C536" t="s">
        <v>41</v>
      </c>
      <c r="D536" t="s">
        <v>135</v>
      </c>
      <c r="E536">
        <v>63</v>
      </c>
      <c r="F536">
        <v>63</v>
      </c>
      <c r="G536">
        <v>47</v>
      </c>
      <c r="H536">
        <v>41</v>
      </c>
      <c r="I536">
        <v>41</v>
      </c>
      <c r="J536">
        <v>74</v>
      </c>
      <c r="K536">
        <v>329</v>
      </c>
    </row>
    <row r="537" spans="1:11" x14ac:dyDescent="0.25">
      <c r="A537" t="s">
        <v>1335</v>
      </c>
      <c r="B537" t="s">
        <v>1334</v>
      </c>
      <c r="C537" t="s">
        <v>41</v>
      </c>
      <c r="D537" t="s">
        <v>135</v>
      </c>
      <c r="E537">
        <v>103</v>
      </c>
      <c r="F537">
        <v>93</v>
      </c>
      <c r="G537">
        <v>67</v>
      </c>
      <c r="H537">
        <v>71</v>
      </c>
      <c r="I537">
        <v>61</v>
      </c>
      <c r="J537">
        <v>84</v>
      </c>
      <c r="K537">
        <v>479</v>
      </c>
    </row>
    <row r="538" spans="1:11" x14ac:dyDescent="0.25">
      <c r="A538" t="s">
        <v>1337</v>
      </c>
      <c r="B538" t="s">
        <v>1336</v>
      </c>
      <c r="C538" t="s">
        <v>171</v>
      </c>
      <c r="D538" t="s">
        <v>162</v>
      </c>
      <c r="E538">
        <v>57</v>
      </c>
      <c r="F538">
        <v>24</v>
      </c>
      <c r="G538">
        <v>86</v>
      </c>
      <c r="H538">
        <v>24</v>
      </c>
      <c r="I538">
        <v>86</v>
      </c>
      <c r="J538">
        <v>23</v>
      </c>
      <c r="K538">
        <v>300</v>
      </c>
    </row>
    <row r="539" spans="1:11" x14ac:dyDescent="0.25">
      <c r="A539" t="s">
        <v>1340</v>
      </c>
      <c r="B539" t="s">
        <v>1339</v>
      </c>
      <c r="C539" t="s">
        <v>171</v>
      </c>
      <c r="D539" t="s">
        <v>162</v>
      </c>
      <c r="E539">
        <v>67</v>
      </c>
      <c r="F539">
        <v>89</v>
      </c>
      <c r="G539">
        <v>116</v>
      </c>
      <c r="H539">
        <v>79</v>
      </c>
      <c r="I539">
        <v>116</v>
      </c>
      <c r="J539">
        <v>33</v>
      </c>
      <c r="K539">
        <v>500</v>
      </c>
    </row>
    <row r="540" spans="1:11" x14ac:dyDescent="0.25">
      <c r="A540" t="s">
        <v>1342</v>
      </c>
      <c r="B540" t="s">
        <v>1341</v>
      </c>
      <c r="C540" t="s">
        <v>290</v>
      </c>
      <c r="E540">
        <v>50</v>
      </c>
      <c r="F540">
        <v>80</v>
      </c>
      <c r="G540">
        <v>95</v>
      </c>
      <c r="H540">
        <v>10</v>
      </c>
      <c r="I540">
        <v>45</v>
      </c>
      <c r="J540">
        <v>10</v>
      </c>
      <c r="K540">
        <v>290</v>
      </c>
    </row>
    <row r="541" spans="1:11" x14ac:dyDescent="0.25">
      <c r="A541" t="s">
        <v>1344</v>
      </c>
      <c r="B541" t="s">
        <v>1343</v>
      </c>
      <c r="C541" t="s">
        <v>162</v>
      </c>
      <c r="D541" t="s">
        <v>157</v>
      </c>
      <c r="E541">
        <v>20</v>
      </c>
      <c r="F541">
        <v>25</v>
      </c>
      <c r="G541">
        <v>45</v>
      </c>
      <c r="H541">
        <v>70</v>
      </c>
      <c r="I541">
        <v>90</v>
      </c>
      <c r="J541">
        <v>60</v>
      </c>
      <c r="K541">
        <v>310</v>
      </c>
    </row>
    <row r="542" spans="1:11" x14ac:dyDescent="0.25">
      <c r="A542" t="s">
        <v>1346</v>
      </c>
      <c r="B542" t="s">
        <v>1345</v>
      </c>
      <c r="C542" t="s">
        <v>116</v>
      </c>
      <c r="E542">
        <v>100</v>
      </c>
      <c r="F542">
        <v>5</v>
      </c>
      <c r="G542">
        <v>5</v>
      </c>
      <c r="H542">
        <v>15</v>
      </c>
      <c r="I542">
        <v>65</v>
      </c>
      <c r="J542">
        <v>30</v>
      </c>
      <c r="K542">
        <v>220</v>
      </c>
    </row>
    <row r="543" spans="1:11" x14ac:dyDescent="0.25">
      <c r="A543" t="s">
        <v>1348</v>
      </c>
      <c r="B543" t="s">
        <v>1347</v>
      </c>
      <c r="C543" t="s">
        <v>116</v>
      </c>
      <c r="D543" t="s">
        <v>66</v>
      </c>
      <c r="E543">
        <v>76</v>
      </c>
      <c r="F543">
        <v>65</v>
      </c>
      <c r="G543">
        <v>45</v>
      </c>
      <c r="H543">
        <v>92</v>
      </c>
      <c r="I543">
        <v>42</v>
      </c>
      <c r="J543">
        <v>91</v>
      </c>
      <c r="K543">
        <v>411</v>
      </c>
    </row>
    <row r="544" spans="1:11" x14ac:dyDescent="0.25">
      <c r="A544" t="s">
        <v>1350</v>
      </c>
      <c r="B544" t="s">
        <v>1349</v>
      </c>
      <c r="C544" t="s">
        <v>419</v>
      </c>
      <c r="D544" t="s">
        <v>135</v>
      </c>
      <c r="E544">
        <v>50</v>
      </c>
      <c r="F544">
        <v>92</v>
      </c>
      <c r="G544">
        <v>108</v>
      </c>
      <c r="H544">
        <v>92</v>
      </c>
      <c r="I544">
        <v>108</v>
      </c>
      <c r="J544">
        <v>35</v>
      </c>
      <c r="K544">
        <v>485</v>
      </c>
    </row>
    <row r="545" spans="1:11" x14ac:dyDescent="0.25">
      <c r="A545" t="s">
        <v>1352</v>
      </c>
      <c r="B545" t="s">
        <v>1351</v>
      </c>
      <c r="C545" t="s">
        <v>61</v>
      </c>
      <c r="D545" t="s">
        <v>132</v>
      </c>
      <c r="E545">
        <v>58</v>
      </c>
      <c r="F545">
        <v>70</v>
      </c>
      <c r="G545">
        <v>45</v>
      </c>
      <c r="H545">
        <v>40</v>
      </c>
      <c r="I545">
        <v>45</v>
      </c>
      <c r="J545">
        <v>42</v>
      </c>
      <c r="K545">
        <v>300</v>
      </c>
    </row>
    <row r="546" spans="1:11" x14ac:dyDescent="0.25">
      <c r="A546" t="s">
        <v>1354</v>
      </c>
      <c r="B546" t="s">
        <v>1353</v>
      </c>
      <c r="C546" t="s">
        <v>61</v>
      </c>
      <c r="D546" t="s">
        <v>132</v>
      </c>
      <c r="E546">
        <v>68</v>
      </c>
      <c r="F546">
        <v>90</v>
      </c>
      <c r="G546">
        <v>65</v>
      </c>
      <c r="H546">
        <v>50</v>
      </c>
      <c r="I546">
        <v>55</v>
      </c>
      <c r="J546">
        <v>82</v>
      </c>
      <c r="K546">
        <v>410</v>
      </c>
    </row>
    <row r="547" spans="1:11" x14ac:dyDescent="0.25">
      <c r="A547" t="s">
        <v>1356</v>
      </c>
      <c r="B547" t="s">
        <v>1355</v>
      </c>
      <c r="C547" t="s">
        <v>61</v>
      </c>
      <c r="D547" t="s">
        <v>132</v>
      </c>
      <c r="E547">
        <v>108</v>
      </c>
      <c r="F547">
        <v>130</v>
      </c>
      <c r="G547">
        <v>95</v>
      </c>
      <c r="H547">
        <v>80</v>
      </c>
      <c r="I547">
        <v>85</v>
      </c>
      <c r="J547">
        <v>102</v>
      </c>
      <c r="K547">
        <v>600</v>
      </c>
    </row>
    <row r="548" spans="1:11" x14ac:dyDescent="0.25">
      <c r="A548" t="s">
        <v>1358</v>
      </c>
      <c r="B548" t="s">
        <v>1357</v>
      </c>
      <c r="C548" t="s">
        <v>61</v>
      </c>
      <c r="D548" t="s">
        <v>132</v>
      </c>
      <c r="E548">
        <v>108</v>
      </c>
      <c r="F548">
        <v>170</v>
      </c>
      <c r="G548">
        <v>115</v>
      </c>
      <c r="H548">
        <v>120</v>
      </c>
      <c r="I548">
        <v>95</v>
      </c>
      <c r="J548">
        <v>92</v>
      </c>
      <c r="K548">
        <v>700</v>
      </c>
    </row>
    <row r="549" spans="1:11" x14ac:dyDescent="0.25">
      <c r="A549" t="s">
        <v>1360</v>
      </c>
      <c r="B549" t="s">
        <v>1359</v>
      </c>
      <c r="C549" t="s">
        <v>116</v>
      </c>
      <c r="E549">
        <v>135</v>
      </c>
      <c r="F549">
        <v>85</v>
      </c>
      <c r="G549">
        <v>40</v>
      </c>
      <c r="H549">
        <v>40</v>
      </c>
      <c r="I549">
        <v>85</v>
      </c>
      <c r="J549">
        <v>5</v>
      </c>
      <c r="K549">
        <v>390</v>
      </c>
    </row>
    <row r="550" spans="1:11" x14ac:dyDescent="0.25">
      <c r="A550" t="s">
        <v>1362</v>
      </c>
      <c r="B550" t="s">
        <v>1361</v>
      </c>
      <c r="C550" t="s">
        <v>279</v>
      </c>
      <c r="E550">
        <v>40</v>
      </c>
      <c r="F550">
        <v>70</v>
      </c>
      <c r="G550">
        <v>40</v>
      </c>
      <c r="H550">
        <v>35</v>
      </c>
      <c r="I550">
        <v>40</v>
      </c>
      <c r="J550">
        <v>60</v>
      </c>
      <c r="K550">
        <v>285</v>
      </c>
    </row>
    <row r="551" spans="1:11" x14ac:dyDescent="0.25">
      <c r="A551" t="s">
        <v>1364</v>
      </c>
      <c r="B551" t="s">
        <v>1363</v>
      </c>
      <c r="C551" t="s">
        <v>279</v>
      </c>
      <c r="D551" t="s">
        <v>171</v>
      </c>
      <c r="E551">
        <v>70</v>
      </c>
      <c r="F551">
        <v>110</v>
      </c>
      <c r="G551">
        <v>70</v>
      </c>
      <c r="H551">
        <v>115</v>
      </c>
      <c r="I551">
        <v>70</v>
      </c>
      <c r="J551">
        <v>90</v>
      </c>
      <c r="K551">
        <v>525</v>
      </c>
    </row>
    <row r="552" spans="1:11" x14ac:dyDescent="0.25">
      <c r="A552" t="s">
        <v>1366</v>
      </c>
      <c r="B552" t="s">
        <v>1365</v>
      </c>
      <c r="C552" t="s">
        <v>279</v>
      </c>
      <c r="D552" t="s">
        <v>171</v>
      </c>
      <c r="E552">
        <v>70</v>
      </c>
      <c r="F552">
        <v>145</v>
      </c>
      <c r="G552">
        <v>88</v>
      </c>
      <c r="H552">
        <v>140</v>
      </c>
      <c r="I552">
        <v>70</v>
      </c>
      <c r="J552">
        <v>112</v>
      </c>
      <c r="K552">
        <v>625</v>
      </c>
    </row>
    <row r="553" spans="1:11" x14ac:dyDescent="0.25">
      <c r="A553" t="s">
        <v>1368</v>
      </c>
      <c r="B553" t="s">
        <v>1367</v>
      </c>
      <c r="C553" t="s">
        <v>132</v>
      </c>
      <c r="E553">
        <v>68</v>
      </c>
      <c r="F553">
        <v>72</v>
      </c>
      <c r="G553">
        <v>78</v>
      </c>
      <c r="H553">
        <v>38</v>
      </c>
      <c r="I553">
        <v>42</v>
      </c>
      <c r="J553">
        <v>32</v>
      </c>
      <c r="K553">
        <v>330</v>
      </c>
    </row>
    <row r="554" spans="1:11" x14ac:dyDescent="0.25">
      <c r="A554" t="s">
        <v>1370</v>
      </c>
      <c r="B554" t="s">
        <v>1369</v>
      </c>
      <c r="C554" t="s">
        <v>132</v>
      </c>
      <c r="E554">
        <v>108</v>
      </c>
      <c r="F554">
        <v>112</v>
      </c>
      <c r="G554">
        <v>118</v>
      </c>
      <c r="H554">
        <v>68</v>
      </c>
      <c r="I554">
        <v>72</v>
      </c>
      <c r="J554">
        <v>47</v>
      </c>
      <c r="K554">
        <v>525</v>
      </c>
    </row>
    <row r="555" spans="1:11" x14ac:dyDescent="0.25">
      <c r="A555" t="s">
        <v>1372</v>
      </c>
      <c r="B555" t="s">
        <v>1371</v>
      </c>
      <c r="C555" t="s">
        <v>41</v>
      </c>
      <c r="D555" t="s">
        <v>90</v>
      </c>
      <c r="E555">
        <v>40</v>
      </c>
      <c r="F555">
        <v>50</v>
      </c>
      <c r="G555">
        <v>90</v>
      </c>
      <c r="H555">
        <v>30</v>
      </c>
      <c r="I555">
        <v>55</v>
      </c>
      <c r="J555">
        <v>65</v>
      </c>
      <c r="K555">
        <v>330</v>
      </c>
    </row>
    <row r="556" spans="1:11" x14ac:dyDescent="0.25">
      <c r="A556" t="s">
        <v>1374</v>
      </c>
      <c r="B556" t="s">
        <v>1373</v>
      </c>
      <c r="C556" t="s">
        <v>41</v>
      </c>
      <c r="D556" t="s">
        <v>135</v>
      </c>
      <c r="E556">
        <v>70</v>
      </c>
      <c r="F556">
        <v>90</v>
      </c>
      <c r="G556">
        <v>110</v>
      </c>
      <c r="H556">
        <v>60</v>
      </c>
      <c r="I556">
        <v>75</v>
      </c>
      <c r="J556">
        <v>95</v>
      </c>
      <c r="K556">
        <v>500</v>
      </c>
    </row>
    <row r="557" spans="1:11" x14ac:dyDescent="0.25">
      <c r="A557" t="s">
        <v>1376</v>
      </c>
      <c r="B557" t="s">
        <v>1375</v>
      </c>
      <c r="C557" t="s">
        <v>41</v>
      </c>
      <c r="D557" t="s">
        <v>279</v>
      </c>
      <c r="E557">
        <v>48</v>
      </c>
      <c r="F557">
        <v>61</v>
      </c>
      <c r="G557">
        <v>40</v>
      </c>
      <c r="H557">
        <v>61</v>
      </c>
      <c r="I557">
        <v>40</v>
      </c>
      <c r="J557">
        <v>50</v>
      </c>
      <c r="K557">
        <v>300</v>
      </c>
    </row>
    <row r="558" spans="1:11" x14ac:dyDescent="0.25">
      <c r="A558" t="s">
        <v>1378</v>
      </c>
      <c r="B558" t="s">
        <v>1377</v>
      </c>
      <c r="C558" t="s">
        <v>41</v>
      </c>
      <c r="D558" t="s">
        <v>279</v>
      </c>
      <c r="E558">
        <v>83</v>
      </c>
      <c r="F558">
        <v>106</v>
      </c>
      <c r="G558">
        <v>65</v>
      </c>
      <c r="H558">
        <v>86</v>
      </c>
      <c r="I558">
        <v>65</v>
      </c>
      <c r="J558">
        <v>85</v>
      </c>
      <c r="K558">
        <v>490</v>
      </c>
    </row>
    <row r="559" spans="1:11" x14ac:dyDescent="0.25">
      <c r="A559" t="s">
        <v>1380</v>
      </c>
      <c r="B559" t="s">
        <v>1379</v>
      </c>
      <c r="C559" t="s">
        <v>40</v>
      </c>
      <c r="E559">
        <v>74</v>
      </c>
      <c r="F559">
        <v>100</v>
      </c>
      <c r="G559">
        <v>72</v>
      </c>
      <c r="H559">
        <v>90</v>
      </c>
      <c r="I559">
        <v>72</v>
      </c>
      <c r="J559">
        <v>46</v>
      </c>
      <c r="K559">
        <v>454</v>
      </c>
    </row>
    <row r="560" spans="1:11" x14ac:dyDescent="0.25">
      <c r="A560" t="s">
        <v>1382</v>
      </c>
      <c r="B560" t="s">
        <v>1381</v>
      </c>
      <c r="C560" t="s">
        <v>76</v>
      </c>
      <c r="E560">
        <v>49</v>
      </c>
      <c r="F560">
        <v>49</v>
      </c>
      <c r="G560">
        <v>56</v>
      </c>
      <c r="H560">
        <v>49</v>
      </c>
      <c r="I560">
        <v>61</v>
      </c>
      <c r="J560">
        <v>66</v>
      </c>
      <c r="K560">
        <v>330</v>
      </c>
    </row>
    <row r="561" spans="1:11" x14ac:dyDescent="0.25">
      <c r="A561" t="s">
        <v>1384</v>
      </c>
      <c r="B561" t="s">
        <v>1383</v>
      </c>
      <c r="C561" t="s">
        <v>76</v>
      </c>
      <c r="E561">
        <v>69</v>
      </c>
      <c r="F561">
        <v>69</v>
      </c>
      <c r="G561">
        <v>76</v>
      </c>
      <c r="H561">
        <v>69</v>
      </c>
      <c r="I561">
        <v>86</v>
      </c>
      <c r="J561">
        <v>91</v>
      </c>
      <c r="K561">
        <v>460</v>
      </c>
    </row>
    <row r="562" spans="1:11" x14ac:dyDescent="0.25">
      <c r="A562" t="s">
        <v>1386</v>
      </c>
      <c r="B562" t="s">
        <v>1385</v>
      </c>
      <c r="C562" t="s">
        <v>76</v>
      </c>
      <c r="D562" t="s">
        <v>66</v>
      </c>
      <c r="E562">
        <v>45</v>
      </c>
      <c r="F562">
        <v>20</v>
      </c>
      <c r="G562">
        <v>50</v>
      </c>
      <c r="H562">
        <v>60</v>
      </c>
      <c r="I562">
        <v>120</v>
      </c>
      <c r="J562">
        <v>50</v>
      </c>
      <c r="K562">
        <v>345</v>
      </c>
    </row>
    <row r="563" spans="1:11" x14ac:dyDescent="0.25">
      <c r="A563" t="s">
        <v>1388</v>
      </c>
      <c r="B563" t="s">
        <v>1387</v>
      </c>
      <c r="C563" t="s">
        <v>40</v>
      </c>
      <c r="D563" t="s">
        <v>170</v>
      </c>
      <c r="E563">
        <v>60</v>
      </c>
      <c r="F563">
        <v>62</v>
      </c>
      <c r="G563">
        <v>50</v>
      </c>
      <c r="H563">
        <v>62</v>
      </c>
      <c r="I563">
        <v>60</v>
      </c>
      <c r="J563">
        <v>40</v>
      </c>
      <c r="K563">
        <v>334</v>
      </c>
    </row>
    <row r="564" spans="1:11" x14ac:dyDescent="0.25">
      <c r="A564" t="s">
        <v>1390</v>
      </c>
      <c r="B564" t="s">
        <v>1389</v>
      </c>
      <c r="C564" t="s">
        <v>40</v>
      </c>
      <c r="D564" t="s">
        <v>170</v>
      </c>
      <c r="E564">
        <v>90</v>
      </c>
      <c r="F564">
        <v>92</v>
      </c>
      <c r="G564">
        <v>75</v>
      </c>
      <c r="H564">
        <v>92</v>
      </c>
      <c r="I564">
        <v>85</v>
      </c>
      <c r="J564">
        <v>60</v>
      </c>
      <c r="K564">
        <v>494</v>
      </c>
    </row>
    <row r="565" spans="1:11" x14ac:dyDescent="0.25">
      <c r="A565" t="s">
        <v>1392</v>
      </c>
      <c r="B565" t="s">
        <v>1391</v>
      </c>
      <c r="C565" t="s">
        <v>40</v>
      </c>
      <c r="D565" t="s">
        <v>170</v>
      </c>
      <c r="E565">
        <v>90</v>
      </c>
      <c r="F565">
        <v>132</v>
      </c>
      <c r="G565">
        <v>105</v>
      </c>
      <c r="H565">
        <v>132</v>
      </c>
      <c r="I565">
        <v>105</v>
      </c>
      <c r="J565">
        <v>30</v>
      </c>
      <c r="K565">
        <v>594</v>
      </c>
    </row>
    <row r="566" spans="1:11" x14ac:dyDescent="0.25">
      <c r="A566" t="s">
        <v>1394</v>
      </c>
      <c r="B566" t="s">
        <v>1393</v>
      </c>
      <c r="C566" t="s">
        <v>135</v>
      </c>
      <c r="D566" t="s">
        <v>170</v>
      </c>
      <c r="E566">
        <v>70</v>
      </c>
      <c r="F566">
        <v>120</v>
      </c>
      <c r="G566">
        <v>65</v>
      </c>
      <c r="H566">
        <v>45</v>
      </c>
      <c r="I566">
        <v>85</v>
      </c>
      <c r="J566">
        <v>125</v>
      </c>
      <c r="K566">
        <v>510</v>
      </c>
    </row>
    <row r="567" spans="1:11" x14ac:dyDescent="0.25">
      <c r="A567" t="s">
        <v>1396</v>
      </c>
      <c r="B567" t="s">
        <v>1395</v>
      </c>
      <c r="C567" t="s">
        <v>154</v>
      </c>
      <c r="D567" t="s">
        <v>171</v>
      </c>
      <c r="E567">
        <v>70</v>
      </c>
      <c r="F567">
        <v>70</v>
      </c>
      <c r="G567">
        <v>115</v>
      </c>
      <c r="H567">
        <v>130</v>
      </c>
      <c r="I567">
        <v>90</v>
      </c>
      <c r="J567">
        <v>60</v>
      </c>
      <c r="K567">
        <v>535</v>
      </c>
    </row>
    <row r="568" spans="1:11" x14ac:dyDescent="0.25">
      <c r="A568" t="s">
        <v>1398</v>
      </c>
      <c r="B568" t="s">
        <v>1397</v>
      </c>
      <c r="C568" t="s">
        <v>116</v>
      </c>
      <c r="E568">
        <v>110</v>
      </c>
      <c r="F568">
        <v>85</v>
      </c>
      <c r="G568">
        <v>95</v>
      </c>
      <c r="H568">
        <v>80</v>
      </c>
      <c r="I568">
        <v>95</v>
      </c>
      <c r="J568">
        <v>50</v>
      </c>
      <c r="K568">
        <v>515</v>
      </c>
    </row>
    <row r="569" spans="1:11" x14ac:dyDescent="0.25">
      <c r="A569" t="s">
        <v>1400</v>
      </c>
      <c r="B569" t="s">
        <v>1399</v>
      </c>
      <c r="C569" t="s">
        <v>132</v>
      </c>
      <c r="D569" t="s">
        <v>290</v>
      </c>
      <c r="E569">
        <v>115</v>
      </c>
      <c r="F569">
        <v>140</v>
      </c>
      <c r="G569">
        <v>130</v>
      </c>
      <c r="H569">
        <v>55</v>
      </c>
      <c r="I569">
        <v>55</v>
      </c>
      <c r="J569">
        <v>40</v>
      </c>
      <c r="K569">
        <v>535</v>
      </c>
    </row>
    <row r="570" spans="1:11" x14ac:dyDescent="0.25">
      <c r="A570" t="s">
        <v>1402</v>
      </c>
      <c r="B570" t="s">
        <v>1401</v>
      </c>
      <c r="C570" t="s">
        <v>40</v>
      </c>
      <c r="E570">
        <v>100</v>
      </c>
      <c r="F570">
        <v>100</v>
      </c>
      <c r="G570">
        <v>125</v>
      </c>
      <c r="H570">
        <v>110</v>
      </c>
      <c r="I570">
        <v>50</v>
      </c>
      <c r="J570">
        <v>50</v>
      </c>
      <c r="K570">
        <v>535</v>
      </c>
    </row>
    <row r="571" spans="1:11" x14ac:dyDescent="0.25">
      <c r="A571" t="s">
        <v>1404</v>
      </c>
      <c r="B571" t="s">
        <v>1403</v>
      </c>
      <c r="C571" t="s">
        <v>154</v>
      </c>
      <c r="E571">
        <v>75</v>
      </c>
      <c r="F571">
        <v>123</v>
      </c>
      <c r="G571">
        <v>67</v>
      </c>
      <c r="H571">
        <v>95</v>
      </c>
      <c r="I571">
        <v>85</v>
      </c>
      <c r="J571">
        <v>95</v>
      </c>
      <c r="K571">
        <v>540</v>
      </c>
    </row>
    <row r="572" spans="1:11" x14ac:dyDescent="0.25">
      <c r="A572" t="s">
        <v>1407</v>
      </c>
      <c r="B572" t="s">
        <v>1406</v>
      </c>
      <c r="C572" t="s">
        <v>57</v>
      </c>
      <c r="E572">
        <v>75</v>
      </c>
      <c r="F572">
        <v>95</v>
      </c>
      <c r="G572">
        <v>67</v>
      </c>
      <c r="H572">
        <v>125</v>
      </c>
      <c r="I572">
        <v>95</v>
      </c>
      <c r="J572">
        <v>83</v>
      </c>
      <c r="K572">
        <v>540</v>
      </c>
    </row>
    <row r="573" spans="1:11" x14ac:dyDescent="0.25">
      <c r="A573" t="s">
        <v>1409</v>
      </c>
      <c r="B573" t="s">
        <v>1408</v>
      </c>
      <c r="C573" t="s">
        <v>157</v>
      </c>
      <c r="D573" t="s">
        <v>66</v>
      </c>
      <c r="E573">
        <v>85</v>
      </c>
      <c r="F573">
        <v>50</v>
      </c>
      <c r="G573">
        <v>95</v>
      </c>
      <c r="H573">
        <v>120</v>
      </c>
      <c r="I573">
        <v>115</v>
      </c>
      <c r="J573">
        <v>80</v>
      </c>
      <c r="K573">
        <v>545</v>
      </c>
    </row>
    <row r="574" spans="1:11" x14ac:dyDescent="0.25">
      <c r="A574" t="s">
        <v>1411</v>
      </c>
      <c r="B574" t="s">
        <v>1410</v>
      </c>
      <c r="C574" t="s">
        <v>90</v>
      </c>
      <c r="D574" t="s">
        <v>66</v>
      </c>
      <c r="E574">
        <v>86</v>
      </c>
      <c r="F574">
        <v>76</v>
      </c>
      <c r="G574">
        <v>86</v>
      </c>
      <c r="H574">
        <v>116</v>
      </c>
      <c r="I574">
        <v>56</v>
      </c>
      <c r="J574">
        <v>95</v>
      </c>
      <c r="K574">
        <v>515</v>
      </c>
    </row>
    <row r="575" spans="1:11" x14ac:dyDescent="0.25">
      <c r="A575" t="s">
        <v>1413</v>
      </c>
      <c r="B575" t="s">
        <v>1412</v>
      </c>
      <c r="C575" t="s">
        <v>40</v>
      </c>
      <c r="E575">
        <v>65</v>
      </c>
      <c r="F575">
        <v>110</v>
      </c>
      <c r="G575">
        <v>130</v>
      </c>
      <c r="H575">
        <v>60</v>
      </c>
      <c r="I575">
        <v>65</v>
      </c>
      <c r="J575">
        <v>95</v>
      </c>
      <c r="K575">
        <v>525</v>
      </c>
    </row>
    <row r="576" spans="1:11" x14ac:dyDescent="0.25">
      <c r="A576" t="s">
        <v>1415</v>
      </c>
      <c r="B576" t="s">
        <v>1414</v>
      </c>
      <c r="C576" t="s">
        <v>170</v>
      </c>
      <c r="E576">
        <v>65</v>
      </c>
      <c r="F576">
        <v>60</v>
      </c>
      <c r="G576">
        <v>110</v>
      </c>
      <c r="H576">
        <v>130</v>
      </c>
      <c r="I576">
        <v>95</v>
      </c>
      <c r="J576">
        <v>65</v>
      </c>
      <c r="K576">
        <v>525</v>
      </c>
    </row>
    <row r="577" spans="1:11" x14ac:dyDescent="0.25">
      <c r="A577" t="s">
        <v>1417</v>
      </c>
      <c r="B577" t="s">
        <v>1416</v>
      </c>
      <c r="C577" t="s">
        <v>132</v>
      </c>
      <c r="D577" t="s">
        <v>66</v>
      </c>
      <c r="E577">
        <v>75</v>
      </c>
      <c r="F577">
        <v>95</v>
      </c>
      <c r="G577">
        <v>125</v>
      </c>
      <c r="H577">
        <v>45</v>
      </c>
      <c r="I577">
        <v>75</v>
      </c>
      <c r="J577">
        <v>95</v>
      </c>
      <c r="K577">
        <v>510</v>
      </c>
    </row>
    <row r="578" spans="1:11" x14ac:dyDescent="0.25">
      <c r="A578" t="s">
        <v>1419</v>
      </c>
      <c r="B578" t="s">
        <v>1418</v>
      </c>
      <c r="C578" t="s">
        <v>170</v>
      </c>
      <c r="D578" t="s">
        <v>132</v>
      </c>
      <c r="E578">
        <v>110</v>
      </c>
      <c r="F578">
        <v>130</v>
      </c>
      <c r="G578">
        <v>80</v>
      </c>
      <c r="H578">
        <v>70</v>
      </c>
      <c r="I578">
        <v>60</v>
      </c>
      <c r="J578">
        <v>80</v>
      </c>
      <c r="K578">
        <v>530</v>
      </c>
    </row>
    <row r="579" spans="1:11" x14ac:dyDescent="0.25">
      <c r="A579" t="s">
        <v>1421</v>
      </c>
      <c r="B579" t="s">
        <v>1420</v>
      </c>
      <c r="C579" t="s">
        <v>116</v>
      </c>
      <c r="E579">
        <v>85</v>
      </c>
      <c r="F579">
        <v>80</v>
      </c>
      <c r="G579">
        <v>70</v>
      </c>
      <c r="H579">
        <v>135</v>
      </c>
      <c r="I579">
        <v>75</v>
      </c>
      <c r="J579">
        <v>90</v>
      </c>
      <c r="K579">
        <v>535</v>
      </c>
    </row>
    <row r="580" spans="1:11" x14ac:dyDescent="0.25">
      <c r="A580" t="s">
        <v>1423</v>
      </c>
      <c r="B580" t="s">
        <v>1422</v>
      </c>
      <c r="C580" t="s">
        <v>162</v>
      </c>
      <c r="D580" t="s">
        <v>279</v>
      </c>
      <c r="E580">
        <v>68</v>
      </c>
      <c r="F580">
        <v>125</v>
      </c>
      <c r="G580">
        <v>65</v>
      </c>
      <c r="H580">
        <v>65</v>
      </c>
      <c r="I580">
        <v>115</v>
      </c>
      <c r="J580">
        <v>80</v>
      </c>
      <c r="K580">
        <v>518</v>
      </c>
    </row>
    <row r="581" spans="1:11" x14ac:dyDescent="0.25">
      <c r="A581" t="s">
        <v>1426</v>
      </c>
      <c r="B581" t="s">
        <v>1425</v>
      </c>
      <c r="C581" t="s">
        <v>162</v>
      </c>
      <c r="D581" t="s">
        <v>279</v>
      </c>
      <c r="E581">
        <v>68</v>
      </c>
      <c r="F581">
        <v>165</v>
      </c>
      <c r="G581">
        <v>95</v>
      </c>
      <c r="H581">
        <v>65</v>
      </c>
      <c r="I581">
        <v>115</v>
      </c>
      <c r="J581">
        <v>110</v>
      </c>
      <c r="K581">
        <v>618</v>
      </c>
    </row>
    <row r="582" spans="1:11" x14ac:dyDescent="0.25">
      <c r="A582" t="s">
        <v>1428</v>
      </c>
      <c r="B582" t="s">
        <v>1427</v>
      </c>
      <c r="C582" t="s">
        <v>290</v>
      </c>
      <c r="D582" t="s">
        <v>171</v>
      </c>
      <c r="E582">
        <v>60</v>
      </c>
      <c r="F582">
        <v>55</v>
      </c>
      <c r="G582">
        <v>145</v>
      </c>
      <c r="H582">
        <v>75</v>
      </c>
      <c r="I582">
        <v>150</v>
      </c>
      <c r="J582">
        <v>40</v>
      </c>
      <c r="K582">
        <v>525</v>
      </c>
    </row>
    <row r="583" spans="1:11" x14ac:dyDescent="0.25">
      <c r="A583" t="s">
        <v>1430</v>
      </c>
      <c r="B583" t="s">
        <v>1429</v>
      </c>
      <c r="C583" t="s">
        <v>419</v>
      </c>
      <c r="E583">
        <v>45</v>
      </c>
      <c r="F583">
        <v>100</v>
      </c>
      <c r="G583">
        <v>135</v>
      </c>
      <c r="H583">
        <v>65</v>
      </c>
      <c r="I583">
        <v>135</v>
      </c>
      <c r="J583">
        <v>45</v>
      </c>
      <c r="K583">
        <v>525</v>
      </c>
    </row>
    <row r="584" spans="1:11" x14ac:dyDescent="0.25">
      <c r="A584" t="s">
        <v>1432</v>
      </c>
      <c r="B584" t="s">
        <v>1431</v>
      </c>
      <c r="C584" t="s">
        <v>170</v>
      </c>
      <c r="D584" t="s">
        <v>419</v>
      </c>
      <c r="E584">
        <v>70</v>
      </c>
      <c r="F584">
        <v>80</v>
      </c>
      <c r="G584">
        <v>70</v>
      </c>
      <c r="H584">
        <v>80</v>
      </c>
      <c r="I584">
        <v>70</v>
      </c>
      <c r="J584">
        <v>110</v>
      </c>
      <c r="K584">
        <v>480</v>
      </c>
    </row>
    <row r="585" spans="1:11" x14ac:dyDescent="0.25">
      <c r="A585" t="s">
        <v>1434</v>
      </c>
      <c r="B585" t="s">
        <v>1433</v>
      </c>
      <c r="C585" t="s">
        <v>154</v>
      </c>
      <c r="D585" t="s">
        <v>419</v>
      </c>
      <c r="E585">
        <v>50</v>
      </c>
      <c r="F585">
        <v>50</v>
      </c>
      <c r="G585">
        <v>77</v>
      </c>
      <c r="H585">
        <v>95</v>
      </c>
      <c r="I585">
        <v>77</v>
      </c>
      <c r="J585">
        <v>91</v>
      </c>
      <c r="K585">
        <v>440</v>
      </c>
    </row>
    <row r="586" spans="1:11" x14ac:dyDescent="0.25">
      <c r="A586" t="s">
        <v>1436</v>
      </c>
      <c r="B586" t="s">
        <v>1435</v>
      </c>
      <c r="C586" t="s">
        <v>154</v>
      </c>
      <c r="D586" t="s">
        <v>57</v>
      </c>
      <c r="E586">
        <v>50</v>
      </c>
      <c r="F586">
        <v>65</v>
      </c>
      <c r="G586">
        <v>107</v>
      </c>
      <c r="H586">
        <v>105</v>
      </c>
      <c r="I586">
        <v>107</v>
      </c>
      <c r="J586">
        <v>86</v>
      </c>
      <c r="K586">
        <v>520</v>
      </c>
    </row>
    <row r="587" spans="1:11" x14ac:dyDescent="0.25">
      <c r="A587" t="s">
        <v>1438</v>
      </c>
      <c r="B587" t="s">
        <v>1437</v>
      </c>
      <c r="C587" t="s">
        <v>154</v>
      </c>
      <c r="D587" t="s">
        <v>76</v>
      </c>
      <c r="E587">
        <v>50</v>
      </c>
      <c r="F587">
        <v>65</v>
      </c>
      <c r="G587">
        <v>107</v>
      </c>
      <c r="H587">
        <v>105</v>
      </c>
      <c r="I587">
        <v>107</v>
      </c>
      <c r="J587">
        <v>86</v>
      </c>
      <c r="K587">
        <v>520</v>
      </c>
    </row>
    <row r="588" spans="1:11" x14ac:dyDescent="0.25">
      <c r="A588" t="s">
        <v>1440</v>
      </c>
      <c r="B588" t="s">
        <v>1439</v>
      </c>
      <c r="C588" t="s">
        <v>154</v>
      </c>
      <c r="D588" t="s">
        <v>170</v>
      </c>
      <c r="E588">
        <v>50</v>
      </c>
      <c r="F588">
        <v>65</v>
      </c>
      <c r="G588">
        <v>107</v>
      </c>
      <c r="H588">
        <v>105</v>
      </c>
      <c r="I588">
        <v>107</v>
      </c>
      <c r="J588">
        <v>86</v>
      </c>
      <c r="K588">
        <v>520</v>
      </c>
    </row>
    <row r="589" spans="1:11" x14ac:dyDescent="0.25">
      <c r="A589" t="s">
        <v>1442</v>
      </c>
      <c r="B589" t="s">
        <v>1441</v>
      </c>
      <c r="C589" t="s">
        <v>154</v>
      </c>
      <c r="D589" t="s">
        <v>66</v>
      </c>
      <c r="E589">
        <v>50</v>
      </c>
      <c r="F589">
        <v>65</v>
      </c>
      <c r="G589">
        <v>107</v>
      </c>
      <c r="H589">
        <v>105</v>
      </c>
      <c r="I589">
        <v>107</v>
      </c>
      <c r="J589">
        <v>86</v>
      </c>
      <c r="K589">
        <v>520</v>
      </c>
    </row>
    <row r="590" spans="1:11" x14ac:dyDescent="0.25">
      <c r="A590" t="s">
        <v>1444</v>
      </c>
      <c r="B590" t="s">
        <v>1443</v>
      </c>
      <c r="C590" t="s">
        <v>154</v>
      </c>
      <c r="D590" t="s">
        <v>40</v>
      </c>
      <c r="E590">
        <v>50</v>
      </c>
      <c r="F590">
        <v>65</v>
      </c>
      <c r="G590">
        <v>107</v>
      </c>
      <c r="H590">
        <v>105</v>
      </c>
      <c r="I590">
        <v>107</v>
      </c>
      <c r="J590">
        <v>86</v>
      </c>
      <c r="K590">
        <v>520</v>
      </c>
    </row>
    <row r="591" spans="1:11" x14ac:dyDescent="0.25">
      <c r="A591" t="s">
        <v>1446</v>
      </c>
      <c r="B591" t="s">
        <v>1445</v>
      </c>
      <c r="C591" t="s">
        <v>162</v>
      </c>
      <c r="E591">
        <v>75</v>
      </c>
      <c r="F591">
        <v>75</v>
      </c>
      <c r="G591">
        <v>130</v>
      </c>
      <c r="H591">
        <v>75</v>
      </c>
      <c r="I591">
        <v>130</v>
      </c>
      <c r="J591">
        <v>95</v>
      </c>
      <c r="K591">
        <v>580</v>
      </c>
    </row>
    <row r="592" spans="1:11" x14ac:dyDescent="0.25">
      <c r="A592" t="s">
        <v>1448</v>
      </c>
      <c r="B592" t="s">
        <v>1447</v>
      </c>
      <c r="C592" t="s">
        <v>162</v>
      </c>
      <c r="E592">
        <v>80</v>
      </c>
      <c r="F592">
        <v>105</v>
      </c>
      <c r="G592">
        <v>105</v>
      </c>
      <c r="H592">
        <v>105</v>
      </c>
      <c r="I592">
        <v>105</v>
      </c>
      <c r="J592">
        <v>80</v>
      </c>
      <c r="K592">
        <v>580</v>
      </c>
    </row>
    <row r="593" spans="1:11" x14ac:dyDescent="0.25">
      <c r="A593" t="s">
        <v>1450</v>
      </c>
      <c r="B593" t="s">
        <v>1449</v>
      </c>
      <c r="C593" t="s">
        <v>162</v>
      </c>
      <c r="E593">
        <v>75</v>
      </c>
      <c r="F593">
        <v>125</v>
      </c>
      <c r="G593">
        <v>70</v>
      </c>
      <c r="H593">
        <v>125</v>
      </c>
      <c r="I593">
        <v>70</v>
      </c>
      <c r="J593">
        <v>115</v>
      </c>
      <c r="K593">
        <v>580</v>
      </c>
    </row>
    <row r="594" spans="1:11" x14ac:dyDescent="0.25">
      <c r="A594" t="s">
        <v>1452</v>
      </c>
      <c r="B594" t="s">
        <v>1451</v>
      </c>
      <c r="C594" t="s">
        <v>171</v>
      </c>
      <c r="D594" t="s">
        <v>61</v>
      </c>
      <c r="E594">
        <v>100</v>
      </c>
      <c r="F594">
        <v>120</v>
      </c>
      <c r="G594">
        <v>120</v>
      </c>
      <c r="H594">
        <v>150</v>
      </c>
      <c r="I594">
        <v>100</v>
      </c>
      <c r="J594">
        <v>90</v>
      </c>
      <c r="K594">
        <v>680</v>
      </c>
    </row>
    <row r="595" spans="1:11" x14ac:dyDescent="0.25">
      <c r="A595" t="s">
        <v>1454</v>
      </c>
      <c r="B595" t="s">
        <v>1453</v>
      </c>
      <c r="C595" t="s">
        <v>171</v>
      </c>
      <c r="D595" t="s">
        <v>61</v>
      </c>
      <c r="E595">
        <v>100</v>
      </c>
      <c r="F595">
        <v>100</v>
      </c>
      <c r="G595">
        <v>120</v>
      </c>
      <c r="H595">
        <v>150</v>
      </c>
      <c r="I595">
        <v>120</v>
      </c>
      <c r="J595">
        <v>90</v>
      </c>
      <c r="K595">
        <v>680</v>
      </c>
    </row>
    <row r="596" spans="1:11" x14ac:dyDescent="0.25">
      <c r="A596" t="s">
        <v>1456</v>
      </c>
      <c r="B596" t="s">
        <v>1455</v>
      </c>
      <c r="C596" t="s">
        <v>76</v>
      </c>
      <c r="D596" t="s">
        <v>61</v>
      </c>
      <c r="E596">
        <v>90</v>
      </c>
      <c r="F596">
        <v>120</v>
      </c>
      <c r="G596">
        <v>100</v>
      </c>
      <c r="H596">
        <v>150</v>
      </c>
      <c r="I596">
        <v>120</v>
      </c>
      <c r="J596">
        <v>100</v>
      </c>
      <c r="K596">
        <v>680</v>
      </c>
    </row>
    <row r="597" spans="1:11" x14ac:dyDescent="0.25">
      <c r="A597" t="s">
        <v>1458</v>
      </c>
      <c r="B597" t="s">
        <v>1457</v>
      </c>
      <c r="C597" t="s">
        <v>76</v>
      </c>
      <c r="D597" t="s">
        <v>61</v>
      </c>
      <c r="E597">
        <v>90</v>
      </c>
      <c r="F597">
        <v>100</v>
      </c>
      <c r="G597">
        <v>100</v>
      </c>
      <c r="H597">
        <v>150</v>
      </c>
      <c r="I597">
        <v>120</v>
      </c>
      <c r="J597">
        <v>120</v>
      </c>
      <c r="K597">
        <v>680</v>
      </c>
    </row>
    <row r="598" spans="1:11" x14ac:dyDescent="0.25">
      <c r="A598" t="s">
        <v>1460</v>
      </c>
      <c r="B598" t="s">
        <v>1459</v>
      </c>
      <c r="C598" t="s">
        <v>57</v>
      </c>
      <c r="D598" t="s">
        <v>171</v>
      </c>
      <c r="E598">
        <v>91</v>
      </c>
      <c r="F598">
        <v>90</v>
      </c>
      <c r="G598">
        <v>106</v>
      </c>
      <c r="H598">
        <v>130</v>
      </c>
      <c r="I598">
        <v>106</v>
      </c>
      <c r="J598">
        <v>77</v>
      </c>
      <c r="K598">
        <v>600</v>
      </c>
    </row>
    <row r="599" spans="1:11" x14ac:dyDescent="0.25">
      <c r="A599" t="s">
        <v>1462</v>
      </c>
      <c r="B599" t="s">
        <v>1461</v>
      </c>
      <c r="C599" t="s">
        <v>116</v>
      </c>
      <c r="E599">
        <v>110</v>
      </c>
      <c r="F599">
        <v>160</v>
      </c>
      <c r="G599">
        <v>110</v>
      </c>
      <c r="H599">
        <v>80</v>
      </c>
      <c r="I599">
        <v>110</v>
      </c>
      <c r="J599">
        <v>100</v>
      </c>
      <c r="K599">
        <v>670</v>
      </c>
    </row>
    <row r="600" spans="1:11" x14ac:dyDescent="0.25">
      <c r="A600" t="s">
        <v>1465</v>
      </c>
      <c r="B600" t="s">
        <v>1464</v>
      </c>
      <c r="C600" t="s">
        <v>419</v>
      </c>
      <c r="D600" t="s">
        <v>61</v>
      </c>
      <c r="E600">
        <v>150</v>
      </c>
      <c r="F600">
        <v>100</v>
      </c>
      <c r="G600">
        <v>120</v>
      </c>
      <c r="H600">
        <v>100</v>
      </c>
      <c r="I600">
        <v>120</v>
      </c>
      <c r="J600">
        <v>90</v>
      </c>
      <c r="K600">
        <v>680</v>
      </c>
    </row>
    <row r="601" spans="1:11" x14ac:dyDescent="0.25">
      <c r="A601" t="s">
        <v>1467</v>
      </c>
      <c r="B601" t="s">
        <v>1466</v>
      </c>
      <c r="C601" t="s">
        <v>419</v>
      </c>
      <c r="D601" t="s">
        <v>61</v>
      </c>
      <c r="E601">
        <v>150</v>
      </c>
      <c r="F601">
        <v>120</v>
      </c>
      <c r="G601">
        <v>100</v>
      </c>
      <c r="H601">
        <v>120</v>
      </c>
      <c r="I601">
        <v>100</v>
      </c>
      <c r="J601">
        <v>90</v>
      </c>
      <c r="K601">
        <v>680</v>
      </c>
    </row>
    <row r="602" spans="1:11" x14ac:dyDescent="0.25">
      <c r="A602" t="s">
        <v>1469</v>
      </c>
      <c r="B602" t="s">
        <v>1468</v>
      </c>
      <c r="C602" t="s">
        <v>162</v>
      </c>
      <c r="E602">
        <v>120</v>
      </c>
      <c r="F602">
        <v>70</v>
      </c>
      <c r="G602">
        <v>110</v>
      </c>
      <c r="H602">
        <v>75</v>
      </c>
      <c r="I602">
        <v>120</v>
      </c>
      <c r="J602">
        <v>85</v>
      </c>
      <c r="K602">
        <v>580</v>
      </c>
    </row>
    <row r="603" spans="1:11" x14ac:dyDescent="0.25">
      <c r="A603" t="s">
        <v>1471</v>
      </c>
      <c r="B603" t="s">
        <v>1470</v>
      </c>
      <c r="C603" t="s">
        <v>76</v>
      </c>
      <c r="E603">
        <v>80</v>
      </c>
      <c r="F603">
        <v>80</v>
      </c>
      <c r="G603">
        <v>80</v>
      </c>
      <c r="H603">
        <v>80</v>
      </c>
      <c r="I603">
        <v>80</v>
      </c>
      <c r="J603">
        <v>80</v>
      </c>
      <c r="K603">
        <v>480</v>
      </c>
    </row>
    <row r="604" spans="1:11" x14ac:dyDescent="0.25">
      <c r="A604" t="s">
        <v>1473</v>
      </c>
      <c r="B604" t="s">
        <v>1472</v>
      </c>
      <c r="C604" t="s">
        <v>76</v>
      </c>
      <c r="E604">
        <v>100</v>
      </c>
      <c r="F604">
        <v>100</v>
      </c>
      <c r="G604">
        <v>100</v>
      </c>
      <c r="H604">
        <v>100</v>
      </c>
      <c r="I604">
        <v>100</v>
      </c>
      <c r="J604">
        <v>100</v>
      </c>
      <c r="K604">
        <v>600</v>
      </c>
    </row>
    <row r="605" spans="1:11" x14ac:dyDescent="0.25">
      <c r="A605" t="s">
        <v>1475</v>
      </c>
      <c r="B605" t="s">
        <v>1474</v>
      </c>
      <c r="C605" t="s">
        <v>135</v>
      </c>
      <c r="E605">
        <v>70</v>
      </c>
      <c r="F605">
        <v>90</v>
      </c>
      <c r="G605">
        <v>90</v>
      </c>
      <c r="H605">
        <v>135</v>
      </c>
      <c r="I605">
        <v>90</v>
      </c>
      <c r="J605">
        <v>125</v>
      </c>
      <c r="K605">
        <v>600</v>
      </c>
    </row>
    <row r="606" spans="1:11" x14ac:dyDescent="0.25">
      <c r="A606" t="s">
        <v>1479</v>
      </c>
      <c r="B606" t="s">
        <v>1477</v>
      </c>
      <c r="C606" t="s">
        <v>40</v>
      </c>
      <c r="E606">
        <v>100</v>
      </c>
      <c r="F606">
        <v>100</v>
      </c>
      <c r="G606">
        <v>100</v>
      </c>
      <c r="H606">
        <v>100</v>
      </c>
      <c r="I606">
        <v>100</v>
      </c>
      <c r="J606">
        <v>100</v>
      </c>
      <c r="K606">
        <v>600</v>
      </c>
    </row>
    <row r="607" spans="1:11" x14ac:dyDescent="0.25">
      <c r="A607" t="s">
        <v>1481</v>
      </c>
      <c r="B607" t="s">
        <v>1480</v>
      </c>
      <c r="C607" t="s">
        <v>40</v>
      </c>
      <c r="D607" t="s">
        <v>66</v>
      </c>
      <c r="E607">
        <v>100</v>
      </c>
      <c r="F607">
        <v>103</v>
      </c>
      <c r="G607">
        <v>75</v>
      </c>
      <c r="H607">
        <v>120</v>
      </c>
      <c r="I607">
        <v>75</v>
      </c>
      <c r="J607">
        <v>127</v>
      </c>
      <c r="K607">
        <v>600</v>
      </c>
    </row>
    <row r="608" spans="1:11" x14ac:dyDescent="0.25">
      <c r="A608" t="s">
        <v>1483</v>
      </c>
      <c r="B608" t="s">
        <v>1482</v>
      </c>
      <c r="C608" t="s">
        <v>116</v>
      </c>
      <c r="E608">
        <v>120</v>
      </c>
      <c r="F608">
        <v>120</v>
      </c>
      <c r="G608">
        <v>120</v>
      </c>
      <c r="H608">
        <v>120</v>
      </c>
      <c r="I608">
        <v>120</v>
      </c>
      <c r="J608">
        <v>120</v>
      </c>
      <c r="K608">
        <v>720</v>
      </c>
    </row>
    <row r="609" spans="1:11" x14ac:dyDescent="0.25">
      <c r="A609" t="s">
        <v>1486</v>
      </c>
      <c r="B609" t="s">
        <v>1485</v>
      </c>
      <c r="C609" t="s">
        <v>162</v>
      </c>
      <c r="D609" t="s">
        <v>57</v>
      </c>
      <c r="E609">
        <v>100</v>
      </c>
      <c r="F609">
        <v>100</v>
      </c>
      <c r="G609">
        <v>100</v>
      </c>
      <c r="H609">
        <v>100</v>
      </c>
      <c r="I609">
        <v>100</v>
      </c>
      <c r="J609">
        <v>100</v>
      </c>
      <c r="K609">
        <v>600</v>
      </c>
    </row>
    <row r="610" spans="1:11" x14ac:dyDescent="0.25">
      <c r="A610" t="s">
        <v>1489</v>
      </c>
      <c r="B610" t="s">
        <v>1488</v>
      </c>
      <c r="C610" t="s">
        <v>40</v>
      </c>
      <c r="E610">
        <v>45</v>
      </c>
      <c r="F610">
        <v>45</v>
      </c>
      <c r="G610">
        <v>55</v>
      </c>
      <c r="H610">
        <v>45</v>
      </c>
      <c r="I610">
        <v>55</v>
      </c>
      <c r="J610">
        <v>63</v>
      </c>
      <c r="K610">
        <v>308</v>
      </c>
    </row>
    <row r="611" spans="1:11" x14ac:dyDescent="0.25">
      <c r="A611" t="s">
        <v>1491</v>
      </c>
      <c r="B611" t="s">
        <v>1490</v>
      </c>
      <c r="C611" t="s">
        <v>40</v>
      </c>
      <c r="E611">
        <v>60</v>
      </c>
      <c r="F611">
        <v>60</v>
      </c>
      <c r="G611">
        <v>75</v>
      </c>
      <c r="H611">
        <v>60</v>
      </c>
      <c r="I611">
        <v>75</v>
      </c>
      <c r="J611">
        <v>83</v>
      </c>
      <c r="K611">
        <v>413</v>
      </c>
    </row>
    <row r="612" spans="1:11" x14ac:dyDescent="0.25">
      <c r="A612" t="s">
        <v>1493</v>
      </c>
      <c r="B612" t="s">
        <v>1492</v>
      </c>
      <c r="C612" t="s">
        <v>40</v>
      </c>
      <c r="E612">
        <v>75</v>
      </c>
      <c r="F612">
        <v>75</v>
      </c>
      <c r="G612">
        <v>95</v>
      </c>
      <c r="H612">
        <v>75</v>
      </c>
      <c r="I612">
        <v>95</v>
      </c>
      <c r="J612">
        <v>113</v>
      </c>
      <c r="K612">
        <v>528</v>
      </c>
    </row>
    <row r="613" spans="1:11" x14ac:dyDescent="0.25">
      <c r="A613" t="s">
        <v>1495</v>
      </c>
      <c r="B613" t="s">
        <v>1494</v>
      </c>
      <c r="C613" t="s">
        <v>57</v>
      </c>
      <c r="E613">
        <v>65</v>
      </c>
      <c r="F613">
        <v>63</v>
      </c>
      <c r="G613">
        <v>45</v>
      </c>
      <c r="H613">
        <v>45</v>
      </c>
      <c r="I613">
        <v>45</v>
      </c>
      <c r="J613">
        <v>45</v>
      </c>
      <c r="K613">
        <v>308</v>
      </c>
    </row>
    <row r="614" spans="1:11" x14ac:dyDescent="0.25">
      <c r="A614" t="s">
        <v>1497</v>
      </c>
      <c r="B614" t="s">
        <v>1496</v>
      </c>
      <c r="C614" t="s">
        <v>57</v>
      </c>
      <c r="D614" t="s">
        <v>279</v>
      </c>
      <c r="E614">
        <v>90</v>
      </c>
      <c r="F614">
        <v>93</v>
      </c>
      <c r="G614">
        <v>55</v>
      </c>
      <c r="H614">
        <v>70</v>
      </c>
      <c r="I614">
        <v>55</v>
      </c>
      <c r="J614">
        <v>55</v>
      </c>
      <c r="K614">
        <v>418</v>
      </c>
    </row>
    <row r="615" spans="1:11" x14ac:dyDescent="0.25">
      <c r="A615" t="s">
        <v>1499</v>
      </c>
      <c r="B615" t="s">
        <v>1498</v>
      </c>
      <c r="C615" t="s">
        <v>57</v>
      </c>
      <c r="D615" t="s">
        <v>279</v>
      </c>
      <c r="E615">
        <v>110</v>
      </c>
      <c r="F615">
        <v>123</v>
      </c>
      <c r="G615">
        <v>65</v>
      </c>
      <c r="H615">
        <v>100</v>
      </c>
      <c r="I615">
        <v>65</v>
      </c>
      <c r="J615">
        <v>65</v>
      </c>
      <c r="K615">
        <v>528</v>
      </c>
    </row>
    <row r="616" spans="1:11" x14ac:dyDescent="0.25">
      <c r="A616" t="s">
        <v>1501</v>
      </c>
      <c r="B616" t="s">
        <v>1500</v>
      </c>
      <c r="C616" t="s">
        <v>76</v>
      </c>
      <c r="E616">
        <v>55</v>
      </c>
      <c r="F616">
        <v>55</v>
      </c>
      <c r="G616">
        <v>45</v>
      </c>
      <c r="H616">
        <v>63</v>
      </c>
      <c r="I616">
        <v>45</v>
      </c>
      <c r="J616">
        <v>45</v>
      </c>
      <c r="K616">
        <v>308</v>
      </c>
    </row>
    <row r="617" spans="1:11" x14ac:dyDescent="0.25">
      <c r="A617" t="s">
        <v>1503</v>
      </c>
      <c r="B617" t="s">
        <v>1502</v>
      </c>
      <c r="C617" t="s">
        <v>76</v>
      </c>
      <c r="E617">
        <v>75</v>
      </c>
      <c r="F617">
        <v>75</v>
      </c>
      <c r="G617">
        <v>60</v>
      </c>
      <c r="H617">
        <v>83</v>
      </c>
      <c r="I617">
        <v>60</v>
      </c>
      <c r="J617">
        <v>60</v>
      </c>
      <c r="K617">
        <v>413</v>
      </c>
    </row>
    <row r="618" spans="1:11" x14ac:dyDescent="0.25">
      <c r="A618" t="s">
        <v>1505</v>
      </c>
      <c r="B618" t="s">
        <v>1504</v>
      </c>
      <c r="C618" t="s">
        <v>76</v>
      </c>
      <c r="E618">
        <v>95</v>
      </c>
      <c r="F618">
        <v>100</v>
      </c>
      <c r="G618">
        <v>85</v>
      </c>
      <c r="H618">
        <v>108</v>
      </c>
      <c r="I618">
        <v>70</v>
      </c>
      <c r="J618">
        <v>70</v>
      </c>
      <c r="K618">
        <v>528</v>
      </c>
    </row>
    <row r="619" spans="1:11" x14ac:dyDescent="0.25">
      <c r="A619" t="s">
        <v>1507</v>
      </c>
      <c r="B619" t="s">
        <v>1506</v>
      </c>
      <c r="C619" t="s">
        <v>76</v>
      </c>
      <c r="D619" t="s">
        <v>135</v>
      </c>
      <c r="E619">
        <v>90</v>
      </c>
      <c r="F619">
        <v>108</v>
      </c>
      <c r="G619">
        <v>80</v>
      </c>
      <c r="H619">
        <v>100</v>
      </c>
      <c r="I619">
        <v>65</v>
      </c>
      <c r="J619">
        <v>85</v>
      </c>
      <c r="K619">
        <v>528</v>
      </c>
    </row>
    <row r="620" spans="1:11" x14ac:dyDescent="0.25">
      <c r="A620" t="s">
        <v>1509</v>
      </c>
      <c r="B620" t="s">
        <v>1508</v>
      </c>
      <c r="C620" t="s">
        <v>116</v>
      </c>
      <c r="E620">
        <v>45</v>
      </c>
      <c r="F620">
        <v>55</v>
      </c>
      <c r="G620">
        <v>39</v>
      </c>
      <c r="H620">
        <v>35</v>
      </c>
      <c r="I620">
        <v>39</v>
      </c>
      <c r="J620">
        <v>42</v>
      </c>
      <c r="K620">
        <v>255</v>
      </c>
    </row>
    <row r="621" spans="1:11" x14ac:dyDescent="0.25">
      <c r="A621" t="s">
        <v>1511</v>
      </c>
      <c r="B621" t="s">
        <v>1510</v>
      </c>
      <c r="C621" t="s">
        <v>116</v>
      </c>
      <c r="E621">
        <v>60</v>
      </c>
      <c r="F621">
        <v>85</v>
      </c>
      <c r="G621">
        <v>69</v>
      </c>
      <c r="H621">
        <v>60</v>
      </c>
      <c r="I621">
        <v>69</v>
      </c>
      <c r="J621">
        <v>77</v>
      </c>
      <c r="K621">
        <v>420</v>
      </c>
    </row>
    <row r="622" spans="1:11" x14ac:dyDescent="0.25">
      <c r="A622" t="s">
        <v>1513</v>
      </c>
      <c r="B622" t="s">
        <v>1512</v>
      </c>
      <c r="C622" t="s">
        <v>116</v>
      </c>
      <c r="E622">
        <v>45</v>
      </c>
      <c r="F622">
        <v>60</v>
      </c>
      <c r="G622">
        <v>45</v>
      </c>
      <c r="H622">
        <v>25</v>
      </c>
      <c r="I622">
        <v>45</v>
      </c>
      <c r="J622">
        <v>55</v>
      </c>
      <c r="K622">
        <v>275</v>
      </c>
    </row>
    <row r="623" spans="1:11" x14ac:dyDescent="0.25">
      <c r="A623" t="s">
        <v>1515</v>
      </c>
      <c r="B623" t="s">
        <v>1514</v>
      </c>
      <c r="C623" t="s">
        <v>116</v>
      </c>
      <c r="E623">
        <v>65</v>
      </c>
      <c r="F623">
        <v>80</v>
      </c>
      <c r="G623">
        <v>65</v>
      </c>
      <c r="H623">
        <v>35</v>
      </c>
      <c r="I623">
        <v>65</v>
      </c>
      <c r="J623">
        <v>60</v>
      </c>
      <c r="K623">
        <v>370</v>
      </c>
    </row>
    <row r="624" spans="1:11" x14ac:dyDescent="0.25">
      <c r="A624" t="s">
        <v>1517</v>
      </c>
      <c r="B624" t="s">
        <v>1516</v>
      </c>
      <c r="C624" t="s">
        <v>116</v>
      </c>
      <c r="E624">
        <v>85</v>
      </c>
      <c r="F624">
        <v>110</v>
      </c>
      <c r="G624">
        <v>90</v>
      </c>
      <c r="H624">
        <v>45</v>
      </c>
      <c r="I624">
        <v>90</v>
      </c>
      <c r="J624">
        <v>80</v>
      </c>
      <c r="K624">
        <v>500</v>
      </c>
    </row>
    <row r="625" spans="1:11" x14ac:dyDescent="0.25">
      <c r="A625" t="s">
        <v>1519</v>
      </c>
      <c r="B625" t="s">
        <v>1518</v>
      </c>
      <c r="C625" t="s">
        <v>135</v>
      </c>
      <c r="E625">
        <v>41</v>
      </c>
      <c r="F625">
        <v>50</v>
      </c>
      <c r="G625">
        <v>37</v>
      </c>
      <c r="H625">
        <v>50</v>
      </c>
      <c r="I625">
        <v>37</v>
      </c>
      <c r="J625">
        <v>66</v>
      </c>
      <c r="K625">
        <v>281</v>
      </c>
    </row>
    <row r="626" spans="1:11" x14ac:dyDescent="0.25">
      <c r="A626" t="s">
        <v>1521</v>
      </c>
      <c r="B626" t="s">
        <v>1520</v>
      </c>
      <c r="C626" t="s">
        <v>135</v>
      </c>
      <c r="E626">
        <v>64</v>
      </c>
      <c r="F626">
        <v>88</v>
      </c>
      <c r="G626">
        <v>50</v>
      </c>
      <c r="H626">
        <v>88</v>
      </c>
      <c r="I626">
        <v>50</v>
      </c>
      <c r="J626">
        <v>106</v>
      </c>
      <c r="K626">
        <v>446</v>
      </c>
    </row>
    <row r="627" spans="1:11" x14ac:dyDescent="0.25">
      <c r="A627" t="s">
        <v>1523</v>
      </c>
      <c r="B627" t="s">
        <v>1522</v>
      </c>
      <c r="C627" t="s">
        <v>40</v>
      </c>
      <c r="E627">
        <v>50</v>
      </c>
      <c r="F627">
        <v>53</v>
      </c>
      <c r="G627">
        <v>48</v>
      </c>
      <c r="H627">
        <v>53</v>
      </c>
      <c r="I627">
        <v>48</v>
      </c>
      <c r="J627">
        <v>64</v>
      </c>
      <c r="K627">
        <v>316</v>
      </c>
    </row>
    <row r="628" spans="1:11" x14ac:dyDescent="0.25">
      <c r="A628" t="s">
        <v>1525</v>
      </c>
      <c r="B628" t="s">
        <v>1524</v>
      </c>
      <c r="C628" t="s">
        <v>40</v>
      </c>
      <c r="E628">
        <v>75</v>
      </c>
      <c r="F628">
        <v>98</v>
      </c>
      <c r="G628">
        <v>63</v>
      </c>
      <c r="H628">
        <v>98</v>
      </c>
      <c r="I628">
        <v>63</v>
      </c>
      <c r="J628">
        <v>101</v>
      </c>
      <c r="K628">
        <v>498</v>
      </c>
    </row>
    <row r="629" spans="1:11" x14ac:dyDescent="0.25">
      <c r="A629" t="s">
        <v>1527</v>
      </c>
      <c r="B629" t="s">
        <v>1526</v>
      </c>
      <c r="C629" t="s">
        <v>57</v>
      </c>
      <c r="E629">
        <v>50</v>
      </c>
      <c r="F629">
        <v>53</v>
      </c>
      <c r="G629">
        <v>48</v>
      </c>
      <c r="H629">
        <v>53</v>
      </c>
      <c r="I629">
        <v>48</v>
      </c>
      <c r="J629">
        <v>64</v>
      </c>
      <c r="K629">
        <v>316</v>
      </c>
    </row>
    <row r="630" spans="1:11" x14ac:dyDescent="0.25">
      <c r="A630" t="s">
        <v>1529</v>
      </c>
      <c r="B630" t="s">
        <v>1528</v>
      </c>
      <c r="C630" t="s">
        <v>57</v>
      </c>
      <c r="E630">
        <v>75</v>
      </c>
      <c r="F630">
        <v>98</v>
      </c>
      <c r="G630">
        <v>63</v>
      </c>
      <c r="H630">
        <v>98</v>
      </c>
      <c r="I630">
        <v>63</v>
      </c>
      <c r="J630">
        <v>101</v>
      </c>
      <c r="K630">
        <v>498</v>
      </c>
    </row>
    <row r="631" spans="1:11" x14ac:dyDescent="0.25">
      <c r="A631" t="s">
        <v>1531</v>
      </c>
      <c r="B631" t="s">
        <v>1530</v>
      </c>
      <c r="C631" t="s">
        <v>76</v>
      </c>
      <c r="E631">
        <v>50</v>
      </c>
      <c r="F631">
        <v>53</v>
      </c>
      <c r="G631">
        <v>48</v>
      </c>
      <c r="H631">
        <v>53</v>
      </c>
      <c r="I631">
        <v>48</v>
      </c>
      <c r="J631">
        <v>64</v>
      </c>
      <c r="K631">
        <v>316</v>
      </c>
    </row>
    <row r="632" spans="1:11" x14ac:dyDescent="0.25">
      <c r="A632" t="s">
        <v>1533</v>
      </c>
      <c r="B632" t="s">
        <v>1532</v>
      </c>
      <c r="C632" t="s">
        <v>76</v>
      </c>
      <c r="E632">
        <v>75</v>
      </c>
      <c r="F632">
        <v>98</v>
      </c>
      <c r="G632">
        <v>63</v>
      </c>
      <c r="H632">
        <v>98</v>
      </c>
      <c r="I632">
        <v>63</v>
      </c>
      <c r="J632">
        <v>101</v>
      </c>
      <c r="K632">
        <v>498</v>
      </c>
    </row>
    <row r="633" spans="1:11" x14ac:dyDescent="0.25">
      <c r="A633" t="s">
        <v>1535</v>
      </c>
      <c r="B633" t="s">
        <v>1534</v>
      </c>
      <c r="C633" t="s">
        <v>162</v>
      </c>
      <c r="E633">
        <v>76</v>
      </c>
      <c r="F633">
        <v>25</v>
      </c>
      <c r="G633">
        <v>45</v>
      </c>
      <c r="H633">
        <v>67</v>
      </c>
      <c r="I633">
        <v>55</v>
      </c>
      <c r="J633">
        <v>24</v>
      </c>
      <c r="K633">
        <v>292</v>
      </c>
    </row>
    <row r="634" spans="1:11" x14ac:dyDescent="0.25">
      <c r="A634" t="s">
        <v>1537</v>
      </c>
      <c r="B634" t="s">
        <v>1536</v>
      </c>
      <c r="C634" t="s">
        <v>162</v>
      </c>
      <c r="E634">
        <v>116</v>
      </c>
      <c r="F634">
        <v>55</v>
      </c>
      <c r="G634">
        <v>85</v>
      </c>
      <c r="H634">
        <v>107</v>
      </c>
      <c r="I634">
        <v>95</v>
      </c>
      <c r="J634">
        <v>29</v>
      </c>
      <c r="K634">
        <v>487</v>
      </c>
    </row>
    <row r="635" spans="1:11" x14ac:dyDescent="0.25">
      <c r="A635" t="s">
        <v>1539</v>
      </c>
      <c r="B635" t="s">
        <v>1538</v>
      </c>
      <c r="C635" t="s">
        <v>116</v>
      </c>
      <c r="D635" t="s">
        <v>66</v>
      </c>
      <c r="E635">
        <v>50</v>
      </c>
      <c r="F635">
        <v>55</v>
      </c>
      <c r="G635">
        <v>50</v>
      </c>
      <c r="H635">
        <v>36</v>
      </c>
      <c r="I635">
        <v>30</v>
      </c>
      <c r="J635">
        <v>43</v>
      </c>
      <c r="K635">
        <v>264</v>
      </c>
    </row>
    <row r="636" spans="1:11" x14ac:dyDescent="0.25">
      <c r="A636" t="s">
        <v>1541</v>
      </c>
      <c r="B636" t="s">
        <v>1540</v>
      </c>
      <c r="C636" t="s">
        <v>116</v>
      </c>
      <c r="D636" t="s">
        <v>66</v>
      </c>
      <c r="E636">
        <v>62</v>
      </c>
      <c r="F636">
        <v>77</v>
      </c>
      <c r="G636">
        <v>62</v>
      </c>
      <c r="H636">
        <v>50</v>
      </c>
      <c r="I636">
        <v>42</v>
      </c>
      <c r="J636">
        <v>65</v>
      </c>
      <c r="K636">
        <v>358</v>
      </c>
    </row>
    <row r="637" spans="1:11" x14ac:dyDescent="0.25">
      <c r="A637" t="s">
        <v>1543</v>
      </c>
      <c r="B637" t="s">
        <v>1542</v>
      </c>
      <c r="C637" t="s">
        <v>116</v>
      </c>
      <c r="D637" t="s">
        <v>66</v>
      </c>
      <c r="E637">
        <v>80</v>
      </c>
      <c r="F637">
        <v>115</v>
      </c>
      <c r="G637">
        <v>80</v>
      </c>
      <c r="H637">
        <v>65</v>
      </c>
      <c r="I637">
        <v>55</v>
      </c>
      <c r="J637">
        <v>93</v>
      </c>
      <c r="K637">
        <v>488</v>
      </c>
    </row>
    <row r="638" spans="1:11" x14ac:dyDescent="0.25">
      <c r="A638" t="s">
        <v>1545</v>
      </c>
      <c r="B638" t="s">
        <v>1544</v>
      </c>
      <c r="C638" t="s">
        <v>154</v>
      </c>
      <c r="E638">
        <v>45</v>
      </c>
      <c r="F638">
        <v>60</v>
      </c>
      <c r="G638">
        <v>32</v>
      </c>
      <c r="H638">
        <v>50</v>
      </c>
      <c r="I638">
        <v>32</v>
      </c>
      <c r="J638">
        <v>76</v>
      </c>
      <c r="K638">
        <v>295</v>
      </c>
    </row>
    <row r="639" spans="1:11" x14ac:dyDescent="0.25">
      <c r="A639" t="s">
        <v>1547</v>
      </c>
      <c r="B639" t="s">
        <v>1546</v>
      </c>
      <c r="C639" t="s">
        <v>154</v>
      </c>
      <c r="E639">
        <v>75</v>
      </c>
      <c r="F639">
        <v>100</v>
      </c>
      <c r="G639">
        <v>63</v>
      </c>
      <c r="H639">
        <v>80</v>
      </c>
      <c r="I639">
        <v>63</v>
      </c>
      <c r="J639">
        <v>116</v>
      </c>
      <c r="K639">
        <v>497</v>
      </c>
    </row>
    <row r="640" spans="1:11" x14ac:dyDescent="0.25">
      <c r="A640" t="s">
        <v>1549</v>
      </c>
      <c r="B640" t="s">
        <v>1548</v>
      </c>
      <c r="C640" t="s">
        <v>290</v>
      </c>
      <c r="E640">
        <v>55</v>
      </c>
      <c r="F640">
        <v>75</v>
      </c>
      <c r="G640">
        <v>85</v>
      </c>
      <c r="H640">
        <v>25</v>
      </c>
      <c r="I640">
        <v>25</v>
      </c>
      <c r="J640">
        <v>15</v>
      </c>
      <c r="K640">
        <v>280</v>
      </c>
    </row>
    <row r="641" spans="1:11" x14ac:dyDescent="0.25">
      <c r="A641" t="s">
        <v>1551</v>
      </c>
      <c r="B641" t="s">
        <v>1550</v>
      </c>
      <c r="C641" t="s">
        <v>290</v>
      </c>
      <c r="E641">
        <v>70</v>
      </c>
      <c r="F641">
        <v>105</v>
      </c>
      <c r="G641">
        <v>105</v>
      </c>
      <c r="H641">
        <v>50</v>
      </c>
      <c r="I641">
        <v>40</v>
      </c>
      <c r="J641">
        <v>20</v>
      </c>
      <c r="K641">
        <v>390</v>
      </c>
    </row>
    <row r="642" spans="1:11" x14ac:dyDescent="0.25">
      <c r="A642" t="s">
        <v>1553</v>
      </c>
      <c r="B642" t="s">
        <v>1552</v>
      </c>
      <c r="C642" t="s">
        <v>290</v>
      </c>
      <c r="E642">
        <v>85</v>
      </c>
      <c r="F642">
        <v>135</v>
      </c>
      <c r="G642">
        <v>130</v>
      </c>
      <c r="H642">
        <v>60</v>
      </c>
      <c r="I642">
        <v>80</v>
      </c>
      <c r="J642">
        <v>25</v>
      </c>
      <c r="K642">
        <v>515</v>
      </c>
    </row>
    <row r="643" spans="1:11" x14ac:dyDescent="0.25">
      <c r="A643" t="s">
        <v>1555</v>
      </c>
      <c r="B643" t="s">
        <v>1554</v>
      </c>
      <c r="C643" t="s">
        <v>162</v>
      </c>
      <c r="D643" t="s">
        <v>66</v>
      </c>
      <c r="E643">
        <v>65</v>
      </c>
      <c r="F643">
        <v>45</v>
      </c>
      <c r="G643">
        <v>43</v>
      </c>
      <c r="H643">
        <v>55</v>
      </c>
      <c r="I643">
        <v>43</v>
      </c>
      <c r="J643">
        <v>72</v>
      </c>
      <c r="K643">
        <v>323</v>
      </c>
    </row>
    <row r="644" spans="1:11" x14ac:dyDescent="0.25">
      <c r="A644" t="s">
        <v>1557</v>
      </c>
      <c r="B644" t="s">
        <v>1556</v>
      </c>
      <c r="C644" t="s">
        <v>162</v>
      </c>
      <c r="D644" t="s">
        <v>66</v>
      </c>
      <c r="E644">
        <v>67</v>
      </c>
      <c r="F644">
        <v>57</v>
      </c>
      <c r="G644">
        <v>55</v>
      </c>
      <c r="H644">
        <v>77</v>
      </c>
      <c r="I644">
        <v>55</v>
      </c>
      <c r="J644">
        <v>114</v>
      </c>
      <c r="K644">
        <v>425</v>
      </c>
    </row>
    <row r="645" spans="1:11" x14ac:dyDescent="0.25">
      <c r="A645" t="s">
        <v>1559</v>
      </c>
      <c r="B645" t="s">
        <v>1558</v>
      </c>
      <c r="C645" t="s">
        <v>132</v>
      </c>
      <c r="E645">
        <v>60</v>
      </c>
      <c r="F645">
        <v>85</v>
      </c>
      <c r="G645">
        <v>40</v>
      </c>
      <c r="H645">
        <v>30</v>
      </c>
      <c r="I645">
        <v>45</v>
      </c>
      <c r="J645">
        <v>68</v>
      </c>
      <c r="K645">
        <v>328</v>
      </c>
    </row>
    <row r="646" spans="1:11" x14ac:dyDescent="0.25">
      <c r="A646" t="s">
        <v>1561</v>
      </c>
      <c r="B646" t="s">
        <v>1560</v>
      </c>
      <c r="C646" t="s">
        <v>132</v>
      </c>
      <c r="D646" t="s">
        <v>171</v>
      </c>
      <c r="E646">
        <v>110</v>
      </c>
      <c r="F646">
        <v>135</v>
      </c>
      <c r="G646">
        <v>60</v>
      </c>
      <c r="H646">
        <v>50</v>
      </c>
      <c r="I646">
        <v>65</v>
      </c>
      <c r="J646">
        <v>88</v>
      </c>
      <c r="K646">
        <v>508</v>
      </c>
    </row>
    <row r="647" spans="1:11" x14ac:dyDescent="0.25">
      <c r="A647" t="s">
        <v>1563</v>
      </c>
      <c r="B647" t="s">
        <v>1562</v>
      </c>
      <c r="C647" t="s">
        <v>116</v>
      </c>
      <c r="E647">
        <v>103</v>
      </c>
      <c r="F647">
        <v>60</v>
      </c>
      <c r="G647">
        <v>86</v>
      </c>
      <c r="H647">
        <v>60</v>
      </c>
      <c r="I647">
        <v>86</v>
      </c>
      <c r="J647">
        <v>50</v>
      </c>
      <c r="K647">
        <v>445</v>
      </c>
    </row>
    <row r="648" spans="1:11" x14ac:dyDescent="0.25">
      <c r="A648" t="s">
        <v>1565</v>
      </c>
      <c r="B648" t="s">
        <v>1564</v>
      </c>
      <c r="C648" t="s">
        <v>116</v>
      </c>
      <c r="D648" t="s">
        <v>157</v>
      </c>
      <c r="E648">
        <v>103</v>
      </c>
      <c r="F648">
        <v>60</v>
      </c>
      <c r="G648">
        <v>126</v>
      </c>
      <c r="H648">
        <v>80</v>
      </c>
      <c r="I648">
        <v>126</v>
      </c>
      <c r="J648">
        <v>50</v>
      </c>
      <c r="K648">
        <v>545</v>
      </c>
    </row>
    <row r="649" spans="1:11" x14ac:dyDescent="0.25">
      <c r="A649" t="s">
        <v>1567</v>
      </c>
      <c r="B649" t="s">
        <v>1566</v>
      </c>
      <c r="C649" t="s">
        <v>279</v>
      </c>
      <c r="E649">
        <v>75</v>
      </c>
      <c r="F649">
        <v>80</v>
      </c>
      <c r="G649">
        <v>55</v>
      </c>
      <c r="H649">
        <v>25</v>
      </c>
      <c r="I649">
        <v>35</v>
      </c>
      <c r="J649">
        <v>35</v>
      </c>
      <c r="K649">
        <v>305</v>
      </c>
    </row>
    <row r="650" spans="1:11" x14ac:dyDescent="0.25">
      <c r="A650" t="s">
        <v>1569</v>
      </c>
      <c r="B650" t="s">
        <v>1568</v>
      </c>
      <c r="C650" t="s">
        <v>279</v>
      </c>
      <c r="E650">
        <v>85</v>
      </c>
      <c r="F650">
        <v>105</v>
      </c>
      <c r="G650">
        <v>85</v>
      </c>
      <c r="H650">
        <v>40</v>
      </c>
      <c r="I650">
        <v>50</v>
      </c>
      <c r="J650">
        <v>40</v>
      </c>
      <c r="K650">
        <v>405</v>
      </c>
    </row>
    <row r="651" spans="1:11" x14ac:dyDescent="0.25">
      <c r="A651" t="s">
        <v>1571</v>
      </c>
      <c r="B651" t="s">
        <v>1570</v>
      </c>
      <c r="C651" t="s">
        <v>279</v>
      </c>
      <c r="E651">
        <v>105</v>
      </c>
      <c r="F651">
        <v>140</v>
      </c>
      <c r="G651">
        <v>95</v>
      </c>
      <c r="H651">
        <v>55</v>
      </c>
      <c r="I651">
        <v>65</v>
      </c>
      <c r="J651">
        <v>45</v>
      </c>
      <c r="K651">
        <v>505</v>
      </c>
    </row>
    <row r="652" spans="1:11" x14ac:dyDescent="0.25">
      <c r="A652" t="s">
        <v>1573</v>
      </c>
      <c r="B652" t="s">
        <v>1572</v>
      </c>
      <c r="C652" t="s">
        <v>76</v>
      </c>
      <c r="E652">
        <v>50</v>
      </c>
      <c r="F652">
        <v>50</v>
      </c>
      <c r="G652">
        <v>40</v>
      </c>
      <c r="H652">
        <v>50</v>
      </c>
      <c r="I652">
        <v>40</v>
      </c>
      <c r="J652">
        <v>64</v>
      </c>
      <c r="K652">
        <v>294</v>
      </c>
    </row>
    <row r="653" spans="1:11" x14ac:dyDescent="0.25">
      <c r="A653" t="s">
        <v>1575</v>
      </c>
      <c r="B653" t="s">
        <v>1574</v>
      </c>
      <c r="C653" t="s">
        <v>76</v>
      </c>
      <c r="D653" t="s">
        <v>132</v>
      </c>
      <c r="E653">
        <v>75</v>
      </c>
      <c r="F653">
        <v>65</v>
      </c>
      <c r="G653">
        <v>55</v>
      </c>
      <c r="H653">
        <v>65</v>
      </c>
      <c r="I653">
        <v>55</v>
      </c>
      <c r="J653">
        <v>69</v>
      </c>
      <c r="K653">
        <v>384</v>
      </c>
    </row>
    <row r="654" spans="1:11" x14ac:dyDescent="0.25">
      <c r="A654" t="s">
        <v>1577</v>
      </c>
      <c r="B654" t="s">
        <v>1576</v>
      </c>
      <c r="C654" t="s">
        <v>76</v>
      </c>
      <c r="D654" t="s">
        <v>132</v>
      </c>
      <c r="E654">
        <v>105</v>
      </c>
      <c r="F654">
        <v>95</v>
      </c>
      <c r="G654">
        <v>75</v>
      </c>
      <c r="H654">
        <v>85</v>
      </c>
      <c r="I654">
        <v>75</v>
      </c>
      <c r="J654">
        <v>74</v>
      </c>
      <c r="K654">
        <v>509</v>
      </c>
    </row>
    <row r="655" spans="1:11" x14ac:dyDescent="0.25">
      <c r="A655" t="s">
        <v>1579</v>
      </c>
      <c r="B655" t="s">
        <v>1578</v>
      </c>
      <c r="C655" t="s">
        <v>279</v>
      </c>
      <c r="E655">
        <v>120</v>
      </c>
      <c r="F655">
        <v>100</v>
      </c>
      <c r="G655">
        <v>85</v>
      </c>
      <c r="H655">
        <v>30</v>
      </c>
      <c r="I655">
        <v>85</v>
      </c>
      <c r="J655">
        <v>45</v>
      </c>
      <c r="K655">
        <v>465</v>
      </c>
    </row>
    <row r="656" spans="1:11" x14ac:dyDescent="0.25">
      <c r="A656" t="s">
        <v>1581</v>
      </c>
      <c r="B656" t="s">
        <v>1580</v>
      </c>
      <c r="C656" t="s">
        <v>279</v>
      </c>
      <c r="E656">
        <v>75</v>
      </c>
      <c r="F656">
        <v>125</v>
      </c>
      <c r="G656">
        <v>75</v>
      </c>
      <c r="H656">
        <v>30</v>
      </c>
      <c r="I656">
        <v>75</v>
      </c>
      <c r="J656">
        <v>85</v>
      </c>
      <c r="K656">
        <v>465</v>
      </c>
    </row>
    <row r="657" spans="1:11" x14ac:dyDescent="0.25">
      <c r="A657" t="s">
        <v>1583</v>
      </c>
      <c r="B657" t="s">
        <v>1582</v>
      </c>
      <c r="C657" t="s">
        <v>90</v>
      </c>
      <c r="D657" t="s">
        <v>40</v>
      </c>
      <c r="E657">
        <v>45</v>
      </c>
      <c r="F657">
        <v>53</v>
      </c>
      <c r="G657">
        <v>70</v>
      </c>
      <c r="H657">
        <v>40</v>
      </c>
      <c r="I657">
        <v>60</v>
      </c>
      <c r="J657">
        <v>42</v>
      </c>
      <c r="K657">
        <v>310</v>
      </c>
    </row>
    <row r="658" spans="1:11" x14ac:dyDescent="0.25">
      <c r="A658" t="s">
        <v>1585</v>
      </c>
      <c r="B658" t="s">
        <v>1584</v>
      </c>
      <c r="C658" t="s">
        <v>90</v>
      </c>
      <c r="D658" t="s">
        <v>40</v>
      </c>
      <c r="E658">
        <v>55</v>
      </c>
      <c r="F658">
        <v>63</v>
      </c>
      <c r="G658">
        <v>90</v>
      </c>
      <c r="H658">
        <v>50</v>
      </c>
      <c r="I658">
        <v>80</v>
      </c>
      <c r="J658">
        <v>42</v>
      </c>
      <c r="K658">
        <v>380</v>
      </c>
    </row>
    <row r="659" spans="1:11" x14ac:dyDescent="0.25">
      <c r="A659" t="s">
        <v>1587</v>
      </c>
      <c r="B659" t="s">
        <v>1586</v>
      </c>
      <c r="C659" t="s">
        <v>90</v>
      </c>
      <c r="D659" t="s">
        <v>40</v>
      </c>
      <c r="E659">
        <v>75</v>
      </c>
      <c r="F659">
        <v>103</v>
      </c>
      <c r="G659">
        <v>80</v>
      </c>
      <c r="H659">
        <v>70</v>
      </c>
      <c r="I659">
        <v>80</v>
      </c>
      <c r="J659">
        <v>92</v>
      </c>
      <c r="K659">
        <v>500</v>
      </c>
    </row>
    <row r="660" spans="1:11" x14ac:dyDescent="0.25">
      <c r="A660" t="s">
        <v>1589</v>
      </c>
      <c r="B660" t="s">
        <v>1588</v>
      </c>
      <c r="C660" t="s">
        <v>90</v>
      </c>
      <c r="D660" t="s">
        <v>41</v>
      </c>
      <c r="E660">
        <v>30</v>
      </c>
      <c r="F660">
        <v>45</v>
      </c>
      <c r="G660">
        <v>59</v>
      </c>
      <c r="H660">
        <v>30</v>
      </c>
      <c r="I660">
        <v>39</v>
      </c>
      <c r="J660">
        <v>57</v>
      </c>
      <c r="K660">
        <v>260</v>
      </c>
    </row>
    <row r="661" spans="1:11" x14ac:dyDescent="0.25">
      <c r="A661" t="s">
        <v>1591</v>
      </c>
      <c r="B661" t="s">
        <v>1590</v>
      </c>
      <c r="C661" t="s">
        <v>90</v>
      </c>
      <c r="D661" t="s">
        <v>41</v>
      </c>
      <c r="E661">
        <v>40</v>
      </c>
      <c r="F661">
        <v>55</v>
      </c>
      <c r="G661">
        <v>99</v>
      </c>
      <c r="H661">
        <v>40</v>
      </c>
      <c r="I661">
        <v>79</v>
      </c>
      <c r="J661">
        <v>47</v>
      </c>
      <c r="K661">
        <v>360</v>
      </c>
    </row>
    <row r="662" spans="1:11" x14ac:dyDescent="0.25">
      <c r="A662" t="s">
        <v>1593</v>
      </c>
      <c r="B662" t="s">
        <v>1592</v>
      </c>
      <c r="C662" t="s">
        <v>90</v>
      </c>
      <c r="D662" t="s">
        <v>41</v>
      </c>
      <c r="E662">
        <v>60</v>
      </c>
      <c r="F662">
        <v>100</v>
      </c>
      <c r="G662">
        <v>89</v>
      </c>
      <c r="H662">
        <v>55</v>
      </c>
      <c r="I662">
        <v>69</v>
      </c>
      <c r="J662">
        <v>112</v>
      </c>
      <c r="K662">
        <v>485</v>
      </c>
    </row>
    <row r="663" spans="1:11" x14ac:dyDescent="0.25">
      <c r="A663" t="s">
        <v>1595</v>
      </c>
      <c r="B663" t="s">
        <v>1594</v>
      </c>
      <c r="C663" t="s">
        <v>40</v>
      </c>
      <c r="D663" t="s">
        <v>157</v>
      </c>
      <c r="E663">
        <v>40</v>
      </c>
      <c r="F663">
        <v>27</v>
      </c>
      <c r="G663">
        <v>60</v>
      </c>
      <c r="H663">
        <v>37</v>
      </c>
      <c r="I663">
        <v>50</v>
      </c>
      <c r="J663">
        <v>66</v>
      </c>
      <c r="K663">
        <v>280</v>
      </c>
    </row>
    <row r="664" spans="1:11" x14ac:dyDescent="0.25">
      <c r="A664" t="s">
        <v>1597</v>
      </c>
      <c r="B664" t="s">
        <v>1596</v>
      </c>
      <c r="C664" t="s">
        <v>40</v>
      </c>
      <c r="D664" t="s">
        <v>157</v>
      </c>
      <c r="E664">
        <v>60</v>
      </c>
      <c r="F664">
        <v>67</v>
      </c>
      <c r="G664">
        <v>85</v>
      </c>
      <c r="H664">
        <v>77</v>
      </c>
      <c r="I664">
        <v>75</v>
      </c>
      <c r="J664">
        <v>116</v>
      </c>
      <c r="K664">
        <v>480</v>
      </c>
    </row>
    <row r="665" spans="1:11" x14ac:dyDescent="0.25">
      <c r="A665" t="s">
        <v>1599</v>
      </c>
      <c r="B665" t="s">
        <v>1598</v>
      </c>
      <c r="C665" t="s">
        <v>40</v>
      </c>
      <c r="E665">
        <v>45</v>
      </c>
      <c r="F665">
        <v>35</v>
      </c>
      <c r="G665">
        <v>50</v>
      </c>
      <c r="H665">
        <v>70</v>
      </c>
      <c r="I665">
        <v>50</v>
      </c>
      <c r="J665">
        <v>30</v>
      </c>
      <c r="K665">
        <v>280</v>
      </c>
    </row>
    <row r="666" spans="1:11" x14ac:dyDescent="0.25">
      <c r="A666" t="s">
        <v>1601</v>
      </c>
      <c r="B666" t="s">
        <v>1600</v>
      </c>
      <c r="C666" t="s">
        <v>40</v>
      </c>
      <c r="E666">
        <v>70</v>
      </c>
      <c r="F666">
        <v>60</v>
      </c>
      <c r="G666">
        <v>75</v>
      </c>
      <c r="H666">
        <v>110</v>
      </c>
      <c r="I666">
        <v>75</v>
      </c>
      <c r="J666">
        <v>90</v>
      </c>
      <c r="K666">
        <v>480</v>
      </c>
    </row>
    <row r="667" spans="1:11" x14ac:dyDescent="0.25">
      <c r="A667" t="s">
        <v>1603</v>
      </c>
      <c r="B667" t="s">
        <v>1602</v>
      </c>
      <c r="C667" t="s">
        <v>40</v>
      </c>
      <c r="D667" t="s">
        <v>279</v>
      </c>
      <c r="E667">
        <v>70</v>
      </c>
      <c r="F667">
        <v>105</v>
      </c>
      <c r="G667">
        <v>75</v>
      </c>
      <c r="H667">
        <v>50</v>
      </c>
      <c r="I667">
        <v>75</v>
      </c>
      <c r="J667">
        <v>105</v>
      </c>
      <c r="K667">
        <v>480</v>
      </c>
    </row>
    <row r="668" spans="1:11" x14ac:dyDescent="0.25">
      <c r="A668" t="s">
        <v>1606</v>
      </c>
      <c r="B668" t="s">
        <v>1604</v>
      </c>
      <c r="C668" t="s">
        <v>76</v>
      </c>
      <c r="E668">
        <v>70</v>
      </c>
      <c r="F668">
        <v>92</v>
      </c>
      <c r="G668">
        <v>65</v>
      </c>
      <c r="H668">
        <v>80</v>
      </c>
      <c r="I668">
        <v>55</v>
      </c>
      <c r="J668">
        <v>98</v>
      </c>
      <c r="K668">
        <v>460</v>
      </c>
    </row>
    <row r="669" spans="1:11" x14ac:dyDescent="0.25">
      <c r="A669" t="s">
        <v>1608</v>
      </c>
      <c r="B669" t="s">
        <v>1607</v>
      </c>
      <c r="C669" t="s">
        <v>76</v>
      </c>
      <c r="E669">
        <v>70</v>
      </c>
      <c r="F669">
        <v>92</v>
      </c>
      <c r="G669">
        <v>65</v>
      </c>
      <c r="H669">
        <v>80</v>
      </c>
      <c r="I669">
        <v>55</v>
      </c>
      <c r="J669">
        <v>98</v>
      </c>
      <c r="K669">
        <v>460</v>
      </c>
    </row>
    <row r="670" spans="1:11" x14ac:dyDescent="0.25">
      <c r="A670" t="s">
        <v>1610</v>
      </c>
      <c r="B670" t="s">
        <v>1609</v>
      </c>
      <c r="C670" t="s">
        <v>76</v>
      </c>
      <c r="E670">
        <v>70</v>
      </c>
      <c r="F670">
        <v>92</v>
      </c>
      <c r="G670">
        <v>65</v>
      </c>
      <c r="H670">
        <v>80</v>
      </c>
      <c r="I670">
        <v>55</v>
      </c>
      <c r="J670">
        <v>98</v>
      </c>
      <c r="K670">
        <v>460</v>
      </c>
    </row>
    <row r="671" spans="1:11" x14ac:dyDescent="0.25">
      <c r="A671" t="s">
        <v>1612</v>
      </c>
      <c r="B671" t="s">
        <v>1611</v>
      </c>
      <c r="C671" t="s">
        <v>132</v>
      </c>
      <c r="D671" t="s">
        <v>135</v>
      </c>
      <c r="E671">
        <v>50</v>
      </c>
      <c r="F671">
        <v>72</v>
      </c>
      <c r="G671">
        <v>35</v>
      </c>
      <c r="H671">
        <v>35</v>
      </c>
      <c r="I671">
        <v>35</v>
      </c>
      <c r="J671">
        <v>65</v>
      </c>
      <c r="K671">
        <v>292</v>
      </c>
    </row>
    <row r="672" spans="1:11" x14ac:dyDescent="0.25">
      <c r="A672" t="s">
        <v>1614</v>
      </c>
      <c r="B672" t="s">
        <v>1613</v>
      </c>
      <c r="C672" t="s">
        <v>132</v>
      </c>
      <c r="D672" t="s">
        <v>135</v>
      </c>
      <c r="E672">
        <v>60</v>
      </c>
      <c r="F672">
        <v>82</v>
      </c>
      <c r="G672">
        <v>45</v>
      </c>
      <c r="H672">
        <v>45</v>
      </c>
      <c r="I672">
        <v>45</v>
      </c>
      <c r="J672">
        <v>74</v>
      </c>
      <c r="K672">
        <v>351</v>
      </c>
    </row>
    <row r="673" spans="1:11" x14ac:dyDescent="0.25">
      <c r="A673" t="s">
        <v>1616</v>
      </c>
      <c r="B673" t="s">
        <v>1615</v>
      </c>
      <c r="C673" t="s">
        <v>132</v>
      </c>
      <c r="D673" t="s">
        <v>135</v>
      </c>
      <c r="E673">
        <v>95</v>
      </c>
      <c r="F673">
        <v>117</v>
      </c>
      <c r="G673">
        <v>80</v>
      </c>
      <c r="H673">
        <v>65</v>
      </c>
      <c r="I673">
        <v>70</v>
      </c>
      <c r="J673">
        <v>92</v>
      </c>
      <c r="K673">
        <v>519</v>
      </c>
    </row>
    <row r="674" spans="1:11" x14ac:dyDescent="0.25">
      <c r="A674" t="s">
        <v>1618</v>
      </c>
      <c r="B674" t="s">
        <v>1617</v>
      </c>
      <c r="C674" t="s">
        <v>57</v>
      </c>
      <c r="E674">
        <v>70</v>
      </c>
      <c r="F674">
        <v>90</v>
      </c>
      <c r="G674">
        <v>45</v>
      </c>
      <c r="H674">
        <v>15</v>
      </c>
      <c r="I674">
        <v>45</v>
      </c>
      <c r="J674">
        <v>50</v>
      </c>
      <c r="K674">
        <v>315</v>
      </c>
    </row>
    <row r="675" spans="1:11" x14ac:dyDescent="0.25">
      <c r="A675" t="s">
        <v>1620</v>
      </c>
      <c r="B675" t="s">
        <v>1619</v>
      </c>
      <c r="C675" t="s">
        <v>170</v>
      </c>
      <c r="E675">
        <v>70</v>
      </c>
      <c r="F675">
        <v>90</v>
      </c>
      <c r="G675">
        <v>45</v>
      </c>
      <c r="H675">
        <v>15</v>
      </c>
      <c r="I675">
        <v>45</v>
      </c>
      <c r="J675">
        <v>50</v>
      </c>
      <c r="K675">
        <v>315</v>
      </c>
    </row>
    <row r="676" spans="1:11" x14ac:dyDescent="0.25">
      <c r="A676" t="s">
        <v>1622</v>
      </c>
      <c r="B676" t="s">
        <v>1621</v>
      </c>
      <c r="C676" t="s">
        <v>57</v>
      </c>
      <c r="E676">
        <v>105</v>
      </c>
      <c r="F676">
        <v>140</v>
      </c>
      <c r="G676">
        <v>55</v>
      </c>
      <c r="H676">
        <v>30</v>
      </c>
      <c r="I676">
        <v>55</v>
      </c>
      <c r="J676">
        <v>95</v>
      </c>
      <c r="K676">
        <v>480</v>
      </c>
    </row>
    <row r="677" spans="1:11" x14ac:dyDescent="0.25">
      <c r="A677" t="s">
        <v>1625</v>
      </c>
      <c r="B677" t="s">
        <v>1624</v>
      </c>
      <c r="C677" t="s">
        <v>57</v>
      </c>
      <c r="D677" t="s">
        <v>162</v>
      </c>
      <c r="E677">
        <v>105</v>
      </c>
      <c r="F677">
        <v>30</v>
      </c>
      <c r="G677">
        <v>105</v>
      </c>
      <c r="H677">
        <v>140</v>
      </c>
      <c r="I677">
        <v>105</v>
      </c>
      <c r="J677">
        <v>55</v>
      </c>
      <c r="K677">
        <v>540</v>
      </c>
    </row>
    <row r="678" spans="1:11" x14ac:dyDescent="0.25">
      <c r="A678" t="s">
        <v>1627</v>
      </c>
      <c r="B678" t="s">
        <v>1626</v>
      </c>
      <c r="C678" t="s">
        <v>170</v>
      </c>
      <c r="E678">
        <v>105</v>
      </c>
      <c r="F678">
        <v>140</v>
      </c>
      <c r="G678">
        <v>55</v>
      </c>
      <c r="H678">
        <v>30</v>
      </c>
      <c r="I678">
        <v>55</v>
      </c>
      <c r="J678">
        <v>95</v>
      </c>
      <c r="K678">
        <v>480</v>
      </c>
    </row>
    <row r="679" spans="1:11" x14ac:dyDescent="0.25">
      <c r="A679" t="s">
        <v>1630</v>
      </c>
      <c r="B679" t="s">
        <v>1629</v>
      </c>
      <c r="C679" t="s">
        <v>170</v>
      </c>
      <c r="D679" t="s">
        <v>57</v>
      </c>
      <c r="E679">
        <v>105</v>
      </c>
      <c r="F679">
        <v>160</v>
      </c>
      <c r="G679">
        <v>55</v>
      </c>
      <c r="H679">
        <v>30</v>
      </c>
      <c r="I679">
        <v>55</v>
      </c>
      <c r="J679">
        <v>135</v>
      </c>
      <c r="K679">
        <v>540</v>
      </c>
    </row>
    <row r="680" spans="1:11" x14ac:dyDescent="0.25">
      <c r="A680" t="s">
        <v>1632</v>
      </c>
      <c r="B680" t="s">
        <v>1631</v>
      </c>
      <c r="C680" t="s">
        <v>40</v>
      </c>
      <c r="E680">
        <v>75</v>
      </c>
      <c r="F680">
        <v>86</v>
      </c>
      <c r="G680">
        <v>67</v>
      </c>
      <c r="H680">
        <v>106</v>
      </c>
      <c r="I680">
        <v>67</v>
      </c>
      <c r="J680">
        <v>60</v>
      </c>
      <c r="K680">
        <v>461</v>
      </c>
    </row>
    <row r="681" spans="1:11" x14ac:dyDescent="0.25">
      <c r="A681" t="s">
        <v>1634</v>
      </c>
      <c r="B681" t="s">
        <v>1633</v>
      </c>
      <c r="C681" t="s">
        <v>90</v>
      </c>
      <c r="D681" t="s">
        <v>290</v>
      </c>
      <c r="E681">
        <v>50</v>
      </c>
      <c r="F681">
        <v>65</v>
      </c>
      <c r="G681">
        <v>85</v>
      </c>
      <c r="H681">
        <v>35</v>
      </c>
      <c r="I681">
        <v>35</v>
      </c>
      <c r="J681">
        <v>55</v>
      </c>
      <c r="K681">
        <v>325</v>
      </c>
    </row>
    <row r="682" spans="1:11" x14ac:dyDescent="0.25">
      <c r="A682" t="s">
        <v>1636</v>
      </c>
      <c r="B682" t="s">
        <v>1635</v>
      </c>
      <c r="C682" t="s">
        <v>90</v>
      </c>
      <c r="D682" t="s">
        <v>290</v>
      </c>
      <c r="E682">
        <v>70</v>
      </c>
      <c r="F682">
        <v>105</v>
      </c>
      <c r="G682">
        <v>125</v>
      </c>
      <c r="H682">
        <v>65</v>
      </c>
      <c r="I682">
        <v>75</v>
      </c>
      <c r="J682">
        <v>45</v>
      </c>
      <c r="K682">
        <v>485</v>
      </c>
    </row>
    <row r="683" spans="1:11" x14ac:dyDescent="0.25">
      <c r="A683" t="s">
        <v>1638</v>
      </c>
      <c r="B683" t="s">
        <v>1637</v>
      </c>
      <c r="C683" t="s">
        <v>135</v>
      </c>
      <c r="D683" t="s">
        <v>279</v>
      </c>
      <c r="E683">
        <v>50</v>
      </c>
      <c r="F683">
        <v>75</v>
      </c>
      <c r="G683">
        <v>70</v>
      </c>
      <c r="H683">
        <v>35</v>
      </c>
      <c r="I683">
        <v>70</v>
      </c>
      <c r="J683">
        <v>48</v>
      </c>
      <c r="K683">
        <v>348</v>
      </c>
    </row>
    <row r="684" spans="1:11" x14ac:dyDescent="0.25">
      <c r="A684" t="s">
        <v>1640</v>
      </c>
      <c r="B684" t="s">
        <v>1639</v>
      </c>
      <c r="C684" t="s">
        <v>135</v>
      </c>
      <c r="D684" t="s">
        <v>279</v>
      </c>
      <c r="E684">
        <v>65</v>
      </c>
      <c r="F684">
        <v>90</v>
      </c>
      <c r="G684">
        <v>115</v>
      </c>
      <c r="H684">
        <v>45</v>
      </c>
      <c r="I684">
        <v>115</v>
      </c>
      <c r="J684">
        <v>58</v>
      </c>
      <c r="K684">
        <v>488</v>
      </c>
    </row>
    <row r="685" spans="1:11" x14ac:dyDescent="0.25">
      <c r="A685" t="s">
        <v>1642</v>
      </c>
      <c r="B685" t="s">
        <v>1641</v>
      </c>
      <c r="C685" t="s">
        <v>162</v>
      </c>
      <c r="D685" t="s">
        <v>66</v>
      </c>
      <c r="E685">
        <v>72</v>
      </c>
      <c r="F685">
        <v>58</v>
      </c>
      <c r="G685">
        <v>80</v>
      </c>
      <c r="H685">
        <v>103</v>
      </c>
      <c r="I685">
        <v>80</v>
      </c>
      <c r="J685">
        <v>97</v>
      </c>
      <c r="K685">
        <v>490</v>
      </c>
    </row>
    <row r="686" spans="1:11" x14ac:dyDescent="0.25">
      <c r="A686" t="s">
        <v>1644</v>
      </c>
      <c r="B686" t="s">
        <v>1643</v>
      </c>
      <c r="C686" t="s">
        <v>419</v>
      </c>
      <c r="E686">
        <v>38</v>
      </c>
      <c r="F686">
        <v>30</v>
      </c>
      <c r="G686">
        <v>85</v>
      </c>
      <c r="H686">
        <v>55</v>
      </c>
      <c r="I686">
        <v>65</v>
      </c>
      <c r="J686">
        <v>30</v>
      </c>
      <c r="K686">
        <v>303</v>
      </c>
    </row>
    <row r="687" spans="1:11" x14ac:dyDescent="0.25">
      <c r="A687" t="s">
        <v>1647</v>
      </c>
      <c r="B687" t="s">
        <v>1646</v>
      </c>
      <c r="C687" t="s">
        <v>132</v>
      </c>
      <c r="D687" t="s">
        <v>419</v>
      </c>
      <c r="E687">
        <v>38</v>
      </c>
      <c r="F687">
        <v>55</v>
      </c>
      <c r="G687">
        <v>85</v>
      </c>
      <c r="H687">
        <v>30</v>
      </c>
      <c r="I687">
        <v>65</v>
      </c>
      <c r="J687">
        <v>30</v>
      </c>
      <c r="K687">
        <v>303</v>
      </c>
    </row>
    <row r="688" spans="1:11" x14ac:dyDescent="0.25">
      <c r="A688" t="s">
        <v>1650</v>
      </c>
      <c r="B688" t="s">
        <v>1649</v>
      </c>
      <c r="C688" t="s">
        <v>419</v>
      </c>
      <c r="E688">
        <v>58</v>
      </c>
      <c r="F688">
        <v>50</v>
      </c>
      <c r="G688">
        <v>145</v>
      </c>
      <c r="H688">
        <v>95</v>
      </c>
      <c r="I688">
        <v>105</v>
      </c>
      <c r="J688">
        <v>30</v>
      </c>
      <c r="K688">
        <v>483</v>
      </c>
    </row>
    <row r="689" spans="1:11" x14ac:dyDescent="0.25">
      <c r="A689" t="s">
        <v>1652</v>
      </c>
      <c r="B689" t="s">
        <v>1651</v>
      </c>
      <c r="C689" t="s">
        <v>76</v>
      </c>
      <c r="D689" t="s">
        <v>290</v>
      </c>
      <c r="E689">
        <v>54</v>
      </c>
      <c r="F689">
        <v>78</v>
      </c>
      <c r="G689">
        <v>103</v>
      </c>
      <c r="H689">
        <v>53</v>
      </c>
      <c r="I689">
        <v>45</v>
      </c>
      <c r="J689">
        <v>22</v>
      </c>
      <c r="K689">
        <v>355</v>
      </c>
    </row>
    <row r="690" spans="1:11" x14ac:dyDescent="0.25">
      <c r="A690" t="s">
        <v>1654</v>
      </c>
      <c r="B690" t="s">
        <v>1653</v>
      </c>
      <c r="C690" t="s">
        <v>76</v>
      </c>
      <c r="D690" t="s">
        <v>290</v>
      </c>
      <c r="E690">
        <v>74</v>
      </c>
      <c r="F690">
        <v>108</v>
      </c>
      <c r="G690">
        <v>133</v>
      </c>
      <c r="H690">
        <v>83</v>
      </c>
      <c r="I690">
        <v>65</v>
      </c>
      <c r="J690">
        <v>32</v>
      </c>
      <c r="K690">
        <v>495</v>
      </c>
    </row>
    <row r="691" spans="1:11" x14ac:dyDescent="0.25">
      <c r="A691" t="s">
        <v>1656</v>
      </c>
      <c r="B691" t="s">
        <v>1655</v>
      </c>
      <c r="C691" t="s">
        <v>290</v>
      </c>
      <c r="D691" t="s">
        <v>66</v>
      </c>
      <c r="E691">
        <v>55</v>
      </c>
      <c r="F691">
        <v>112</v>
      </c>
      <c r="G691">
        <v>45</v>
      </c>
      <c r="H691">
        <v>74</v>
      </c>
      <c r="I691">
        <v>45</v>
      </c>
      <c r="J691">
        <v>70</v>
      </c>
      <c r="K691">
        <v>401</v>
      </c>
    </row>
    <row r="692" spans="1:11" x14ac:dyDescent="0.25">
      <c r="A692" t="s">
        <v>1659</v>
      </c>
      <c r="B692" t="s">
        <v>1658</v>
      </c>
      <c r="C692" t="s">
        <v>290</v>
      </c>
      <c r="D692" t="s">
        <v>66</v>
      </c>
      <c r="E692">
        <v>75</v>
      </c>
      <c r="F692">
        <v>140</v>
      </c>
      <c r="G692">
        <v>65</v>
      </c>
      <c r="H692">
        <v>112</v>
      </c>
      <c r="I692">
        <v>65</v>
      </c>
      <c r="J692">
        <v>110</v>
      </c>
      <c r="K692">
        <v>567</v>
      </c>
    </row>
    <row r="693" spans="1:11" x14ac:dyDescent="0.25">
      <c r="A693" t="s">
        <v>1661</v>
      </c>
      <c r="B693" t="s">
        <v>1660</v>
      </c>
      <c r="C693" t="s">
        <v>41</v>
      </c>
      <c r="E693">
        <v>50</v>
      </c>
      <c r="F693">
        <v>50</v>
      </c>
      <c r="G693">
        <v>62</v>
      </c>
      <c r="H693">
        <v>40</v>
      </c>
      <c r="I693">
        <v>62</v>
      </c>
      <c r="J693">
        <v>65</v>
      </c>
      <c r="K693">
        <v>329</v>
      </c>
    </row>
    <row r="694" spans="1:11" x14ac:dyDescent="0.25">
      <c r="A694" t="s">
        <v>1663</v>
      </c>
      <c r="B694" t="s">
        <v>1662</v>
      </c>
      <c r="C694" t="s">
        <v>41</v>
      </c>
      <c r="E694">
        <v>80</v>
      </c>
      <c r="F694">
        <v>95</v>
      </c>
      <c r="G694">
        <v>82</v>
      </c>
      <c r="H694">
        <v>60</v>
      </c>
      <c r="I694">
        <v>82</v>
      </c>
      <c r="J694">
        <v>75</v>
      </c>
      <c r="K694">
        <v>474</v>
      </c>
    </row>
    <row r="695" spans="1:11" x14ac:dyDescent="0.25">
      <c r="A695" t="s">
        <v>1665</v>
      </c>
      <c r="B695" t="s">
        <v>1664</v>
      </c>
      <c r="C695" t="s">
        <v>135</v>
      </c>
      <c r="E695">
        <v>40</v>
      </c>
      <c r="F695">
        <v>65</v>
      </c>
      <c r="G695">
        <v>40</v>
      </c>
      <c r="H695">
        <v>80</v>
      </c>
      <c r="I695">
        <v>40</v>
      </c>
      <c r="J695">
        <v>65</v>
      </c>
      <c r="K695">
        <v>330</v>
      </c>
    </row>
    <row r="696" spans="1:11" x14ac:dyDescent="0.25">
      <c r="A696" t="s">
        <v>1668</v>
      </c>
      <c r="B696" t="s">
        <v>1667</v>
      </c>
      <c r="C696" t="s">
        <v>116</v>
      </c>
      <c r="D696" t="s">
        <v>419</v>
      </c>
      <c r="E696">
        <v>35</v>
      </c>
      <c r="F696">
        <v>60</v>
      </c>
      <c r="G696">
        <v>40</v>
      </c>
      <c r="H696">
        <v>85</v>
      </c>
      <c r="I696">
        <v>40</v>
      </c>
      <c r="J696">
        <v>70</v>
      </c>
      <c r="K696">
        <v>330</v>
      </c>
    </row>
    <row r="697" spans="1:11" x14ac:dyDescent="0.25">
      <c r="A697" t="s">
        <v>1670</v>
      </c>
      <c r="B697" t="s">
        <v>1669</v>
      </c>
      <c r="C697" t="s">
        <v>135</v>
      </c>
      <c r="E697">
        <v>60</v>
      </c>
      <c r="F697">
        <v>105</v>
      </c>
      <c r="G697">
        <v>60</v>
      </c>
      <c r="H697">
        <v>120</v>
      </c>
      <c r="I697">
        <v>60</v>
      </c>
      <c r="J697">
        <v>105</v>
      </c>
      <c r="K697">
        <v>510</v>
      </c>
    </row>
    <row r="698" spans="1:11" x14ac:dyDescent="0.25">
      <c r="A698" t="s">
        <v>1672</v>
      </c>
      <c r="B698" t="s">
        <v>1671</v>
      </c>
      <c r="C698" t="s">
        <v>116</v>
      </c>
      <c r="D698" t="s">
        <v>419</v>
      </c>
      <c r="E698">
        <v>60</v>
      </c>
      <c r="F698">
        <v>105</v>
      </c>
      <c r="G698">
        <v>60</v>
      </c>
      <c r="H698">
        <v>120</v>
      </c>
      <c r="I698">
        <v>60</v>
      </c>
      <c r="J698">
        <v>105</v>
      </c>
      <c r="K698">
        <v>510</v>
      </c>
    </row>
    <row r="699" spans="1:11" x14ac:dyDescent="0.25">
      <c r="A699" t="s">
        <v>1674</v>
      </c>
      <c r="B699" t="s">
        <v>1673</v>
      </c>
      <c r="C699" t="s">
        <v>116</v>
      </c>
      <c r="E699">
        <v>55</v>
      </c>
      <c r="F699">
        <v>50</v>
      </c>
      <c r="G699">
        <v>40</v>
      </c>
      <c r="H699">
        <v>40</v>
      </c>
      <c r="I699">
        <v>40</v>
      </c>
      <c r="J699">
        <v>75</v>
      </c>
      <c r="K699">
        <v>300</v>
      </c>
    </row>
    <row r="700" spans="1:11" x14ac:dyDescent="0.25">
      <c r="A700" t="s">
        <v>1676</v>
      </c>
      <c r="B700" t="s">
        <v>1675</v>
      </c>
      <c r="C700" t="s">
        <v>116</v>
      </c>
      <c r="E700">
        <v>75</v>
      </c>
      <c r="F700">
        <v>95</v>
      </c>
      <c r="G700">
        <v>60</v>
      </c>
      <c r="H700">
        <v>65</v>
      </c>
      <c r="I700">
        <v>60</v>
      </c>
      <c r="J700">
        <v>115</v>
      </c>
      <c r="K700">
        <v>470</v>
      </c>
    </row>
    <row r="701" spans="1:11" x14ac:dyDescent="0.25">
      <c r="A701" t="s">
        <v>1678</v>
      </c>
      <c r="B701" t="s">
        <v>1677</v>
      </c>
      <c r="C701" t="s">
        <v>162</v>
      </c>
      <c r="E701">
        <v>45</v>
      </c>
      <c r="F701">
        <v>30</v>
      </c>
      <c r="G701">
        <v>50</v>
      </c>
      <c r="H701">
        <v>55</v>
      </c>
      <c r="I701">
        <v>65</v>
      </c>
      <c r="J701">
        <v>45</v>
      </c>
      <c r="K701">
        <v>290</v>
      </c>
    </row>
    <row r="702" spans="1:11" x14ac:dyDescent="0.25">
      <c r="A702" t="s">
        <v>1680</v>
      </c>
      <c r="B702" t="s">
        <v>1679</v>
      </c>
      <c r="C702" t="s">
        <v>162</v>
      </c>
      <c r="E702">
        <v>60</v>
      </c>
      <c r="F702">
        <v>45</v>
      </c>
      <c r="G702">
        <v>70</v>
      </c>
      <c r="H702">
        <v>75</v>
      </c>
      <c r="I702">
        <v>85</v>
      </c>
      <c r="J702">
        <v>55</v>
      </c>
      <c r="K702">
        <v>390</v>
      </c>
    </row>
    <row r="703" spans="1:11" x14ac:dyDescent="0.25">
      <c r="A703" t="s">
        <v>1682</v>
      </c>
      <c r="B703" t="s">
        <v>1681</v>
      </c>
      <c r="C703" t="s">
        <v>162</v>
      </c>
      <c r="E703">
        <v>70</v>
      </c>
      <c r="F703">
        <v>55</v>
      </c>
      <c r="G703">
        <v>95</v>
      </c>
      <c r="H703">
        <v>95</v>
      </c>
      <c r="I703">
        <v>110</v>
      </c>
      <c r="J703">
        <v>65</v>
      </c>
      <c r="K703">
        <v>490</v>
      </c>
    </row>
    <row r="704" spans="1:11" x14ac:dyDescent="0.25">
      <c r="A704" t="s">
        <v>1684</v>
      </c>
      <c r="B704" t="s">
        <v>1683</v>
      </c>
      <c r="C704" t="s">
        <v>162</v>
      </c>
      <c r="E704">
        <v>45</v>
      </c>
      <c r="F704">
        <v>30</v>
      </c>
      <c r="G704">
        <v>40</v>
      </c>
      <c r="H704">
        <v>105</v>
      </c>
      <c r="I704">
        <v>50</v>
      </c>
      <c r="J704">
        <v>20</v>
      </c>
      <c r="K704">
        <v>290</v>
      </c>
    </row>
    <row r="705" spans="1:11" x14ac:dyDescent="0.25">
      <c r="A705" t="s">
        <v>1686</v>
      </c>
      <c r="B705" t="s">
        <v>1685</v>
      </c>
      <c r="C705" t="s">
        <v>162</v>
      </c>
      <c r="E705">
        <v>65</v>
      </c>
      <c r="F705">
        <v>40</v>
      </c>
      <c r="G705">
        <v>50</v>
      </c>
      <c r="H705">
        <v>125</v>
      </c>
      <c r="I705">
        <v>60</v>
      </c>
      <c r="J705">
        <v>30</v>
      </c>
      <c r="K705">
        <v>370</v>
      </c>
    </row>
    <row r="706" spans="1:11" x14ac:dyDescent="0.25">
      <c r="A706" t="s">
        <v>1688</v>
      </c>
      <c r="B706" t="s">
        <v>1687</v>
      </c>
      <c r="C706" t="s">
        <v>162</v>
      </c>
      <c r="E706">
        <v>110</v>
      </c>
      <c r="F706">
        <v>65</v>
      </c>
      <c r="G706">
        <v>75</v>
      </c>
      <c r="H706">
        <v>125</v>
      </c>
      <c r="I706">
        <v>85</v>
      </c>
      <c r="J706">
        <v>30</v>
      </c>
      <c r="K706">
        <v>490</v>
      </c>
    </row>
    <row r="707" spans="1:11" x14ac:dyDescent="0.25">
      <c r="A707" t="s">
        <v>1690</v>
      </c>
      <c r="B707" t="s">
        <v>1689</v>
      </c>
      <c r="C707" t="s">
        <v>76</v>
      </c>
      <c r="D707" t="s">
        <v>66</v>
      </c>
      <c r="E707">
        <v>62</v>
      </c>
      <c r="F707">
        <v>44</v>
      </c>
      <c r="G707">
        <v>50</v>
      </c>
      <c r="H707">
        <v>44</v>
      </c>
      <c r="I707">
        <v>50</v>
      </c>
      <c r="J707">
        <v>55</v>
      </c>
      <c r="K707">
        <v>305</v>
      </c>
    </row>
    <row r="708" spans="1:11" x14ac:dyDescent="0.25">
      <c r="A708" t="s">
        <v>1692</v>
      </c>
      <c r="B708" t="s">
        <v>1691</v>
      </c>
      <c r="C708" t="s">
        <v>76</v>
      </c>
      <c r="D708" t="s">
        <v>66</v>
      </c>
      <c r="E708">
        <v>75</v>
      </c>
      <c r="F708">
        <v>87</v>
      </c>
      <c r="G708">
        <v>63</v>
      </c>
      <c r="H708">
        <v>87</v>
      </c>
      <c r="I708">
        <v>63</v>
      </c>
      <c r="J708">
        <v>98</v>
      </c>
      <c r="K708">
        <v>473</v>
      </c>
    </row>
    <row r="709" spans="1:11" x14ac:dyDescent="0.25">
      <c r="A709" t="s">
        <v>1694</v>
      </c>
      <c r="B709" t="s">
        <v>1693</v>
      </c>
      <c r="C709" t="s">
        <v>170</v>
      </c>
      <c r="E709">
        <v>36</v>
      </c>
      <c r="F709">
        <v>50</v>
      </c>
      <c r="G709">
        <v>50</v>
      </c>
      <c r="H709">
        <v>65</v>
      </c>
      <c r="I709">
        <v>60</v>
      </c>
      <c r="J709">
        <v>44</v>
      </c>
      <c r="K709">
        <v>305</v>
      </c>
    </row>
    <row r="710" spans="1:11" x14ac:dyDescent="0.25">
      <c r="A710" t="s">
        <v>1696</v>
      </c>
      <c r="B710" t="s">
        <v>1695</v>
      </c>
      <c r="C710" t="s">
        <v>170</v>
      </c>
      <c r="E710">
        <v>51</v>
      </c>
      <c r="F710">
        <v>65</v>
      </c>
      <c r="G710">
        <v>65</v>
      </c>
      <c r="H710">
        <v>80</v>
      </c>
      <c r="I710">
        <v>75</v>
      </c>
      <c r="J710">
        <v>59</v>
      </c>
      <c r="K710">
        <v>395</v>
      </c>
    </row>
    <row r="711" spans="1:11" x14ac:dyDescent="0.25">
      <c r="A711" t="s">
        <v>1698</v>
      </c>
      <c r="B711" t="s">
        <v>1697</v>
      </c>
      <c r="C711" t="s">
        <v>170</v>
      </c>
      <c r="E711">
        <v>71</v>
      </c>
      <c r="F711">
        <v>95</v>
      </c>
      <c r="G711">
        <v>85</v>
      </c>
      <c r="H711">
        <v>110</v>
      </c>
      <c r="I711">
        <v>95</v>
      </c>
      <c r="J711">
        <v>79</v>
      </c>
      <c r="K711">
        <v>535</v>
      </c>
    </row>
    <row r="712" spans="1:11" x14ac:dyDescent="0.25">
      <c r="A712" t="s">
        <v>1701</v>
      </c>
      <c r="B712" t="s">
        <v>1699</v>
      </c>
      <c r="C712" t="s">
        <v>116</v>
      </c>
      <c r="D712" t="s">
        <v>40</v>
      </c>
      <c r="E712">
        <v>60</v>
      </c>
      <c r="F712">
        <v>60</v>
      </c>
      <c r="G712">
        <v>50</v>
      </c>
      <c r="H712">
        <v>40</v>
      </c>
      <c r="I712">
        <v>50</v>
      </c>
      <c r="J712">
        <v>75</v>
      </c>
      <c r="K712">
        <v>335</v>
      </c>
    </row>
    <row r="713" spans="1:11" x14ac:dyDescent="0.25">
      <c r="A713" t="s">
        <v>1703</v>
      </c>
      <c r="B713" t="s">
        <v>1702</v>
      </c>
      <c r="C713" t="s">
        <v>116</v>
      </c>
      <c r="D713" t="s">
        <v>40</v>
      </c>
      <c r="E713">
        <v>60</v>
      </c>
      <c r="F713">
        <v>60</v>
      </c>
      <c r="G713">
        <v>50</v>
      </c>
      <c r="H713">
        <v>40</v>
      </c>
      <c r="I713">
        <v>50</v>
      </c>
      <c r="J713">
        <v>75</v>
      </c>
      <c r="K713">
        <v>335</v>
      </c>
    </row>
    <row r="714" spans="1:11" x14ac:dyDescent="0.25">
      <c r="A714" t="s">
        <v>1705</v>
      </c>
      <c r="B714" t="s">
        <v>1704</v>
      </c>
      <c r="C714" t="s">
        <v>116</v>
      </c>
      <c r="D714" t="s">
        <v>40</v>
      </c>
      <c r="E714">
        <v>60</v>
      </c>
      <c r="F714">
        <v>60</v>
      </c>
      <c r="G714">
        <v>50</v>
      </c>
      <c r="H714">
        <v>40</v>
      </c>
      <c r="I714">
        <v>50</v>
      </c>
      <c r="J714">
        <v>75</v>
      </c>
      <c r="K714">
        <v>335</v>
      </c>
    </row>
    <row r="715" spans="1:11" x14ac:dyDescent="0.25">
      <c r="A715" t="s">
        <v>1707</v>
      </c>
      <c r="B715" t="s">
        <v>1706</v>
      </c>
      <c r="C715" t="s">
        <v>116</v>
      </c>
      <c r="D715" t="s">
        <v>40</v>
      </c>
      <c r="E715">
        <v>60</v>
      </c>
      <c r="F715">
        <v>60</v>
      </c>
      <c r="G715">
        <v>50</v>
      </c>
      <c r="H715">
        <v>40</v>
      </c>
      <c r="I715">
        <v>50</v>
      </c>
      <c r="J715">
        <v>75</v>
      </c>
      <c r="K715">
        <v>335</v>
      </c>
    </row>
    <row r="716" spans="1:11" x14ac:dyDescent="0.25">
      <c r="A716" t="s">
        <v>1709</v>
      </c>
      <c r="B716" t="s">
        <v>1708</v>
      </c>
      <c r="C716" t="s">
        <v>116</v>
      </c>
      <c r="D716" t="s">
        <v>40</v>
      </c>
      <c r="E716">
        <v>80</v>
      </c>
      <c r="F716">
        <v>100</v>
      </c>
      <c r="G716">
        <v>70</v>
      </c>
      <c r="H716">
        <v>60</v>
      </c>
      <c r="I716">
        <v>70</v>
      </c>
      <c r="J716">
        <v>95</v>
      </c>
      <c r="K716">
        <v>475</v>
      </c>
    </row>
    <row r="717" spans="1:11" x14ac:dyDescent="0.25">
      <c r="A717" t="s">
        <v>1711</v>
      </c>
      <c r="B717" t="s">
        <v>1710</v>
      </c>
      <c r="C717" t="s">
        <v>154</v>
      </c>
      <c r="D717" t="s">
        <v>66</v>
      </c>
      <c r="E717">
        <v>55</v>
      </c>
      <c r="F717">
        <v>75</v>
      </c>
      <c r="G717">
        <v>60</v>
      </c>
      <c r="H717">
        <v>75</v>
      </c>
      <c r="I717">
        <v>60</v>
      </c>
      <c r="J717">
        <v>103</v>
      </c>
      <c r="K717">
        <v>428</v>
      </c>
    </row>
    <row r="718" spans="1:11" x14ac:dyDescent="0.25">
      <c r="A718" t="s">
        <v>1713</v>
      </c>
      <c r="B718" t="s">
        <v>1712</v>
      </c>
      <c r="C718" t="s">
        <v>90</v>
      </c>
      <c r="E718">
        <v>50</v>
      </c>
      <c r="F718">
        <v>75</v>
      </c>
      <c r="G718">
        <v>45</v>
      </c>
      <c r="H718">
        <v>40</v>
      </c>
      <c r="I718">
        <v>45</v>
      </c>
      <c r="J718">
        <v>60</v>
      </c>
      <c r="K718">
        <v>315</v>
      </c>
    </row>
    <row r="719" spans="1:11" x14ac:dyDescent="0.25">
      <c r="A719" t="s">
        <v>1715</v>
      </c>
      <c r="B719" t="s">
        <v>1714</v>
      </c>
      <c r="C719" t="s">
        <v>90</v>
      </c>
      <c r="D719" t="s">
        <v>171</v>
      </c>
      <c r="E719">
        <v>70</v>
      </c>
      <c r="F719">
        <v>135</v>
      </c>
      <c r="G719">
        <v>105</v>
      </c>
      <c r="H719">
        <v>60</v>
      </c>
      <c r="I719">
        <v>105</v>
      </c>
      <c r="J719">
        <v>20</v>
      </c>
      <c r="K719">
        <v>495</v>
      </c>
    </row>
    <row r="720" spans="1:11" x14ac:dyDescent="0.25">
      <c r="A720" t="s">
        <v>1717</v>
      </c>
      <c r="B720" t="s">
        <v>1716</v>
      </c>
      <c r="C720" t="s">
        <v>40</v>
      </c>
      <c r="D720" t="s">
        <v>41</v>
      </c>
      <c r="E720">
        <v>69</v>
      </c>
      <c r="F720">
        <v>55</v>
      </c>
      <c r="G720">
        <v>45</v>
      </c>
      <c r="H720">
        <v>55</v>
      </c>
      <c r="I720">
        <v>55</v>
      </c>
      <c r="J720">
        <v>15</v>
      </c>
      <c r="K720">
        <v>294</v>
      </c>
    </row>
    <row r="721" spans="1:11" x14ac:dyDescent="0.25">
      <c r="A721" t="s">
        <v>1719</v>
      </c>
      <c r="B721" t="s">
        <v>1718</v>
      </c>
      <c r="C721" t="s">
        <v>40</v>
      </c>
      <c r="D721" t="s">
        <v>41</v>
      </c>
      <c r="E721">
        <v>114</v>
      </c>
      <c r="F721">
        <v>85</v>
      </c>
      <c r="G721">
        <v>70</v>
      </c>
      <c r="H721">
        <v>85</v>
      </c>
      <c r="I721">
        <v>80</v>
      </c>
      <c r="J721">
        <v>30</v>
      </c>
      <c r="K721">
        <v>464</v>
      </c>
    </row>
    <row r="722" spans="1:11" x14ac:dyDescent="0.25">
      <c r="A722" t="s">
        <v>1721</v>
      </c>
      <c r="B722" t="s">
        <v>1720</v>
      </c>
      <c r="C722" t="s">
        <v>76</v>
      </c>
      <c r="D722" t="s">
        <v>419</v>
      </c>
      <c r="E722">
        <v>55</v>
      </c>
      <c r="F722">
        <v>40</v>
      </c>
      <c r="G722">
        <v>50</v>
      </c>
      <c r="H722">
        <v>65</v>
      </c>
      <c r="I722">
        <v>85</v>
      </c>
      <c r="J722">
        <v>40</v>
      </c>
      <c r="K722">
        <v>335</v>
      </c>
    </row>
    <row r="723" spans="1:11" x14ac:dyDescent="0.25">
      <c r="A723" t="s">
        <v>1723</v>
      </c>
      <c r="B723" t="s">
        <v>1722</v>
      </c>
      <c r="C723" t="s">
        <v>76</v>
      </c>
      <c r="D723" t="s">
        <v>419</v>
      </c>
      <c r="E723">
        <v>100</v>
      </c>
      <c r="F723">
        <v>60</v>
      </c>
      <c r="G723">
        <v>70</v>
      </c>
      <c r="H723">
        <v>85</v>
      </c>
      <c r="I723">
        <v>105</v>
      </c>
      <c r="J723">
        <v>60</v>
      </c>
      <c r="K723">
        <v>480</v>
      </c>
    </row>
    <row r="724" spans="1:11" x14ac:dyDescent="0.25">
      <c r="A724" t="s">
        <v>1725</v>
      </c>
      <c r="B724" t="s">
        <v>1724</v>
      </c>
      <c r="C724" t="s">
        <v>76</v>
      </c>
      <c r="E724">
        <v>165</v>
      </c>
      <c r="F724">
        <v>75</v>
      </c>
      <c r="G724">
        <v>80</v>
      </c>
      <c r="H724">
        <v>40</v>
      </c>
      <c r="I724">
        <v>45</v>
      </c>
      <c r="J724">
        <v>65</v>
      </c>
      <c r="K724">
        <v>470</v>
      </c>
    </row>
    <row r="725" spans="1:11" x14ac:dyDescent="0.25">
      <c r="A725" t="s">
        <v>1727</v>
      </c>
      <c r="B725" t="s">
        <v>1726</v>
      </c>
      <c r="C725" t="s">
        <v>90</v>
      </c>
      <c r="D725" t="s">
        <v>154</v>
      </c>
      <c r="E725">
        <v>50</v>
      </c>
      <c r="F725">
        <v>47</v>
      </c>
      <c r="G725">
        <v>50</v>
      </c>
      <c r="H725">
        <v>57</v>
      </c>
      <c r="I725">
        <v>50</v>
      </c>
      <c r="J725">
        <v>65</v>
      </c>
      <c r="K725">
        <v>319</v>
      </c>
    </row>
    <row r="726" spans="1:11" x14ac:dyDescent="0.25">
      <c r="A726" t="s">
        <v>1729</v>
      </c>
      <c r="B726" t="s">
        <v>1728</v>
      </c>
      <c r="C726" t="s">
        <v>90</v>
      </c>
      <c r="D726" t="s">
        <v>154</v>
      </c>
      <c r="E726">
        <v>70</v>
      </c>
      <c r="F726">
        <v>77</v>
      </c>
      <c r="G726">
        <v>60</v>
      </c>
      <c r="H726">
        <v>97</v>
      </c>
      <c r="I726">
        <v>60</v>
      </c>
      <c r="J726">
        <v>108</v>
      </c>
      <c r="K726">
        <v>472</v>
      </c>
    </row>
    <row r="727" spans="1:11" x14ac:dyDescent="0.25">
      <c r="A727" t="s">
        <v>1731</v>
      </c>
      <c r="B727" t="s">
        <v>1730</v>
      </c>
      <c r="C727" t="s">
        <v>40</v>
      </c>
      <c r="D727" t="s">
        <v>171</v>
      </c>
      <c r="E727">
        <v>44</v>
      </c>
      <c r="F727">
        <v>50</v>
      </c>
      <c r="G727">
        <v>91</v>
      </c>
      <c r="H727">
        <v>24</v>
      </c>
      <c r="I727">
        <v>86</v>
      </c>
      <c r="J727">
        <v>10</v>
      </c>
      <c r="K727">
        <v>305</v>
      </c>
    </row>
    <row r="728" spans="1:11" x14ac:dyDescent="0.25">
      <c r="A728" t="s">
        <v>1734</v>
      </c>
      <c r="B728" t="s">
        <v>1733</v>
      </c>
      <c r="C728" t="s">
        <v>40</v>
      </c>
      <c r="D728" t="s">
        <v>171</v>
      </c>
      <c r="E728">
        <v>74</v>
      </c>
      <c r="F728">
        <v>94</v>
      </c>
      <c r="G728">
        <v>131</v>
      </c>
      <c r="H728">
        <v>54</v>
      </c>
      <c r="I728">
        <v>116</v>
      </c>
      <c r="J728">
        <v>20</v>
      </c>
      <c r="K728">
        <v>489</v>
      </c>
    </row>
    <row r="729" spans="1:11" x14ac:dyDescent="0.25">
      <c r="A729" t="s">
        <v>1736</v>
      </c>
      <c r="B729" t="s">
        <v>1735</v>
      </c>
      <c r="C729" t="s">
        <v>171</v>
      </c>
      <c r="E729">
        <v>40</v>
      </c>
      <c r="F729">
        <v>55</v>
      </c>
      <c r="G729">
        <v>70</v>
      </c>
      <c r="H729">
        <v>45</v>
      </c>
      <c r="I729">
        <v>60</v>
      </c>
      <c r="J729">
        <v>30</v>
      </c>
      <c r="K729">
        <v>300</v>
      </c>
    </row>
    <row r="730" spans="1:11" x14ac:dyDescent="0.25">
      <c r="A730" t="s">
        <v>1738</v>
      </c>
      <c r="B730" t="s">
        <v>1737</v>
      </c>
      <c r="C730" t="s">
        <v>171</v>
      </c>
      <c r="E730">
        <v>60</v>
      </c>
      <c r="F730">
        <v>80</v>
      </c>
      <c r="G730">
        <v>95</v>
      </c>
      <c r="H730">
        <v>70</v>
      </c>
      <c r="I730">
        <v>85</v>
      </c>
      <c r="J730">
        <v>50</v>
      </c>
      <c r="K730">
        <v>440</v>
      </c>
    </row>
    <row r="731" spans="1:11" x14ac:dyDescent="0.25">
      <c r="A731" t="s">
        <v>1740</v>
      </c>
      <c r="B731" t="s">
        <v>1739</v>
      </c>
      <c r="C731" t="s">
        <v>171</v>
      </c>
      <c r="E731">
        <v>60</v>
      </c>
      <c r="F731">
        <v>100</v>
      </c>
      <c r="G731">
        <v>115</v>
      </c>
      <c r="H731">
        <v>70</v>
      </c>
      <c r="I731">
        <v>85</v>
      </c>
      <c r="J731">
        <v>90</v>
      </c>
      <c r="K731">
        <v>520</v>
      </c>
    </row>
    <row r="732" spans="1:11" x14ac:dyDescent="0.25">
      <c r="A732" t="s">
        <v>1742</v>
      </c>
      <c r="B732" t="s">
        <v>1741</v>
      </c>
      <c r="C732" t="s">
        <v>154</v>
      </c>
      <c r="E732">
        <v>35</v>
      </c>
      <c r="F732">
        <v>55</v>
      </c>
      <c r="G732">
        <v>40</v>
      </c>
      <c r="H732">
        <v>45</v>
      </c>
      <c r="I732">
        <v>40</v>
      </c>
      <c r="J732">
        <v>60</v>
      </c>
      <c r="K732">
        <v>275</v>
      </c>
    </row>
    <row r="733" spans="1:11" x14ac:dyDescent="0.25">
      <c r="A733" t="s">
        <v>1744</v>
      </c>
      <c r="B733" t="s">
        <v>1743</v>
      </c>
      <c r="C733" t="s">
        <v>154</v>
      </c>
      <c r="E733">
        <v>65</v>
      </c>
      <c r="F733">
        <v>85</v>
      </c>
      <c r="G733">
        <v>70</v>
      </c>
      <c r="H733">
        <v>75</v>
      </c>
      <c r="I733">
        <v>70</v>
      </c>
      <c r="J733">
        <v>40</v>
      </c>
      <c r="K733">
        <v>405</v>
      </c>
    </row>
    <row r="734" spans="1:11" x14ac:dyDescent="0.25">
      <c r="A734" t="s">
        <v>1746</v>
      </c>
      <c r="B734" t="s">
        <v>1745</v>
      </c>
      <c r="C734" t="s">
        <v>154</v>
      </c>
      <c r="E734">
        <v>85</v>
      </c>
      <c r="F734">
        <v>115</v>
      </c>
      <c r="G734">
        <v>80</v>
      </c>
      <c r="H734">
        <v>105</v>
      </c>
      <c r="I734">
        <v>80</v>
      </c>
      <c r="J734">
        <v>50</v>
      </c>
      <c r="K734">
        <v>515</v>
      </c>
    </row>
    <row r="735" spans="1:11" x14ac:dyDescent="0.25">
      <c r="A735" t="s">
        <v>1748</v>
      </c>
      <c r="B735" t="s">
        <v>1747</v>
      </c>
      <c r="C735" t="s">
        <v>162</v>
      </c>
      <c r="E735">
        <v>55</v>
      </c>
      <c r="F735">
        <v>55</v>
      </c>
      <c r="G735">
        <v>55</v>
      </c>
      <c r="H735">
        <v>85</v>
      </c>
      <c r="I735">
        <v>55</v>
      </c>
      <c r="J735">
        <v>30</v>
      </c>
      <c r="K735">
        <v>335</v>
      </c>
    </row>
    <row r="736" spans="1:11" x14ac:dyDescent="0.25">
      <c r="A736" t="s">
        <v>1750</v>
      </c>
      <c r="B736" t="s">
        <v>1749</v>
      </c>
      <c r="C736" t="s">
        <v>162</v>
      </c>
      <c r="E736">
        <v>75</v>
      </c>
      <c r="F736">
        <v>75</v>
      </c>
      <c r="G736">
        <v>75</v>
      </c>
      <c r="H736">
        <v>125</v>
      </c>
      <c r="I736">
        <v>95</v>
      </c>
      <c r="J736">
        <v>40</v>
      </c>
      <c r="K736">
        <v>485</v>
      </c>
    </row>
    <row r="737" spans="1:11" x14ac:dyDescent="0.25">
      <c r="A737" t="s">
        <v>1752</v>
      </c>
      <c r="B737" t="s">
        <v>1751</v>
      </c>
      <c r="C737" t="s">
        <v>419</v>
      </c>
      <c r="D737" t="s">
        <v>57</v>
      </c>
      <c r="E737">
        <v>50</v>
      </c>
      <c r="F737">
        <v>30</v>
      </c>
      <c r="G737">
        <v>55</v>
      </c>
      <c r="H737">
        <v>65</v>
      </c>
      <c r="I737">
        <v>55</v>
      </c>
      <c r="J737">
        <v>20</v>
      </c>
      <c r="K737">
        <v>275</v>
      </c>
    </row>
    <row r="738" spans="1:11" x14ac:dyDescent="0.25">
      <c r="A738" t="s">
        <v>1754</v>
      </c>
      <c r="B738" t="s">
        <v>1753</v>
      </c>
      <c r="C738" t="s">
        <v>419</v>
      </c>
      <c r="D738" t="s">
        <v>57</v>
      </c>
      <c r="E738">
        <v>60</v>
      </c>
      <c r="F738">
        <v>40</v>
      </c>
      <c r="G738">
        <v>60</v>
      </c>
      <c r="H738">
        <v>95</v>
      </c>
      <c r="I738">
        <v>60</v>
      </c>
      <c r="J738">
        <v>55</v>
      </c>
      <c r="K738">
        <v>370</v>
      </c>
    </row>
    <row r="739" spans="1:11" x14ac:dyDescent="0.25">
      <c r="A739" t="s">
        <v>1756</v>
      </c>
      <c r="B739" t="s">
        <v>1755</v>
      </c>
      <c r="C739" t="s">
        <v>419</v>
      </c>
      <c r="D739" t="s">
        <v>57</v>
      </c>
      <c r="E739">
        <v>60</v>
      </c>
      <c r="F739">
        <v>55</v>
      </c>
      <c r="G739">
        <v>90</v>
      </c>
      <c r="H739">
        <v>145</v>
      </c>
      <c r="I739">
        <v>90</v>
      </c>
      <c r="J739">
        <v>80</v>
      </c>
      <c r="K739">
        <v>520</v>
      </c>
    </row>
    <row r="740" spans="1:11" x14ac:dyDescent="0.25">
      <c r="A740" t="s">
        <v>1758</v>
      </c>
      <c r="B740" t="s">
        <v>1757</v>
      </c>
      <c r="C740" t="s">
        <v>61</v>
      </c>
      <c r="E740">
        <v>46</v>
      </c>
      <c r="F740">
        <v>87</v>
      </c>
      <c r="G740">
        <v>60</v>
      </c>
      <c r="H740">
        <v>30</v>
      </c>
      <c r="I740">
        <v>40</v>
      </c>
      <c r="J740">
        <v>57</v>
      </c>
      <c r="K740">
        <v>320</v>
      </c>
    </row>
    <row r="741" spans="1:11" x14ac:dyDescent="0.25">
      <c r="A741" t="s">
        <v>1760</v>
      </c>
      <c r="B741" t="s">
        <v>1759</v>
      </c>
      <c r="C741" t="s">
        <v>61</v>
      </c>
      <c r="E741">
        <v>66</v>
      </c>
      <c r="F741">
        <v>117</v>
      </c>
      <c r="G741">
        <v>70</v>
      </c>
      <c r="H741">
        <v>40</v>
      </c>
      <c r="I741">
        <v>50</v>
      </c>
      <c r="J741">
        <v>67</v>
      </c>
      <c r="K741">
        <v>410</v>
      </c>
    </row>
    <row r="742" spans="1:11" x14ac:dyDescent="0.25">
      <c r="A742" t="s">
        <v>1762</v>
      </c>
      <c r="B742" t="s">
        <v>1761</v>
      </c>
      <c r="C742" t="s">
        <v>61</v>
      </c>
      <c r="E742">
        <v>76</v>
      </c>
      <c r="F742">
        <v>147</v>
      </c>
      <c r="G742">
        <v>90</v>
      </c>
      <c r="H742">
        <v>60</v>
      </c>
      <c r="I742">
        <v>70</v>
      </c>
      <c r="J742">
        <v>97</v>
      </c>
      <c r="K742">
        <v>540</v>
      </c>
    </row>
    <row r="743" spans="1:11" x14ac:dyDescent="0.25">
      <c r="A743" t="s">
        <v>1764</v>
      </c>
      <c r="B743" t="s">
        <v>1763</v>
      </c>
      <c r="C743" t="s">
        <v>170</v>
      </c>
      <c r="E743">
        <v>55</v>
      </c>
      <c r="F743">
        <v>70</v>
      </c>
      <c r="G743">
        <v>40</v>
      </c>
      <c r="H743">
        <v>60</v>
      </c>
      <c r="I743">
        <v>40</v>
      </c>
      <c r="J743">
        <v>40</v>
      </c>
      <c r="K743">
        <v>305</v>
      </c>
    </row>
    <row r="744" spans="1:11" x14ac:dyDescent="0.25">
      <c r="A744" t="s">
        <v>1766</v>
      </c>
      <c r="B744" t="s">
        <v>1765</v>
      </c>
      <c r="C744" t="s">
        <v>170</v>
      </c>
      <c r="E744">
        <v>95</v>
      </c>
      <c r="F744">
        <v>130</v>
      </c>
      <c r="G744">
        <v>80</v>
      </c>
      <c r="H744">
        <v>70</v>
      </c>
      <c r="I744">
        <v>80</v>
      </c>
      <c r="J744">
        <v>50</v>
      </c>
      <c r="K744">
        <v>505</v>
      </c>
    </row>
    <row r="745" spans="1:11" x14ac:dyDescent="0.25">
      <c r="A745" t="s">
        <v>1768</v>
      </c>
      <c r="B745" t="s">
        <v>1767</v>
      </c>
      <c r="C745" t="s">
        <v>170</v>
      </c>
      <c r="E745">
        <v>80</v>
      </c>
      <c r="F745">
        <v>50</v>
      </c>
      <c r="G745">
        <v>50</v>
      </c>
      <c r="H745">
        <v>95</v>
      </c>
      <c r="I745">
        <v>135</v>
      </c>
      <c r="J745">
        <v>105</v>
      </c>
      <c r="K745">
        <v>515</v>
      </c>
    </row>
    <row r="746" spans="1:11" x14ac:dyDescent="0.25">
      <c r="A746" t="s">
        <v>1770</v>
      </c>
      <c r="B746" t="s">
        <v>1769</v>
      </c>
      <c r="C746" t="s">
        <v>90</v>
      </c>
      <c r="E746">
        <v>50</v>
      </c>
      <c r="F746">
        <v>40</v>
      </c>
      <c r="G746">
        <v>85</v>
      </c>
      <c r="H746">
        <v>40</v>
      </c>
      <c r="I746">
        <v>65</v>
      </c>
      <c r="J746">
        <v>25</v>
      </c>
      <c r="K746">
        <v>305</v>
      </c>
    </row>
    <row r="747" spans="1:11" x14ac:dyDescent="0.25">
      <c r="A747" t="s">
        <v>1772</v>
      </c>
      <c r="B747" t="s">
        <v>1771</v>
      </c>
      <c r="C747" t="s">
        <v>90</v>
      </c>
      <c r="E747">
        <v>80</v>
      </c>
      <c r="F747">
        <v>70</v>
      </c>
      <c r="G747">
        <v>40</v>
      </c>
      <c r="H747">
        <v>100</v>
      </c>
      <c r="I747">
        <v>60</v>
      </c>
      <c r="J747">
        <v>145</v>
      </c>
      <c r="K747">
        <v>495</v>
      </c>
    </row>
    <row r="748" spans="1:11" x14ac:dyDescent="0.25">
      <c r="A748" t="s">
        <v>1774</v>
      </c>
      <c r="B748" t="s">
        <v>1773</v>
      </c>
      <c r="C748" t="s">
        <v>132</v>
      </c>
      <c r="D748" t="s">
        <v>154</v>
      </c>
      <c r="E748">
        <v>109</v>
      </c>
      <c r="F748">
        <v>66</v>
      </c>
      <c r="G748">
        <v>84</v>
      </c>
      <c r="H748">
        <v>81</v>
      </c>
      <c r="I748">
        <v>99</v>
      </c>
      <c r="J748">
        <v>32</v>
      </c>
      <c r="K748">
        <v>471</v>
      </c>
    </row>
    <row r="749" spans="1:11" x14ac:dyDescent="0.25">
      <c r="A749" t="s">
        <v>1776</v>
      </c>
      <c r="B749" t="s">
        <v>1775</v>
      </c>
      <c r="C749" t="s">
        <v>132</v>
      </c>
      <c r="D749" t="s">
        <v>171</v>
      </c>
      <c r="E749">
        <v>109</v>
      </c>
      <c r="F749">
        <v>81</v>
      </c>
      <c r="G749">
        <v>99</v>
      </c>
      <c r="H749">
        <v>66</v>
      </c>
      <c r="I749">
        <v>84</v>
      </c>
      <c r="J749">
        <v>32</v>
      </c>
      <c r="K749">
        <v>471</v>
      </c>
    </row>
    <row r="750" spans="1:11" x14ac:dyDescent="0.25">
      <c r="A750" t="s">
        <v>1779</v>
      </c>
      <c r="B750" t="s">
        <v>1778</v>
      </c>
      <c r="C750" t="s">
        <v>279</v>
      </c>
      <c r="E750">
        <v>45</v>
      </c>
      <c r="F750">
        <v>85</v>
      </c>
      <c r="G750">
        <v>50</v>
      </c>
      <c r="H750">
        <v>55</v>
      </c>
      <c r="I750">
        <v>50</v>
      </c>
      <c r="J750">
        <v>65</v>
      </c>
      <c r="K750">
        <v>350</v>
      </c>
    </row>
    <row r="751" spans="1:11" x14ac:dyDescent="0.25">
      <c r="A751" t="s">
        <v>1781</v>
      </c>
      <c r="B751" t="s">
        <v>1780</v>
      </c>
      <c r="C751" t="s">
        <v>279</v>
      </c>
      <c r="E751">
        <v>65</v>
      </c>
      <c r="F751">
        <v>125</v>
      </c>
      <c r="G751">
        <v>60</v>
      </c>
      <c r="H751">
        <v>95</v>
      </c>
      <c r="I751">
        <v>60</v>
      </c>
      <c r="J751">
        <v>105</v>
      </c>
      <c r="K751">
        <v>510</v>
      </c>
    </row>
    <row r="752" spans="1:11" x14ac:dyDescent="0.25">
      <c r="A752" t="s">
        <v>1783</v>
      </c>
      <c r="B752" t="s">
        <v>1782</v>
      </c>
      <c r="C752" t="s">
        <v>61</v>
      </c>
      <c r="E752">
        <v>77</v>
      </c>
      <c r="F752">
        <v>120</v>
      </c>
      <c r="G752">
        <v>90</v>
      </c>
      <c r="H752">
        <v>60</v>
      </c>
      <c r="I752">
        <v>90</v>
      </c>
      <c r="J752">
        <v>48</v>
      </c>
      <c r="K752">
        <v>485</v>
      </c>
    </row>
    <row r="753" spans="1:11" x14ac:dyDescent="0.25">
      <c r="A753" t="s">
        <v>1785</v>
      </c>
      <c r="B753" t="s">
        <v>1784</v>
      </c>
      <c r="C753" t="s">
        <v>132</v>
      </c>
      <c r="D753" t="s">
        <v>419</v>
      </c>
      <c r="E753">
        <v>59</v>
      </c>
      <c r="F753">
        <v>74</v>
      </c>
      <c r="G753">
        <v>50</v>
      </c>
      <c r="H753">
        <v>35</v>
      </c>
      <c r="I753">
        <v>50</v>
      </c>
      <c r="J753">
        <v>35</v>
      </c>
      <c r="K753">
        <v>303</v>
      </c>
    </row>
    <row r="754" spans="1:11" x14ac:dyDescent="0.25">
      <c r="A754" t="s">
        <v>1787</v>
      </c>
      <c r="B754" t="s">
        <v>1786</v>
      </c>
      <c r="C754" t="s">
        <v>132</v>
      </c>
      <c r="D754" t="s">
        <v>419</v>
      </c>
      <c r="E754">
        <v>89</v>
      </c>
      <c r="F754">
        <v>124</v>
      </c>
      <c r="G754">
        <v>80</v>
      </c>
      <c r="H754">
        <v>55</v>
      </c>
      <c r="I754">
        <v>80</v>
      </c>
      <c r="J754">
        <v>55</v>
      </c>
      <c r="K754">
        <v>483</v>
      </c>
    </row>
    <row r="755" spans="1:11" x14ac:dyDescent="0.25">
      <c r="A755" t="s">
        <v>1789</v>
      </c>
      <c r="B755" t="s">
        <v>1788</v>
      </c>
      <c r="C755" t="s">
        <v>135</v>
      </c>
      <c r="D755" t="s">
        <v>171</v>
      </c>
      <c r="E755">
        <v>45</v>
      </c>
      <c r="F755">
        <v>85</v>
      </c>
      <c r="G755">
        <v>70</v>
      </c>
      <c r="H755">
        <v>40</v>
      </c>
      <c r="I755">
        <v>40</v>
      </c>
      <c r="J755">
        <v>60</v>
      </c>
      <c r="K755">
        <v>340</v>
      </c>
    </row>
    <row r="756" spans="1:11" x14ac:dyDescent="0.25">
      <c r="A756" t="s">
        <v>1791</v>
      </c>
      <c r="B756" t="s">
        <v>1790</v>
      </c>
      <c r="C756" t="s">
        <v>135</v>
      </c>
      <c r="D756" t="s">
        <v>171</v>
      </c>
      <c r="E756">
        <v>65</v>
      </c>
      <c r="F756">
        <v>125</v>
      </c>
      <c r="G756">
        <v>100</v>
      </c>
      <c r="H756">
        <v>60</v>
      </c>
      <c r="I756">
        <v>70</v>
      </c>
      <c r="J756">
        <v>70</v>
      </c>
      <c r="K756">
        <v>490</v>
      </c>
    </row>
    <row r="757" spans="1:11" x14ac:dyDescent="0.25">
      <c r="A757" t="s">
        <v>1793</v>
      </c>
      <c r="B757" t="s">
        <v>1792</v>
      </c>
      <c r="C757" t="s">
        <v>116</v>
      </c>
      <c r="E757">
        <v>95</v>
      </c>
      <c r="F757">
        <v>110</v>
      </c>
      <c r="G757">
        <v>95</v>
      </c>
      <c r="H757">
        <v>40</v>
      </c>
      <c r="I757">
        <v>95</v>
      </c>
      <c r="J757">
        <v>55</v>
      </c>
      <c r="K757">
        <v>490</v>
      </c>
    </row>
    <row r="758" spans="1:11" x14ac:dyDescent="0.25">
      <c r="A758" t="s">
        <v>1795</v>
      </c>
      <c r="B758" t="s">
        <v>1794</v>
      </c>
      <c r="C758" t="s">
        <v>116</v>
      </c>
      <c r="D758" t="s">
        <v>66</v>
      </c>
      <c r="E758">
        <v>70</v>
      </c>
      <c r="F758">
        <v>83</v>
      </c>
      <c r="G758">
        <v>50</v>
      </c>
      <c r="H758">
        <v>37</v>
      </c>
      <c r="I758">
        <v>50</v>
      </c>
      <c r="J758">
        <v>60</v>
      </c>
      <c r="K758">
        <v>350</v>
      </c>
    </row>
    <row r="759" spans="1:11" x14ac:dyDescent="0.25">
      <c r="A759" t="s">
        <v>1797</v>
      </c>
      <c r="B759" t="s">
        <v>1796</v>
      </c>
      <c r="C759" t="s">
        <v>116</v>
      </c>
      <c r="D759" t="s">
        <v>66</v>
      </c>
      <c r="E759">
        <v>100</v>
      </c>
      <c r="F759">
        <v>123</v>
      </c>
      <c r="G759">
        <v>75</v>
      </c>
      <c r="H759">
        <v>57</v>
      </c>
      <c r="I759">
        <v>75</v>
      </c>
      <c r="J759">
        <v>80</v>
      </c>
      <c r="K759">
        <v>510</v>
      </c>
    </row>
    <row r="760" spans="1:11" x14ac:dyDescent="0.25">
      <c r="A760" t="s">
        <v>1799</v>
      </c>
      <c r="B760" t="s">
        <v>1798</v>
      </c>
      <c r="C760" t="s">
        <v>162</v>
      </c>
      <c r="D760" t="s">
        <v>66</v>
      </c>
      <c r="E760">
        <v>110</v>
      </c>
      <c r="F760">
        <v>83</v>
      </c>
      <c r="G760">
        <v>70</v>
      </c>
      <c r="H760">
        <v>112</v>
      </c>
      <c r="I760">
        <v>70</v>
      </c>
      <c r="J760">
        <v>65</v>
      </c>
      <c r="K760">
        <v>510</v>
      </c>
    </row>
    <row r="761" spans="1:11" x14ac:dyDescent="0.25">
      <c r="A761" t="s">
        <v>1801</v>
      </c>
      <c r="B761" t="s">
        <v>1800</v>
      </c>
      <c r="C761" t="s">
        <v>135</v>
      </c>
      <c r="D761" t="s">
        <v>66</v>
      </c>
      <c r="E761">
        <v>70</v>
      </c>
      <c r="F761">
        <v>55</v>
      </c>
      <c r="G761">
        <v>75</v>
      </c>
      <c r="H761">
        <v>45</v>
      </c>
      <c r="I761">
        <v>65</v>
      </c>
      <c r="J761">
        <v>60</v>
      </c>
      <c r="K761">
        <v>370</v>
      </c>
    </row>
    <row r="762" spans="1:11" x14ac:dyDescent="0.25">
      <c r="A762" t="s">
        <v>1803</v>
      </c>
      <c r="B762" t="s">
        <v>1802</v>
      </c>
      <c r="C762" t="s">
        <v>135</v>
      </c>
      <c r="D762" t="s">
        <v>66</v>
      </c>
      <c r="E762">
        <v>110</v>
      </c>
      <c r="F762">
        <v>65</v>
      </c>
      <c r="G762">
        <v>105</v>
      </c>
      <c r="H762">
        <v>55</v>
      </c>
      <c r="I762">
        <v>95</v>
      </c>
      <c r="J762">
        <v>80</v>
      </c>
      <c r="K762">
        <v>510</v>
      </c>
    </row>
    <row r="763" spans="1:11" x14ac:dyDescent="0.25">
      <c r="A763" t="s">
        <v>1805</v>
      </c>
      <c r="B763" t="s">
        <v>1804</v>
      </c>
      <c r="C763" t="s">
        <v>57</v>
      </c>
      <c r="E763">
        <v>85</v>
      </c>
      <c r="F763">
        <v>97</v>
      </c>
      <c r="G763">
        <v>66</v>
      </c>
      <c r="H763">
        <v>105</v>
      </c>
      <c r="I763">
        <v>66</v>
      </c>
      <c r="J763">
        <v>65</v>
      </c>
      <c r="K763">
        <v>484</v>
      </c>
    </row>
    <row r="764" spans="1:11" x14ac:dyDescent="0.25">
      <c r="A764" t="s">
        <v>1807</v>
      </c>
      <c r="B764" t="s">
        <v>1806</v>
      </c>
      <c r="C764" t="s">
        <v>90</v>
      </c>
      <c r="D764" t="s">
        <v>171</v>
      </c>
      <c r="E764">
        <v>58</v>
      </c>
      <c r="F764">
        <v>109</v>
      </c>
      <c r="G764">
        <v>112</v>
      </c>
      <c r="H764">
        <v>48</v>
      </c>
      <c r="I764">
        <v>48</v>
      </c>
      <c r="J764">
        <v>109</v>
      </c>
      <c r="K764">
        <v>484</v>
      </c>
    </row>
    <row r="765" spans="1:11" x14ac:dyDescent="0.25">
      <c r="A765" t="s">
        <v>1809</v>
      </c>
      <c r="B765" t="s">
        <v>1808</v>
      </c>
      <c r="C765" t="s">
        <v>135</v>
      </c>
      <c r="D765" t="s">
        <v>61</v>
      </c>
      <c r="E765">
        <v>52</v>
      </c>
      <c r="F765">
        <v>65</v>
      </c>
      <c r="G765">
        <v>50</v>
      </c>
      <c r="H765">
        <v>45</v>
      </c>
      <c r="I765">
        <v>50</v>
      </c>
      <c r="J765">
        <v>38</v>
      </c>
      <c r="K765">
        <v>300</v>
      </c>
    </row>
    <row r="766" spans="1:11" x14ac:dyDescent="0.25">
      <c r="A766" t="s">
        <v>1811</v>
      </c>
      <c r="B766" t="s">
        <v>1810</v>
      </c>
      <c r="C766" t="s">
        <v>135</v>
      </c>
      <c r="D766" t="s">
        <v>61</v>
      </c>
      <c r="E766">
        <v>72</v>
      </c>
      <c r="F766">
        <v>85</v>
      </c>
      <c r="G766">
        <v>70</v>
      </c>
      <c r="H766">
        <v>65</v>
      </c>
      <c r="I766">
        <v>70</v>
      </c>
      <c r="J766">
        <v>58</v>
      </c>
      <c r="K766">
        <v>420</v>
      </c>
    </row>
    <row r="767" spans="1:11" x14ac:dyDescent="0.25">
      <c r="A767" t="s">
        <v>1813</v>
      </c>
      <c r="B767" t="s">
        <v>1812</v>
      </c>
      <c r="C767" t="s">
        <v>135</v>
      </c>
      <c r="D767" t="s">
        <v>61</v>
      </c>
      <c r="E767">
        <v>92</v>
      </c>
      <c r="F767">
        <v>105</v>
      </c>
      <c r="G767">
        <v>90</v>
      </c>
      <c r="H767">
        <v>125</v>
      </c>
      <c r="I767">
        <v>90</v>
      </c>
      <c r="J767">
        <v>98</v>
      </c>
      <c r="K767">
        <v>600</v>
      </c>
    </row>
    <row r="768" spans="1:11" x14ac:dyDescent="0.25">
      <c r="A768" t="s">
        <v>1815</v>
      </c>
      <c r="B768" t="s">
        <v>1814</v>
      </c>
      <c r="C768" t="s">
        <v>90</v>
      </c>
      <c r="D768" t="s">
        <v>57</v>
      </c>
      <c r="E768">
        <v>55</v>
      </c>
      <c r="F768">
        <v>85</v>
      </c>
      <c r="G768">
        <v>55</v>
      </c>
      <c r="H768">
        <v>50</v>
      </c>
      <c r="I768">
        <v>55</v>
      </c>
      <c r="J768">
        <v>60</v>
      </c>
      <c r="K768">
        <v>360</v>
      </c>
    </row>
    <row r="769" spans="1:11" x14ac:dyDescent="0.25">
      <c r="A769" t="s">
        <v>1817</v>
      </c>
      <c r="B769" t="s">
        <v>1816</v>
      </c>
      <c r="C769" t="s">
        <v>90</v>
      </c>
      <c r="D769" t="s">
        <v>57</v>
      </c>
      <c r="E769">
        <v>85</v>
      </c>
      <c r="F769">
        <v>60</v>
      </c>
      <c r="G769">
        <v>65</v>
      </c>
      <c r="H769">
        <v>135</v>
      </c>
      <c r="I769">
        <v>105</v>
      </c>
      <c r="J769">
        <v>100</v>
      </c>
      <c r="K769">
        <v>550</v>
      </c>
    </row>
    <row r="770" spans="1:11" x14ac:dyDescent="0.25">
      <c r="A770" t="s">
        <v>1819</v>
      </c>
      <c r="B770" t="s">
        <v>1818</v>
      </c>
      <c r="C770" t="s">
        <v>171</v>
      </c>
      <c r="D770" t="s">
        <v>279</v>
      </c>
      <c r="E770">
        <v>91</v>
      </c>
      <c r="F770">
        <v>90</v>
      </c>
      <c r="G770">
        <v>129</v>
      </c>
      <c r="H770">
        <v>90</v>
      </c>
      <c r="I770">
        <v>72</v>
      </c>
      <c r="J770">
        <v>108</v>
      </c>
      <c r="K770">
        <v>580</v>
      </c>
    </row>
    <row r="771" spans="1:11" x14ac:dyDescent="0.25">
      <c r="A771" t="s">
        <v>1821</v>
      </c>
      <c r="B771" t="s">
        <v>1820</v>
      </c>
      <c r="C771" t="s">
        <v>290</v>
      </c>
      <c r="D771" t="s">
        <v>279</v>
      </c>
      <c r="E771">
        <v>91</v>
      </c>
      <c r="F771">
        <v>129</v>
      </c>
      <c r="G771">
        <v>90</v>
      </c>
      <c r="H771">
        <v>72</v>
      </c>
      <c r="I771">
        <v>90</v>
      </c>
      <c r="J771">
        <v>108</v>
      </c>
      <c r="K771">
        <v>580</v>
      </c>
    </row>
    <row r="772" spans="1:11" x14ac:dyDescent="0.25">
      <c r="A772" t="s">
        <v>1823</v>
      </c>
      <c r="B772" t="s">
        <v>1822</v>
      </c>
      <c r="C772" t="s">
        <v>40</v>
      </c>
      <c r="D772" t="s">
        <v>279</v>
      </c>
      <c r="E772">
        <v>91</v>
      </c>
      <c r="F772">
        <v>90</v>
      </c>
      <c r="G772">
        <v>72</v>
      </c>
      <c r="H772">
        <v>90</v>
      </c>
      <c r="I772">
        <v>129</v>
      </c>
      <c r="J772">
        <v>108</v>
      </c>
      <c r="K772">
        <v>580</v>
      </c>
    </row>
    <row r="773" spans="1:11" x14ac:dyDescent="0.25">
      <c r="A773" t="s">
        <v>1826</v>
      </c>
      <c r="B773" t="s">
        <v>1824</v>
      </c>
      <c r="C773" t="s">
        <v>66</v>
      </c>
      <c r="E773">
        <v>79</v>
      </c>
      <c r="F773">
        <v>115</v>
      </c>
      <c r="G773">
        <v>70</v>
      </c>
      <c r="H773">
        <v>125</v>
      </c>
      <c r="I773">
        <v>80</v>
      </c>
      <c r="J773">
        <v>111</v>
      </c>
      <c r="K773">
        <v>580</v>
      </c>
    </row>
    <row r="774" spans="1:11" x14ac:dyDescent="0.25">
      <c r="A774" t="s">
        <v>1828</v>
      </c>
      <c r="B774" t="s">
        <v>1827</v>
      </c>
      <c r="C774" t="s">
        <v>66</v>
      </c>
      <c r="E774">
        <v>79</v>
      </c>
      <c r="F774">
        <v>100</v>
      </c>
      <c r="G774">
        <v>80</v>
      </c>
      <c r="H774">
        <v>110</v>
      </c>
      <c r="I774">
        <v>90</v>
      </c>
      <c r="J774">
        <v>121</v>
      </c>
      <c r="K774">
        <v>580</v>
      </c>
    </row>
    <row r="775" spans="1:11" x14ac:dyDescent="0.25">
      <c r="A775" t="s">
        <v>1831</v>
      </c>
      <c r="B775" t="s">
        <v>1829</v>
      </c>
      <c r="C775" t="s">
        <v>154</v>
      </c>
      <c r="D775" t="s">
        <v>66</v>
      </c>
      <c r="E775">
        <v>79</v>
      </c>
      <c r="F775">
        <v>115</v>
      </c>
      <c r="G775">
        <v>70</v>
      </c>
      <c r="H775">
        <v>125</v>
      </c>
      <c r="I775">
        <v>80</v>
      </c>
      <c r="J775">
        <v>111</v>
      </c>
      <c r="K775">
        <v>580</v>
      </c>
    </row>
    <row r="776" spans="1:11" x14ac:dyDescent="0.25">
      <c r="A776" t="s">
        <v>1833</v>
      </c>
      <c r="B776" t="s">
        <v>1832</v>
      </c>
      <c r="C776" t="s">
        <v>154</v>
      </c>
      <c r="D776" t="s">
        <v>66</v>
      </c>
      <c r="E776">
        <v>79</v>
      </c>
      <c r="F776">
        <v>105</v>
      </c>
      <c r="G776">
        <v>70</v>
      </c>
      <c r="H776">
        <v>145</v>
      </c>
      <c r="I776">
        <v>80</v>
      </c>
      <c r="J776">
        <v>101</v>
      </c>
      <c r="K776">
        <v>580</v>
      </c>
    </row>
    <row r="777" spans="1:11" x14ac:dyDescent="0.25">
      <c r="A777" t="s">
        <v>1835</v>
      </c>
      <c r="B777" t="s">
        <v>1834</v>
      </c>
      <c r="C777" t="s">
        <v>61</v>
      </c>
      <c r="D777" t="s">
        <v>57</v>
      </c>
      <c r="E777">
        <v>100</v>
      </c>
      <c r="F777">
        <v>120</v>
      </c>
      <c r="G777">
        <v>100</v>
      </c>
      <c r="H777">
        <v>150</v>
      </c>
      <c r="I777">
        <v>120</v>
      </c>
      <c r="J777">
        <v>90</v>
      </c>
      <c r="K777">
        <v>680</v>
      </c>
    </row>
    <row r="778" spans="1:11" x14ac:dyDescent="0.25">
      <c r="A778" t="s">
        <v>1838</v>
      </c>
      <c r="B778" t="s">
        <v>1837</v>
      </c>
      <c r="C778" t="s">
        <v>61</v>
      </c>
      <c r="D778" t="s">
        <v>154</v>
      </c>
      <c r="E778">
        <v>100</v>
      </c>
      <c r="F778">
        <v>150</v>
      </c>
      <c r="G778">
        <v>120</v>
      </c>
      <c r="H778">
        <v>120</v>
      </c>
      <c r="I778">
        <v>100</v>
      </c>
      <c r="J778">
        <v>90</v>
      </c>
      <c r="K778">
        <v>680</v>
      </c>
    </row>
    <row r="779" spans="1:11" x14ac:dyDescent="0.25">
      <c r="A779" t="s">
        <v>1842</v>
      </c>
      <c r="B779" t="s">
        <v>1840</v>
      </c>
      <c r="C779" t="s">
        <v>132</v>
      </c>
      <c r="D779" t="s">
        <v>66</v>
      </c>
      <c r="E779">
        <v>89</v>
      </c>
      <c r="F779">
        <v>125</v>
      </c>
      <c r="G779">
        <v>90</v>
      </c>
      <c r="H779">
        <v>115</v>
      </c>
      <c r="I779">
        <v>80</v>
      </c>
      <c r="J779">
        <v>101</v>
      </c>
      <c r="K779">
        <v>600</v>
      </c>
    </row>
    <row r="780" spans="1:11" x14ac:dyDescent="0.25">
      <c r="A780" t="s">
        <v>1844</v>
      </c>
      <c r="B780" t="s">
        <v>1843</v>
      </c>
      <c r="C780" t="s">
        <v>132</v>
      </c>
      <c r="D780" t="s">
        <v>66</v>
      </c>
      <c r="E780">
        <v>89</v>
      </c>
      <c r="F780">
        <v>145</v>
      </c>
      <c r="G780">
        <v>90</v>
      </c>
      <c r="H780">
        <v>105</v>
      </c>
      <c r="I780">
        <v>80</v>
      </c>
      <c r="J780">
        <v>91</v>
      </c>
      <c r="K780">
        <v>600</v>
      </c>
    </row>
    <row r="781" spans="1:11" x14ac:dyDescent="0.25">
      <c r="A781" t="s">
        <v>1846</v>
      </c>
      <c r="B781" t="s">
        <v>1845</v>
      </c>
      <c r="C781" t="s">
        <v>61</v>
      </c>
      <c r="D781" t="s">
        <v>170</v>
      </c>
      <c r="E781">
        <v>125</v>
      </c>
      <c r="F781">
        <v>130</v>
      </c>
      <c r="G781">
        <v>90</v>
      </c>
      <c r="H781">
        <v>130</v>
      </c>
      <c r="I781">
        <v>90</v>
      </c>
      <c r="J781">
        <v>95</v>
      </c>
      <c r="K781">
        <v>660</v>
      </c>
    </row>
    <row r="782" spans="1:11" x14ac:dyDescent="0.25">
      <c r="A782" t="s">
        <v>1848</v>
      </c>
      <c r="B782" t="s">
        <v>1847</v>
      </c>
      <c r="C782" t="s">
        <v>61</v>
      </c>
      <c r="D782" t="s">
        <v>170</v>
      </c>
      <c r="E782">
        <v>125</v>
      </c>
      <c r="F782">
        <v>120</v>
      </c>
      <c r="G782">
        <v>90</v>
      </c>
      <c r="H782">
        <v>170</v>
      </c>
      <c r="I782">
        <v>100</v>
      </c>
      <c r="J782">
        <v>95</v>
      </c>
      <c r="K782">
        <v>700</v>
      </c>
    </row>
    <row r="783" spans="1:11" x14ac:dyDescent="0.25">
      <c r="A783" t="s">
        <v>1850</v>
      </c>
      <c r="B783" t="s">
        <v>1849</v>
      </c>
      <c r="C783" t="s">
        <v>61</v>
      </c>
      <c r="D783" t="s">
        <v>170</v>
      </c>
      <c r="E783">
        <v>125</v>
      </c>
      <c r="F783">
        <v>170</v>
      </c>
      <c r="G783">
        <v>100</v>
      </c>
      <c r="H783">
        <v>120</v>
      </c>
      <c r="I783">
        <v>90</v>
      </c>
      <c r="J783">
        <v>95</v>
      </c>
      <c r="K783">
        <v>700</v>
      </c>
    </row>
    <row r="784" spans="1:11" x14ac:dyDescent="0.25">
      <c r="A784" t="s">
        <v>1853</v>
      </c>
      <c r="B784" t="s">
        <v>1851</v>
      </c>
      <c r="C784" t="s">
        <v>76</v>
      </c>
      <c r="D784" t="s">
        <v>279</v>
      </c>
      <c r="E784">
        <v>91</v>
      </c>
      <c r="F784">
        <v>72</v>
      </c>
      <c r="G784">
        <v>90</v>
      </c>
      <c r="H784">
        <v>129</v>
      </c>
      <c r="I784">
        <v>90</v>
      </c>
      <c r="J784">
        <v>108</v>
      </c>
      <c r="K784">
        <v>580</v>
      </c>
    </row>
    <row r="785" spans="1:11" x14ac:dyDescent="0.25">
      <c r="A785" t="s">
        <v>1855</v>
      </c>
      <c r="B785" t="s">
        <v>1854</v>
      </c>
      <c r="C785" t="s">
        <v>76</v>
      </c>
      <c r="D785" t="s">
        <v>279</v>
      </c>
      <c r="E785">
        <v>91</v>
      </c>
      <c r="F785">
        <v>72</v>
      </c>
      <c r="G785">
        <v>90</v>
      </c>
      <c r="H785">
        <v>129</v>
      </c>
      <c r="I785">
        <v>90</v>
      </c>
      <c r="J785">
        <v>108</v>
      </c>
      <c r="K785">
        <v>580</v>
      </c>
    </row>
    <row r="786" spans="1:11" x14ac:dyDescent="0.25">
      <c r="A786" t="s">
        <v>1858</v>
      </c>
      <c r="B786" t="s">
        <v>1856</v>
      </c>
      <c r="C786" t="s">
        <v>116</v>
      </c>
      <c r="D786" t="s">
        <v>162</v>
      </c>
      <c r="E786">
        <v>100</v>
      </c>
      <c r="F786">
        <v>77</v>
      </c>
      <c r="G786">
        <v>77</v>
      </c>
      <c r="H786">
        <v>128</v>
      </c>
      <c r="I786">
        <v>128</v>
      </c>
      <c r="J786">
        <v>90</v>
      </c>
      <c r="K786">
        <v>600</v>
      </c>
    </row>
    <row r="787" spans="1:11" x14ac:dyDescent="0.25">
      <c r="A787" t="s">
        <v>1860</v>
      </c>
      <c r="B787" t="s">
        <v>1859</v>
      </c>
      <c r="C787" t="s">
        <v>116</v>
      </c>
      <c r="D787" t="s">
        <v>279</v>
      </c>
      <c r="E787">
        <v>100</v>
      </c>
      <c r="F787">
        <v>128</v>
      </c>
      <c r="G787">
        <v>90</v>
      </c>
      <c r="H787">
        <v>77</v>
      </c>
      <c r="I787">
        <v>77</v>
      </c>
      <c r="J787">
        <v>128</v>
      </c>
      <c r="K787">
        <v>600</v>
      </c>
    </row>
    <row r="788" spans="1:11" x14ac:dyDescent="0.25">
      <c r="A788" t="s">
        <v>1862</v>
      </c>
      <c r="B788" t="s">
        <v>1861</v>
      </c>
      <c r="C788" t="s">
        <v>90</v>
      </c>
      <c r="D788" t="s">
        <v>171</v>
      </c>
      <c r="E788">
        <v>71</v>
      </c>
      <c r="F788">
        <v>120</v>
      </c>
      <c r="G788">
        <v>95</v>
      </c>
      <c r="H788">
        <v>120</v>
      </c>
      <c r="I788">
        <v>95</v>
      </c>
      <c r="J788">
        <v>99</v>
      </c>
      <c r="K788">
        <v>600</v>
      </c>
    </row>
    <row r="789" spans="1:11" x14ac:dyDescent="0.25">
      <c r="A789" t="s">
        <v>1864</v>
      </c>
      <c r="B789" t="s">
        <v>1863</v>
      </c>
      <c r="C789" t="s">
        <v>40</v>
      </c>
      <c r="E789">
        <v>56</v>
      </c>
      <c r="F789">
        <v>61</v>
      </c>
      <c r="G789">
        <v>65</v>
      </c>
      <c r="H789">
        <v>48</v>
      </c>
      <c r="I789">
        <v>45</v>
      </c>
      <c r="J789">
        <v>38</v>
      </c>
      <c r="K789">
        <v>313</v>
      </c>
    </row>
    <row r="790" spans="1:11" x14ac:dyDescent="0.25">
      <c r="A790" t="s">
        <v>1867</v>
      </c>
      <c r="B790" t="s">
        <v>1866</v>
      </c>
      <c r="C790" t="s">
        <v>40</v>
      </c>
      <c r="E790">
        <v>61</v>
      </c>
      <c r="F790">
        <v>78</v>
      </c>
      <c r="G790">
        <v>95</v>
      </c>
      <c r="H790">
        <v>56</v>
      </c>
      <c r="I790">
        <v>58</v>
      </c>
      <c r="J790">
        <v>57</v>
      </c>
      <c r="K790">
        <v>405</v>
      </c>
    </row>
    <row r="791" spans="1:11" x14ac:dyDescent="0.25">
      <c r="A791" t="s">
        <v>1869</v>
      </c>
      <c r="B791" t="s">
        <v>1868</v>
      </c>
      <c r="C791" t="s">
        <v>40</v>
      </c>
      <c r="D791" t="s">
        <v>279</v>
      </c>
      <c r="E791">
        <v>88</v>
      </c>
      <c r="F791">
        <v>107</v>
      </c>
      <c r="G791">
        <v>122</v>
      </c>
      <c r="H791">
        <v>74</v>
      </c>
      <c r="I791">
        <v>75</v>
      </c>
      <c r="J791">
        <v>64</v>
      </c>
      <c r="K791">
        <v>530</v>
      </c>
    </row>
    <row r="792" spans="1:11" x14ac:dyDescent="0.25">
      <c r="A792" t="s">
        <v>1871</v>
      </c>
      <c r="B792" t="s">
        <v>1870</v>
      </c>
      <c r="C792" t="s">
        <v>57</v>
      </c>
      <c r="E792">
        <v>40</v>
      </c>
      <c r="F792">
        <v>45</v>
      </c>
      <c r="G792">
        <v>40</v>
      </c>
      <c r="H792">
        <v>62</v>
      </c>
      <c r="I792">
        <v>60</v>
      </c>
      <c r="J792">
        <v>60</v>
      </c>
      <c r="K792">
        <v>307</v>
      </c>
    </row>
    <row r="793" spans="1:11" x14ac:dyDescent="0.25">
      <c r="A793" t="s">
        <v>1874</v>
      </c>
      <c r="B793" t="s">
        <v>1873</v>
      </c>
      <c r="C793" t="s">
        <v>57</v>
      </c>
      <c r="E793">
        <v>59</v>
      </c>
      <c r="F793">
        <v>59</v>
      </c>
      <c r="G793">
        <v>58</v>
      </c>
      <c r="H793">
        <v>90</v>
      </c>
      <c r="I793">
        <v>70</v>
      </c>
      <c r="J793">
        <v>73</v>
      </c>
      <c r="K793">
        <v>409</v>
      </c>
    </row>
    <row r="794" spans="1:11" x14ac:dyDescent="0.25">
      <c r="A794" t="s">
        <v>1876</v>
      </c>
      <c r="B794" t="s">
        <v>1875</v>
      </c>
      <c r="C794" t="s">
        <v>57</v>
      </c>
      <c r="D794" t="s">
        <v>162</v>
      </c>
      <c r="E794">
        <v>75</v>
      </c>
      <c r="F794">
        <v>69</v>
      </c>
      <c r="G794">
        <v>72</v>
      </c>
      <c r="H794">
        <v>114</v>
      </c>
      <c r="I794">
        <v>100</v>
      </c>
      <c r="J794">
        <v>104</v>
      </c>
      <c r="K794">
        <v>534</v>
      </c>
    </row>
    <row r="795" spans="1:11" x14ac:dyDescent="0.25">
      <c r="A795" t="s">
        <v>1878</v>
      </c>
      <c r="B795" t="s">
        <v>1877</v>
      </c>
      <c r="C795" t="s">
        <v>76</v>
      </c>
      <c r="E795">
        <v>41</v>
      </c>
      <c r="F795">
        <v>56</v>
      </c>
      <c r="G795">
        <v>40</v>
      </c>
      <c r="H795">
        <v>62</v>
      </c>
      <c r="I795">
        <v>44</v>
      </c>
      <c r="J795">
        <v>71</v>
      </c>
      <c r="K795">
        <v>314</v>
      </c>
    </row>
    <row r="796" spans="1:11" x14ac:dyDescent="0.25">
      <c r="A796" t="s">
        <v>1880</v>
      </c>
      <c r="B796" t="s">
        <v>1879</v>
      </c>
      <c r="C796" t="s">
        <v>76</v>
      </c>
      <c r="E796">
        <v>54</v>
      </c>
      <c r="F796">
        <v>63</v>
      </c>
      <c r="G796">
        <v>52</v>
      </c>
      <c r="H796">
        <v>83</v>
      </c>
      <c r="I796">
        <v>56</v>
      </c>
      <c r="J796">
        <v>97</v>
      </c>
      <c r="K796">
        <v>405</v>
      </c>
    </row>
    <row r="797" spans="1:11" x14ac:dyDescent="0.25">
      <c r="A797" t="s">
        <v>1882</v>
      </c>
      <c r="B797" t="s">
        <v>1881</v>
      </c>
      <c r="C797" t="s">
        <v>76</v>
      </c>
      <c r="D797" t="s">
        <v>135</v>
      </c>
      <c r="E797">
        <v>72</v>
      </c>
      <c r="F797">
        <v>95</v>
      </c>
      <c r="G797">
        <v>67</v>
      </c>
      <c r="H797">
        <v>103</v>
      </c>
      <c r="I797">
        <v>71</v>
      </c>
      <c r="J797">
        <v>122</v>
      </c>
      <c r="K797">
        <v>530</v>
      </c>
    </row>
    <row r="798" spans="1:11" x14ac:dyDescent="0.25">
      <c r="A798" t="s">
        <v>1884</v>
      </c>
      <c r="B798" t="s">
        <v>1883</v>
      </c>
      <c r="C798" t="s">
        <v>76</v>
      </c>
      <c r="D798" t="s">
        <v>135</v>
      </c>
      <c r="E798">
        <v>72</v>
      </c>
      <c r="F798">
        <v>145</v>
      </c>
      <c r="G798">
        <v>67</v>
      </c>
      <c r="H798">
        <v>153</v>
      </c>
      <c r="I798">
        <v>71</v>
      </c>
      <c r="J798">
        <v>132</v>
      </c>
      <c r="K798">
        <v>640</v>
      </c>
    </row>
    <row r="799" spans="1:11" x14ac:dyDescent="0.25">
      <c r="A799" t="s">
        <v>1887</v>
      </c>
      <c r="B799" t="s">
        <v>1886</v>
      </c>
      <c r="C799" t="s">
        <v>116</v>
      </c>
      <c r="E799">
        <v>38</v>
      </c>
      <c r="F799">
        <v>36</v>
      </c>
      <c r="G799">
        <v>38</v>
      </c>
      <c r="H799">
        <v>32</v>
      </c>
      <c r="I799">
        <v>36</v>
      </c>
      <c r="J799">
        <v>57</v>
      </c>
      <c r="K799">
        <v>237</v>
      </c>
    </row>
    <row r="800" spans="1:11" x14ac:dyDescent="0.25">
      <c r="A800" t="s">
        <v>1890</v>
      </c>
      <c r="B800" t="s">
        <v>1889</v>
      </c>
      <c r="C800" t="s">
        <v>116</v>
      </c>
      <c r="D800" t="s">
        <v>132</v>
      </c>
      <c r="E800">
        <v>85</v>
      </c>
      <c r="F800">
        <v>56</v>
      </c>
      <c r="G800">
        <v>77</v>
      </c>
      <c r="H800">
        <v>50</v>
      </c>
      <c r="I800">
        <v>77</v>
      </c>
      <c r="J800">
        <v>78</v>
      </c>
      <c r="K800">
        <v>423</v>
      </c>
    </row>
    <row r="801" spans="1:11" x14ac:dyDescent="0.25">
      <c r="A801" t="s">
        <v>1892</v>
      </c>
      <c r="B801" t="s">
        <v>1891</v>
      </c>
      <c r="C801" t="s">
        <v>116</v>
      </c>
      <c r="D801" t="s">
        <v>66</v>
      </c>
      <c r="E801">
        <v>45</v>
      </c>
      <c r="F801">
        <v>50</v>
      </c>
      <c r="G801">
        <v>43</v>
      </c>
      <c r="H801">
        <v>40</v>
      </c>
      <c r="I801">
        <v>38</v>
      </c>
      <c r="J801">
        <v>62</v>
      </c>
      <c r="K801">
        <v>278</v>
      </c>
    </row>
    <row r="802" spans="1:11" x14ac:dyDescent="0.25">
      <c r="A802" t="s">
        <v>1895</v>
      </c>
      <c r="B802" t="s">
        <v>1894</v>
      </c>
      <c r="C802" t="s">
        <v>57</v>
      </c>
      <c r="D802" t="s">
        <v>66</v>
      </c>
      <c r="E802">
        <v>62</v>
      </c>
      <c r="F802">
        <v>73</v>
      </c>
      <c r="G802">
        <v>55</v>
      </c>
      <c r="H802">
        <v>56</v>
      </c>
      <c r="I802">
        <v>52</v>
      </c>
      <c r="J802">
        <v>84</v>
      </c>
      <c r="K802">
        <v>382</v>
      </c>
    </row>
    <row r="803" spans="1:11" x14ac:dyDescent="0.25">
      <c r="A803" t="s">
        <v>1897</v>
      </c>
      <c r="B803" t="s">
        <v>1896</v>
      </c>
      <c r="C803" t="s">
        <v>57</v>
      </c>
      <c r="D803" t="s">
        <v>66</v>
      </c>
      <c r="E803">
        <v>78</v>
      </c>
      <c r="F803">
        <v>81</v>
      </c>
      <c r="G803">
        <v>71</v>
      </c>
      <c r="H803">
        <v>74</v>
      </c>
      <c r="I803">
        <v>69</v>
      </c>
      <c r="J803">
        <v>126</v>
      </c>
      <c r="K803">
        <v>499</v>
      </c>
    </row>
    <row r="804" spans="1:11" x14ac:dyDescent="0.25">
      <c r="A804" t="s">
        <v>1899</v>
      </c>
      <c r="B804" t="s">
        <v>1898</v>
      </c>
      <c r="C804" t="s">
        <v>90</v>
      </c>
      <c r="E804">
        <v>38</v>
      </c>
      <c r="F804">
        <v>35</v>
      </c>
      <c r="G804">
        <v>40</v>
      </c>
      <c r="H804">
        <v>27</v>
      </c>
      <c r="I804">
        <v>25</v>
      </c>
      <c r="J804">
        <v>35</v>
      </c>
      <c r="K804">
        <v>200</v>
      </c>
    </row>
    <row r="805" spans="1:11" x14ac:dyDescent="0.25">
      <c r="A805" t="s">
        <v>1901</v>
      </c>
      <c r="B805" t="s">
        <v>1900</v>
      </c>
      <c r="C805" t="s">
        <v>90</v>
      </c>
      <c r="E805">
        <v>45</v>
      </c>
      <c r="F805">
        <v>22</v>
      </c>
      <c r="G805">
        <v>60</v>
      </c>
      <c r="H805">
        <v>27</v>
      </c>
      <c r="I805">
        <v>30</v>
      </c>
      <c r="J805">
        <v>29</v>
      </c>
      <c r="K805">
        <v>213</v>
      </c>
    </row>
    <row r="806" spans="1:11" x14ac:dyDescent="0.25">
      <c r="A806" t="s">
        <v>1903</v>
      </c>
      <c r="B806" t="s">
        <v>1902</v>
      </c>
      <c r="C806" t="s">
        <v>90</v>
      </c>
      <c r="D806" t="s">
        <v>66</v>
      </c>
      <c r="E806">
        <v>80</v>
      </c>
      <c r="F806">
        <v>52</v>
      </c>
      <c r="G806">
        <v>50</v>
      </c>
      <c r="H806">
        <v>90</v>
      </c>
      <c r="I806">
        <v>50</v>
      </c>
      <c r="J806">
        <v>89</v>
      </c>
      <c r="K806">
        <v>411</v>
      </c>
    </row>
    <row r="807" spans="1:11" x14ac:dyDescent="0.25">
      <c r="A807" t="s">
        <v>1905</v>
      </c>
      <c r="B807" t="s">
        <v>1904</v>
      </c>
      <c r="C807" t="s">
        <v>57</v>
      </c>
      <c r="D807" t="s">
        <v>116</v>
      </c>
      <c r="E807">
        <v>62</v>
      </c>
      <c r="F807">
        <v>50</v>
      </c>
      <c r="G807">
        <v>58</v>
      </c>
      <c r="H807">
        <v>73</v>
      </c>
      <c r="I807">
        <v>54</v>
      </c>
      <c r="J807">
        <v>72</v>
      </c>
      <c r="K807">
        <v>369</v>
      </c>
    </row>
    <row r="808" spans="1:11" x14ac:dyDescent="0.25">
      <c r="A808" t="s">
        <v>1907</v>
      </c>
      <c r="B808" t="s">
        <v>1906</v>
      </c>
      <c r="C808" t="s">
        <v>57</v>
      </c>
      <c r="D808" t="s">
        <v>116</v>
      </c>
      <c r="E808">
        <v>86</v>
      </c>
      <c r="F808">
        <v>68</v>
      </c>
      <c r="G808">
        <v>72</v>
      </c>
      <c r="H808">
        <v>109</v>
      </c>
      <c r="I808">
        <v>66</v>
      </c>
      <c r="J808">
        <v>106</v>
      </c>
      <c r="K808">
        <v>507</v>
      </c>
    </row>
    <row r="809" spans="1:11" x14ac:dyDescent="0.25">
      <c r="A809" t="s">
        <v>1909</v>
      </c>
      <c r="B809" t="s">
        <v>1908</v>
      </c>
      <c r="C809" t="s">
        <v>157</v>
      </c>
      <c r="E809">
        <v>44</v>
      </c>
      <c r="F809">
        <v>38</v>
      </c>
      <c r="G809">
        <v>39</v>
      </c>
      <c r="H809">
        <v>61</v>
      </c>
      <c r="I809">
        <v>79</v>
      </c>
      <c r="J809">
        <v>42</v>
      </c>
      <c r="K809">
        <v>303</v>
      </c>
    </row>
    <row r="810" spans="1:11" x14ac:dyDescent="0.25">
      <c r="A810" t="s">
        <v>1913</v>
      </c>
      <c r="B810" t="s">
        <v>1912</v>
      </c>
      <c r="C810" t="s">
        <v>157</v>
      </c>
      <c r="E810">
        <v>54</v>
      </c>
      <c r="F810">
        <v>45</v>
      </c>
      <c r="G810">
        <v>47</v>
      </c>
      <c r="H810">
        <v>75</v>
      </c>
      <c r="I810">
        <v>98</v>
      </c>
      <c r="J810">
        <v>52</v>
      </c>
      <c r="K810">
        <v>371</v>
      </c>
    </row>
    <row r="811" spans="1:11" x14ac:dyDescent="0.25">
      <c r="A811" t="s">
        <v>1915</v>
      </c>
      <c r="B811" t="s">
        <v>1914</v>
      </c>
      <c r="C811" t="s">
        <v>157</v>
      </c>
      <c r="E811">
        <v>78</v>
      </c>
      <c r="F811">
        <v>65</v>
      </c>
      <c r="G811">
        <v>68</v>
      </c>
      <c r="H811">
        <v>112</v>
      </c>
      <c r="I811">
        <v>154</v>
      </c>
      <c r="J811">
        <v>75</v>
      </c>
      <c r="K811">
        <v>552</v>
      </c>
    </row>
    <row r="812" spans="1:11" x14ac:dyDescent="0.25">
      <c r="A812" t="s">
        <v>1917</v>
      </c>
      <c r="B812" t="s">
        <v>1916</v>
      </c>
      <c r="C812" t="s">
        <v>40</v>
      </c>
      <c r="E812">
        <v>66</v>
      </c>
      <c r="F812">
        <v>65</v>
      </c>
      <c r="G812">
        <v>48</v>
      </c>
      <c r="H812">
        <v>62</v>
      </c>
      <c r="I812">
        <v>57</v>
      </c>
      <c r="J812">
        <v>52</v>
      </c>
      <c r="K812">
        <v>350</v>
      </c>
    </row>
    <row r="813" spans="1:11" x14ac:dyDescent="0.25">
      <c r="A813" t="s">
        <v>1920</v>
      </c>
      <c r="B813" t="s">
        <v>1919</v>
      </c>
      <c r="C813" t="s">
        <v>40</v>
      </c>
      <c r="E813">
        <v>123</v>
      </c>
      <c r="F813">
        <v>100</v>
      </c>
      <c r="G813">
        <v>62</v>
      </c>
      <c r="H813">
        <v>97</v>
      </c>
      <c r="I813">
        <v>81</v>
      </c>
      <c r="J813">
        <v>68</v>
      </c>
      <c r="K813">
        <v>531</v>
      </c>
    </row>
    <row r="814" spans="1:11" x14ac:dyDescent="0.25">
      <c r="A814" t="s">
        <v>1922</v>
      </c>
      <c r="B814" t="s">
        <v>1921</v>
      </c>
      <c r="C814" t="s">
        <v>279</v>
      </c>
      <c r="E814">
        <v>67</v>
      </c>
      <c r="F814">
        <v>82</v>
      </c>
      <c r="G814">
        <v>62</v>
      </c>
      <c r="H814">
        <v>46</v>
      </c>
      <c r="I814">
        <v>48</v>
      </c>
      <c r="J814">
        <v>43</v>
      </c>
      <c r="K814">
        <v>348</v>
      </c>
    </row>
    <row r="815" spans="1:11" x14ac:dyDescent="0.25">
      <c r="A815" t="s">
        <v>1924</v>
      </c>
      <c r="B815" t="s">
        <v>1923</v>
      </c>
      <c r="C815" t="s">
        <v>279</v>
      </c>
      <c r="D815" t="s">
        <v>135</v>
      </c>
      <c r="E815">
        <v>95</v>
      </c>
      <c r="F815">
        <v>124</v>
      </c>
      <c r="G815">
        <v>78</v>
      </c>
      <c r="H815">
        <v>69</v>
      </c>
      <c r="I815">
        <v>71</v>
      </c>
      <c r="J815">
        <v>58</v>
      </c>
      <c r="K815">
        <v>495</v>
      </c>
    </row>
    <row r="816" spans="1:11" x14ac:dyDescent="0.25">
      <c r="A816" t="s">
        <v>1926</v>
      </c>
      <c r="B816" t="s">
        <v>1925</v>
      </c>
      <c r="C816" t="s">
        <v>116</v>
      </c>
      <c r="E816">
        <v>75</v>
      </c>
      <c r="F816">
        <v>80</v>
      </c>
      <c r="G816">
        <v>60</v>
      </c>
      <c r="H816">
        <v>65</v>
      </c>
      <c r="I816">
        <v>90</v>
      </c>
      <c r="J816">
        <v>102</v>
      </c>
      <c r="K816">
        <v>472</v>
      </c>
    </row>
    <row r="817" spans="1:11" x14ac:dyDescent="0.25">
      <c r="A817" t="s">
        <v>1928</v>
      </c>
      <c r="B817" t="s">
        <v>1927</v>
      </c>
      <c r="C817" t="s">
        <v>162</v>
      </c>
      <c r="E817">
        <v>62</v>
      </c>
      <c r="F817">
        <v>48</v>
      </c>
      <c r="G817">
        <v>54</v>
      </c>
      <c r="H817">
        <v>63</v>
      </c>
      <c r="I817">
        <v>60</v>
      </c>
      <c r="J817">
        <v>68</v>
      </c>
      <c r="K817">
        <v>355</v>
      </c>
    </row>
    <row r="818" spans="1:11" x14ac:dyDescent="0.25">
      <c r="A818" t="s">
        <v>1931</v>
      </c>
      <c r="B818" t="s">
        <v>1929</v>
      </c>
      <c r="C818" t="s">
        <v>162</v>
      </c>
      <c r="E818">
        <v>74</v>
      </c>
      <c r="F818">
        <v>48</v>
      </c>
      <c r="G818">
        <v>76</v>
      </c>
      <c r="H818">
        <v>83</v>
      </c>
      <c r="I818">
        <v>81</v>
      </c>
      <c r="J818">
        <v>104</v>
      </c>
      <c r="K818">
        <v>466</v>
      </c>
    </row>
    <row r="819" spans="1:11" x14ac:dyDescent="0.25">
      <c r="A819" t="s">
        <v>1933</v>
      </c>
      <c r="B819" t="s">
        <v>1932</v>
      </c>
      <c r="C819" t="s">
        <v>162</v>
      </c>
      <c r="E819">
        <v>74</v>
      </c>
      <c r="F819">
        <v>48</v>
      </c>
      <c r="G819">
        <v>76</v>
      </c>
      <c r="H819">
        <v>83</v>
      </c>
      <c r="I819">
        <v>81</v>
      </c>
      <c r="J819">
        <v>104</v>
      </c>
      <c r="K819">
        <v>466</v>
      </c>
    </row>
    <row r="820" spans="1:11" x14ac:dyDescent="0.25">
      <c r="A820" t="s">
        <v>1935</v>
      </c>
      <c r="B820" t="s">
        <v>1934</v>
      </c>
      <c r="C820" t="s">
        <v>171</v>
      </c>
      <c r="D820" t="s">
        <v>419</v>
      </c>
      <c r="E820">
        <v>45</v>
      </c>
      <c r="F820">
        <v>80</v>
      </c>
      <c r="G820">
        <v>100</v>
      </c>
      <c r="H820">
        <v>35</v>
      </c>
      <c r="I820">
        <v>37</v>
      </c>
      <c r="J820">
        <v>28</v>
      </c>
      <c r="K820">
        <v>325</v>
      </c>
    </row>
    <row r="821" spans="1:11" x14ac:dyDescent="0.25">
      <c r="A821" t="s">
        <v>1937</v>
      </c>
      <c r="B821" t="s">
        <v>1936</v>
      </c>
      <c r="C821" t="s">
        <v>171</v>
      </c>
      <c r="D821" t="s">
        <v>419</v>
      </c>
      <c r="E821">
        <v>59</v>
      </c>
      <c r="F821">
        <v>110</v>
      </c>
      <c r="G821">
        <v>150</v>
      </c>
      <c r="H821">
        <v>45</v>
      </c>
      <c r="I821">
        <v>49</v>
      </c>
      <c r="J821">
        <v>35</v>
      </c>
      <c r="K821">
        <v>448</v>
      </c>
    </row>
    <row r="822" spans="1:11" x14ac:dyDescent="0.25">
      <c r="A822" t="s">
        <v>1940</v>
      </c>
      <c r="B822" t="s">
        <v>1938</v>
      </c>
      <c r="C822" t="s">
        <v>171</v>
      </c>
      <c r="D822" t="s">
        <v>419</v>
      </c>
      <c r="E822">
        <v>60</v>
      </c>
      <c r="F822">
        <v>50</v>
      </c>
      <c r="G822">
        <v>140</v>
      </c>
      <c r="H822">
        <v>50</v>
      </c>
      <c r="I822">
        <v>140</v>
      </c>
      <c r="J822">
        <v>60</v>
      </c>
      <c r="K822">
        <v>500</v>
      </c>
    </row>
    <row r="823" spans="1:11" x14ac:dyDescent="0.25">
      <c r="A823" t="s">
        <v>1943</v>
      </c>
      <c r="B823" t="s">
        <v>1942</v>
      </c>
      <c r="C823" t="s">
        <v>171</v>
      </c>
      <c r="D823" t="s">
        <v>419</v>
      </c>
      <c r="E823">
        <v>60</v>
      </c>
      <c r="F823">
        <v>140</v>
      </c>
      <c r="G823">
        <v>50</v>
      </c>
      <c r="H823">
        <v>140</v>
      </c>
      <c r="I823">
        <v>50</v>
      </c>
      <c r="J823">
        <v>60</v>
      </c>
      <c r="K823">
        <v>500</v>
      </c>
    </row>
    <row r="824" spans="1:11" x14ac:dyDescent="0.25">
      <c r="A824" t="s">
        <v>1945</v>
      </c>
      <c r="B824" t="s">
        <v>1944</v>
      </c>
      <c r="C824" t="s">
        <v>157</v>
      </c>
      <c r="E824">
        <v>78</v>
      </c>
      <c r="F824">
        <v>52</v>
      </c>
      <c r="G824">
        <v>60</v>
      </c>
      <c r="H824">
        <v>63</v>
      </c>
      <c r="I824">
        <v>65</v>
      </c>
      <c r="J824">
        <v>23</v>
      </c>
      <c r="K824">
        <v>341</v>
      </c>
    </row>
    <row r="825" spans="1:11" x14ac:dyDescent="0.25">
      <c r="A825" t="s">
        <v>1948</v>
      </c>
      <c r="B825" t="s">
        <v>1947</v>
      </c>
      <c r="C825" t="s">
        <v>157</v>
      </c>
      <c r="E825">
        <v>101</v>
      </c>
      <c r="F825">
        <v>72</v>
      </c>
      <c r="G825">
        <v>72</v>
      </c>
      <c r="H825">
        <v>99</v>
      </c>
      <c r="I825">
        <v>89</v>
      </c>
      <c r="J825">
        <v>29</v>
      </c>
      <c r="K825">
        <v>462</v>
      </c>
    </row>
    <row r="826" spans="1:11" x14ac:dyDescent="0.25">
      <c r="A826" t="s">
        <v>1950</v>
      </c>
      <c r="B826" t="s">
        <v>1949</v>
      </c>
      <c r="C826" t="s">
        <v>157</v>
      </c>
      <c r="E826">
        <v>62</v>
      </c>
      <c r="F826">
        <v>48</v>
      </c>
      <c r="G826">
        <v>66</v>
      </c>
      <c r="H826">
        <v>59</v>
      </c>
      <c r="I826">
        <v>57</v>
      </c>
      <c r="J826">
        <v>49</v>
      </c>
      <c r="K826">
        <v>341</v>
      </c>
    </row>
    <row r="827" spans="1:11" x14ac:dyDescent="0.25">
      <c r="A827" t="s">
        <v>1953</v>
      </c>
      <c r="B827" t="s">
        <v>1952</v>
      </c>
      <c r="C827" t="s">
        <v>157</v>
      </c>
      <c r="E827">
        <v>82</v>
      </c>
      <c r="F827">
        <v>80</v>
      </c>
      <c r="G827">
        <v>86</v>
      </c>
      <c r="H827">
        <v>85</v>
      </c>
      <c r="I827">
        <v>75</v>
      </c>
      <c r="J827">
        <v>72</v>
      </c>
      <c r="K827">
        <v>480</v>
      </c>
    </row>
    <row r="828" spans="1:11" x14ac:dyDescent="0.25">
      <c r="A828" t="s">
        <v>1955</v>
      </c>
      <c r="B828" t="s">
        <v>1954</v>
      </c>
      <c r="C828" t="s">
        <v>135</v>
      </c>
      <c r="D828" t="s">
        <v>162</v>
      </c>
      <c r="E828">
        <v>53</v>
      </c>
      <c r="F828">
        <v>54</v>
      </c>
      <c r="G828">
        <v>53</v>
      </c>
      <c r="H828">
        <v>37</v>
      </c>
      <c r="I828">
        <v>46</v>
      </c>
      <c r="J828">
        <v>45</v>
      </c>
      <c r="K828">
        <v>288</v>
      </c>
    </row>
    <row r="829" spans="1:11" x14ac:dyDescent="0.25">
      <c r="A829" t="s">
        <v>1957</v>
      </c>
      <c r="B829" t="s">
        <v>1956</v>
      </c>
      <c r="C829" t="s">
        <v>135</v>
      </c>
      <c r="D829" t="s">
        <v>162</v>
      </c>
      <c r="E829">
        <v>86</v>
      </c>
      <c r="F829">
        <v>92</v>
      </c>
      <c r="G829">
        <v>88</v>
      </c>
      <c r="H829">
        <v>68</v>
      </c>
      <c r="I829">
        <v>75</v>
      </c>
      <c r="J829">
        <v>73</v>
      </c>
      <c r="K829">
        <v>482</v>
      </c>
    </row>
    <row r="830" spans="1:11" x14ac:dyDescent="0.25">
      <c r="A830" t="s">
        <v>1959</v>
      </c>
      <c r="B830" t="s">
        <v>1958</v>
      </c>
      <c r="C830" t="s">
        <v>290</v>
      </c>
      <c r="D830" t="s">
        <v>76</v>
      </c>
      <c r="E830">
        <v>42</v>
      </c>
      <c r="F830">
        <v>52</v>
      </c>
      <c r="G830">
        <v>67</v>
      </c>
      <c r="H830">
        <v>39</v>
      </c>
      <c r="I830">
        <v>56</v>
      </c>
      <c r="J830">
        <v>50</v>
      </c>
      <c r="K830">
        <v>306</v>
      </c>
    </row>
    <row r="831" spans="1:11" x14ac:dyDescent="0.25">
      <c r="A831" t="s">
        <v>1961</v>
      </c>
      <c r="B831" t="s">
        <v>1960</v>
      </c>
      <c r="C831" t="s">
        <v>290</v>
      </c>
      <c r="D831" t="s">
        <v>76</v>
      </c>
      <c r="E831">
        <v>72</v>
      </c>
      <c r="F831">
        <v>105</v>
      </c>
      <c r="G831">
        <v>115</v>
      </c>
      <c r="H831">
        <v>54</v>
      </c>
      <c r="I831">
        <v>86</v>
      </c>
      <c r="J831">
        <v>68</v>
      </c>
      <c r="K831">
        <v>500</v>
      </c>
    </row>
    <row r="832" spans="1:11" x14ac:dyDescent="0.25">
      <c r="A832" t="s">
        <v>1963</v>
      </c>
      <c r="B832" t="s">
        <v>1962</v>
      </c>
      <c r="C832" t="s">
        <v>41</v>
      </c>
      <c r="D832" t="s">
        <v>76</v>
      </c>
      <c r="E832">
        <v>50</v>
      </c>
      <c r="F832">
        <v>60</v>
      </c>
      <c r="G832">
        <v>60</v>
      </c>
      <c r="H832">
        <v>60</v>
      </c>
      <c r="I832">
        <v>60</v>
      </c>
      <c r="J832">
        <v>30</v>
      </c>
      <c r="K832">
        <v>320</v>
      </c>
    </row>
    <row r="833" spans="1:11" x14ac:dyDescent="0.25">
      <c r="A833" t="s">
        <v>1965</v>
      </c>
      <c r="B833" t="s">
        <v>1964</v>
      </c>
      <c r="C833" t="s">
        <v>41</v>
      </c>
      <c r="D833" t="s">
        <v>61</v>
      </c>
      <c r="E833">
        <v>65</v>
      </c>
      <c r="F833">
        <v>75</v>
      </c>
      <c r="G833">
        <v>90</v>
      </c>
      <c r="H833">
        <v>97</v>
      </c>
      <c r="I833">
        <v>123</v>
      </c>
      <c r="J833">
        <v>44</v>
      </c>
      <c r="K833">
        <v>494</v>
      </c>
    </row>
    <row r="834" spans="1:11" x14ac:dyDescent="0.25">
      <c r="A834" t="s">
        <v>1967</v>
      </c>
      <c r="B834" t="s">
        <v>1966</v>
      </c>
      <c r="C834" t="s">
        <v>76</v>
      </c>
      <c r="E834">
        <v>50</v>
      </c>
      <c r="F834">
        <v>53</v>
      </c>
      <c r="G834">
        <v>62</v>
      </c>
      <c r="H834">
        <v>58</v>
      </c>
      <c r="I834">
        <v>63</v>
      </c>
      <c r="J834">
        <v>44</v>
      </c>
      <c r="K834">
        <v>330</v>
      </c>
    </row>
    <row r="835" spans="1:11" x14ac:dyDescent="0.25">
      <c r="A835" t="s">
        <v>1969</v>
      </c>
      <c r="B835" t="s">
        <v>1968</v>
      </c>
      <c r="C835" t="s">
        <v>76</v>
      </c>
      <c r="E835">
        <v>71</v>
      </c>
      <c r="F835">
        <v>73</v>
      </c>
      <c r="G835">
        <v>88</v>
      </c>
      <c r="H835">
        <v>120</v>
      </c>
      <c r="I835">
        <v>89</v>
      </c>
      <c r="J835">
        <v>59</v>
      </c>
      <c r="K835">
        <v>500</v>
      </c>
    </row>
    <row r="836" spans="1:11" x14ac:dyDescent="0.25">
      <c r="A836" t="s">
        <v>1971</v>
      </c>
      <c r="B836" t="s">
        <v>1970</v>
      </c>
      <c r="C836" t="s">
        <v>154</v>
      </c>
      <c r="D836" t="s">
        <v>116</v>
      </c>
      <c r="E836">
        <v>44</v>
      </c>
      <c r="F836">
        <v>38</v>
      </c>
      <c r="G836">
        <v>33</v>
      </c>
      <c r="H836">
        <v>61</v>
      </c>
      <c r="I836">
        <v>43</v>
      </c>
      <c r="J836">
        <v>70</v>
      </c>
      <c r="K836">
        <v>289</v>
      </c>
    </row>
    <row r="837" spans="1:11" x14ac:dyDescent="0.25">
      <c r="A837" t="s">
        <v>1973</v>
      </c>
      <c r="B837" t="s">
        <v>1972</v>
      </c>
      <c r="C837" t="s">
        <v>154</v>
      </c>
      <c r="D837" t="s">
        <v>116</v>
      </c>
      <c r="E837">
        <v>62</v>
      </c>
      <c r="F837">
        <v>55</v>
      </c>
      <c r="G837">
        <v>52</v>
      </c>
      <c r="H837">
        <v>109</v>
      </c>
      <c r="I837">
        <v>94</v>
      </c>
      <c r="J837">
        <v>109</v>
      </c>
      <c r="K837">
        <v>481</v>
      </c>
    </row>
    <row r="838" spans="1:11" x14ac:dyDescent="0.25">
      <c r="A838" t="s">
        <v>1975</v>
      </c>
      <c r="B838" t="s">
        <v>1974</v>
      </c>
      <c r="C838" t="s">
        <v>290</v>
      </c>
      <c r="D838" t="s">
        <v>61</v>
      </c>
      <c r="E838">
        <v>58</v>
      </c>
      <c r="F838">
        <v>89</v>
      </c>
      <c r="G838">
        <v>77</v>
      </c>
      <c r="H838">
        <v>45</v>
      </c>
      <c r="I838">
        <v>45</v>
      </c>
      <c r="J838">
        <v>48</v>
      </c>
      <c r="K838">
        <v>362</v>
      </c>
    </row>
    <row r="839" spans="1:11" x14ac:dyDescent="0.25">
      <c r="A839" t="s">
        <v>1977</v>
      </c>
      <c r="B839" t="s">
        <v>1976</v>
      </c>
      <c r="C839" t="s">
        <v>290</v>
      </c>
      <c r="D839" t="s">
        <v>61</v>
      </c>
      <c r="E839">
        <v>82</v>
      </c>
      <c r="F839">
        <v>121</v>
      </c>
      <c r="G839">
        <v>119</v>
      </c>
      <c r="H839">
        <v>69</v>
      </c>
      <c r="I839">
        <v>59</v>
      </c>
      <c r="J839">
        <v>71</v>
      </c>
      <c r="K839">
        <v>521</v>
      </c>
    </row>
    <row r="840" spans="1:11" x14ac:dyDescent="0.25">
      <c r="A840" t="s">
        <v>1979</v>
      </c>
      <c r="B840" t="s">
        <v>1978</v>
      </c>
      <c r="C840" t="s">
        <v>290</v>
      </c>
      <c r="D840" t="s">
        <v>170</v>
      </c>
      <c r="E840">
        <v>77</v>
      </c>
      <c r="F840">
        <v>59</v>
      </c>
      <c r="G840">
        <v>50</v>
      </c>
      <c r="H840">
        <v>67</v>
      </c>
      <c r="I840">
        <v>63</v>
      </c>
      <c r="J840">
        <v>46</v>
      </c>
      <c r="K840">
        <v>362</v>
      </c>
    </row>
    <row r="841" spans="1:11" x14ac:dyDescent="0.25">
      <c r="A841" t="s">
        <v>1981</v>
      </c>
      <c r="B841" t="s">
        <v>1980</v>
      </c>
      <c r="C841" t="s">
        <v>290</v>
      </c>
      <c r="D841" t="s">
        <v>170</v>
      </c>
      <c r="E841">
        <v>123</v>
      </c>
      <c r="F841">
        <v>77</v>
      </c>
      <c r="G841">
        <v>72</v>
      </c>
      <c r="H841">
        <v>99</v>
      </c>
      <c r="I841">
        <v>92</v>
      </c>
      <c r="J841">
        <v>58</v>
      </c>
      <c r="K841">
        <v>521</v>
      </c>
    </row>
    <row r="842" spans="1:11" x14ac:dyDescent="0.25">
      <c r="A842" t="s">
        <v>1983</v>
      </c>
      <c r="B842" t="s">
        <v>1982</v>
      </c>
      <c r="C842" t="s">
        <v>157</v>
      </c>
      <c r="E842">
        <v>95</v>
      </c>
      <c r="F842">
        <v>65</v>
      </c>
      <c r="G842">
        <v>65</v>
      </c>
      <c r="H842">
        <v>110</v>
      </c>
      <c r="I842">
        <v>130</v>
      </c>
      <c r="J842">
        <v>60</v>
      </c>
      <c r="K842">
        <v>525</v>
      </c>
    </row>
    <row r="843" spans="1:11" x14ac:dyDescent="0.25">
      <c r="A843" t="s">
        <v>1985</v>
      </c>
      <c r="B843" t="s">
        <v>1984</v>
      </c>
      <c r="C843" t="s">
        <v>279</v>
      </c>
      <c r="D843" t="s">
        <v>66</v>
      </c>
      <c r="E843">
        <v>78</v>
      </c>
      <c r="F843">
        <v>92</v>
      </c>
      <c r="G843">
        <v>75</v>
      </c>
      <c r="H843">
        <v>74</v>
      </c>
      <c r="I843">
        <v>63</v>
      </c>
      <c r="J843">
        <v>118</v>
      </c>
      <c r="K843">
        <v>500</v>
      </c>
    </row>
    <row r="844" spans="1:11" x14ac:dyDescent="0.25">
      <c r="A844" t="s">
        <v>1987</v>
      </c>
      <c r="B844" t="s">
        <v>1986</v>
      </c>
      <c r="C844" t="s">
        <v>154</v>
      </c>
      <c r="D844" t="s">
        <v>157</v>
      </c>
      <c r="E844">
        <v>67</v>
      </c>
      <c r="F844">
        <v>58</v>
      </c>
      <c r="G844">
        <v>57</v>
      </c>
      <c r="H844">
        <v>81</v>
      </c>
      <c r="I844">
        <v>67</v>
      </c>
      <c r="J844">
        <v>101</v>
      </c>
      <c r="K844">
        <v>431</v>
      </c>
    </row>
    <row r="845" spans="1:11" x14ac:dyDescent="0.25">
      <c r="A845" t="s">
        <v>1989</v>
      </c>
      <c r="B845" t="s">
        <v>1988</v>
      </c>
      <c r="C845" t="s">
        <v>290</v>
      </c>
      <c r="D845" t="s">
        <v>157</v>
      </c>
      <c r="E845">
        <v>50</v>
      </c>
      <c r="F845">
        <v>50</v>
      </c>
      <c r="G845">
        <v>150</v>
      </c>
      <c r="H845">
        <v>50</v>
      </c>
      <c r="I845">
        <v>150</v>
      </c>
      <c r="J845">
        <v>50</v>
      </c>
      <c r="K845">
        <v>500</v>
      </c>
    </row>
    <row r="846" spans="1:11" x14ac:dyDescent="0.25">
      <c r="A846" t="s">
        <v>1991</v>
      </c>
      <c r="B846" t="s">
        <v>1990</v>
      </c>
      <c r="C846" t="s">
        <v>61</v>
      </c>
      <c r="E846">
        <v>45</v>
      </c>
      <c r="F846">
        <v>50</v>
      </c>
      <c r="G846">
        <v>35</v>
      </c>
      <c r="H846">
        <v>55</v>
      </c>
      <c r="I846">
        <v>75</v>
      </c>
      <c r="J846">
        <v>40</v>
      </c>
      <c r="K846">
        <v>300</v>
      </c>
    </row>
    <row r="847" spans="1:11" x14ac:dyDescent="0.25">
      <c r="A847" t="s">
        <v>1994</v>
      </c>
      <c r="B847" t="s">
        <v>1993</v>
      </c>
      <c r="C847" t="s">
        <v>61</v>
      </c>
      <c r="E847">
        <v>68</v>
      </c>
      <c r="F847">
        <v>75</v>
      </c>
      <c r="G847">
        <v>53</v>
      </c>
      <c r="H847">
        <v>83</v>
      </c>
      <c r="I847">
        <v>113</v>
      </c>
      <c r="J847">
        <v>60</v>
      </c>
      <c r="K847">
        <v>452</v>
      </c>
    </row>
    <row r="848" spans="1:11" x14ac:dyDescent="0.25">
      <c r="A848" t="s">
        <v>1996</v>
      </c>
      <c r="B848" t="s">
        <v>1995</v>
      </c>
      <c r="C848" t="s">
        <v>171</v>
      </c>
      <c r="D848" t="s">
        <v>61</v>
      </c>
      <c r="E848">
        <v>58</v>
      </c>
      <c r="F848">
        <v>75</v>
      </c>
      <c r="G848">
        <v>83</v>
      </c>
      <c r="H848">
        <v>83</v>
      </c>
      <c r="I848">
        <v>113</v>
      </c>
      <c r="J848">
        <v>40</v>
      </c>
      <c r="K848">
        <v>452</v>
      </c>
    </row>
    <row r="849" spans="1:11" x14ac:dyDescent="0.25">
      <c r="A849" t="s">
        <v>1998</v>
      </c>
      <c r="B849" t="s">
        <v>1997</v>
      </c>
      <c r="C849" t="s">
        <v>61</v>
      </c>
      <c r="E849">
        <v>90</v>
      </c>
      <c r="F849">
        <v>100</v>
      </c>
      <c r="G849">
        <v>70</v>
      </c>
      <c r="H849">
        <v>110</v>
      </c>
      <c r="I849">
        <v>150</v>
      </c>
      <c r="J849">
        <v>80</v>
      </c>
      <c r="K849">
        <v>600</v>
      </c>
    </row>
    <row r="850" spans="1:11" x14ac:dyDescent="0.25">
      <c r="A850" t="s">
        <v>2000</v>
      </c>
      <c r="B850" t="s">
        <v>1999</v>
      </c>
      <c r="C850" t="s">
        <v>171</v>
      </c>
      <c r="D850" t="s">
        <v>61</v>
      </c>
      <c r="E850">
        <v>80</v>
      </c>
      <c r="F850">
        <v>100</v>
      </c>
      <c r="G850">
        <v>100</v>
      </c>
      <c r="H850">
        <v>110</v>
      </c>
      <c r="I850">
        <v>150</v>
      </c>
      <c r="J850">
        <v>60</v>
      </c>
      <c r="K850">
        <v>600</v>
      </c>
    </row>
    <row r="851" spans="1:11" x14ac:dyDescent="0.25">
      <c r="A851" t="s">
        <v>2002</v>
      </c>
      <c r="B851" t="s">
        <v>2001</v>
      </c>
      <c r="C851" t="s">
        <v>171</v>
      </c>
      <c r="D851" t="s">
        <v>157</v>
      </c>
      <c r="E851">
        <v>57</v>
      </c>
      <c r="F851">
        <v>80</v>
      </c>
      <c r="G851">
        <v>91</v>
      </c>
      <c r="H851">
        <v>80</v>
      </c>
      <c r="I851">
        <v>87</v>
      </c>
      <c r="J851">
        <v>75</v>
      </c>
      <c r="K851">
        <v>470</v>
      </c>
    </row>
    <row r="852" spans="1:11" x14ac:dyDescent="0.25">
      <c r="A852" t="s">
        <v>2004</v>
      </c>
      <c r="B852" t="s">
        <v>2003</v>
      </c>
      <c r="C852" t="s">
        <v>419</v>
      </c>
      <c r="D852" t="s">
        <v>40</v>
      </c>
      <c r="E852">
        <v>43</v>
      </c>
      <c r="F852">
        <v>70</v>
      </c>
      <c r="G852">
        <v>48</v>
      </c>
      <c r="H852">
        <v>50</v>
      </c>
      <c r="I852">
        <v>60</v>
      </c>
      <c r="J852">
        <v>38</v>
      </c>
      <c r="K852">
        <v>309</v>
      </c>
    </row>
    <row r="853" spans="1:11" x14ac:dyDescent="0.25">
      <c r="A853" t="s">
        <v>2006</v>
      </c>
      <c r="B853" t="s">
        <v>2005</v>
      </c>
      <c r="C853" t="s">
        <v>419</v>
      </c>
      <c r="D853" t="s">
        <v>40</v>
      </c>
      <c r="E853">
        <v>85</v>
      </c>
      <c r="F853">
        <v>110</v>
      </c>
      <c r="G853">
        <v>76</v>
      </c>
      <c r="H853">
        <v>65</v>
      </c>
      <c r="I853">
        <v>82</v>
      </c>
      <c r="J853">
        <v>56</v>
      </c>
      <c r="K853">
        <v>474</v>
      </c>
    </row>
    <row r="854" spans="1:11" x14ac:dyDescent="0.25">
      <c r="A854" t="s">
        <v>2009</v>
      </c>
      <c r="B854" t="s">
        <v>2007</v>
      </c>
      <c r="C854" t="s">
        <v>419</v>
      </c>
      <c r="D854" t="s">
        <v>40</v>
      </c>
      <c r="E854">
        <v>49</v>
      </c>
      <c r="F854">
        <v>66</v>
      </c>
      <c r="G854">
        <v>70</v>
      </c>
      <c r="H854">
        <v>44</v>
      </c>
      <c r="I854">
        <v>55</v>
      </c>
      <c r="J854">
        <v>51</v>
      </c>
      <c r="K854">
        <v>335</v>
      </c>
    </row>
    <row r="855" spans="1:11" x14ac:dyDescent="0.25">
      <c r="A855" t="s">
        <v>2011</v>
      </c>
      <c r="B855" t="s">
        <v>2010</v>
      </c>
      <c r="C855" t="s">
        <v>419</v>
      </c>
      <c r="D855" t="s">
        <v>40</v>
      </c>
      <c r="E855">
        <v>44</v>
      </c>
      <c r="F855">
        <v>66</v>
      </c>
      <c r="G855">
        <v>70</v>
      </c>
      <c r="H855">
        <v>44</v>
      </c>
      <c r="I855">
        <v>55</v>
      </c>
      <c r="J855">
        <v>56</v>
      </c>
      <c r="K855">
        <v>335</v>
      </c>
    </row>
    <row r="856" spans="1:11" x14ac:dyDescent="0.25">
      <c r="A856" t="s">
        <v>2013</v>
      </c>
      <c r="B856" t="s">
        <v>2012</v>
      </c>
      <c r="C856" t="s">
        <v>419</v>
      </c>
      <c r="D856" t="s">
        <v>40</v>
      </c>
      <c r="E856">
        <v>54</v>
      </c>
      <c r="F856">
        <v>66</v>
      </c>
      <c r="G856">
        <v>70</v>
      </c>
      <c r="H856">
        <v>44</v>
      </c>
      <c r="I856">
        <v>55</v>
      </c>
      <c r="J856">
        <v>46</v>
      </c>
      <c r="K856">
        <v>335</v>
      </c>
    </row>
    <row r="857" spans="1:11" x14ac:dyDescent="0.25">
      <c r="A857" t="s">
        <v>2015</v>
      </c>
      <c r="B857" t="s">
        <v>2014</v>
      </c>
      <c r="C857" t="s">
        <v>419</v>
      </c>
      <c r="D857" t="s">
        <v>40</v>
      </c>
      <c r="E857">
        <v>59</v>
      </c>
      <c r="F857">
        <v>66</v>
      </c>
      <c r="G857">
        <v>70</v>
      </c>
      <c r="H857">
        <v>44</v>
      </c>
      <c r="I857">
        <v>55</v>
      </c>
      <c r="J857">
        <v>41</v>
      </c>
      <c r="K857">
        <v>335</v>
      </c>
    </row>
    <row r="858" spans="1:11" x14ac:dyDescent="0.25">
      <c r="A858" t="s">
        <v>2018</v>
      </c>
      <c r="B858" t="s">
        <v>2016</v>
      </c>
      <c r="C858" t="s">
        <v>419</v>
      </c>
      <c r="D858" t="s">
        <v>40</v>
      </c>
      <c r="E858">
        <v>65</v>
      </c>
      <c r="F858">
        <v>90</v>
      </c>
      <c r="G858">
        <v>122</v>
      </c>
      <c r="H858">
        <v>58</v>
      </c>
      <c r="I858">
        <v>75</v>
      </c>
      <c r="J858">
        <v>84</v>
      </c>
      <c r="K858">
        <v>494</v>
      </c>
    </row>
    <row r="859" spans="1:11" x14ac:dyDescent="0.25">
      <c r="A859" t="s">
        <v>2020</v>
      </c>
      <c r="B859" t="s">
        <v>2019</v>
      </c>
      <c r="C859" t="s">
        <v>419</v>
      </c>
      <c r="D859" t="s">
        <v>40</v>
      </c>
      <c r="E859">
        <v>55</v>
      </c>
      <c r="F859">
        <v>85</v>
      </c>
      <c r="G859">
        <v>122</v>
      </c>
      <c r="H859">
        <v>58</v>
      </c>
      <c r="I859">
        <v>75</v>
      </c>
      <c r="J859">
        <v>99</v>
      </c>
      <c r="K859">
        <v>494</v>
      </c>
    </row>
    <row r="860" spans="1:11" x14ac:dyDescent="0.25">
      <c r="A860" t="s">
        <v>2022</v>
      </c>
      <c r="B860" t="s">
        <v>2021</v>
      </c>
      <c r="C860" t="s">
        <v>419</v>
      </c>
      <c r="D860" t="s">
        <v>40</v>
      </c>
      <c r="E860">
        <v>75</v>
      </c>
      <c r="F860">
        <v>95</v>
      </c>
      <c r="G860">
        <v>122</v>
      </c>
      <c r="H860">
        <v>58</v>
      </c>
      <c r="I860">
        <v>75</v>
      </c>
      <c r="J860">
        <v>69</v>
      </c>
      <c r="K860">
        <v>494</v>
      </c>
    </row>
    <row r="861" spans="1:11" x14ac:dyDescent="0.25">
      <c r="A861" t="s">
        <v>2024</v>
      </c>
      <c r="B861" t="s">
        <v>2023</v>
      </c>
      <c r="C861" t="s">
        <v>419</v>
      </c>
      <c r="D861" t="s">
        <v>40</v>
      </c>
      <c r="E861">
        <v>85</v>
      </c>
      <c r="F861">
        <v>100</v>
      </c>
      <c r="G861">
        <v>122</v>
      </c>
      <c r="H861">
        <v>58</v>
      </c>
      <c r="I861">
        <v>75</v>
      </c>
      <c r="J861">
        <v>54</v>
      </c>
      <c r="K861">
        <v>494</v>
      </c>
    </row>
    <row r="862" spans="1:11" x14ac:dyDescent="0.25">
      <c r="A862" t="s">
        <v>2026</v>
      </c>
      <c r="B862" t="s">
        <v>2025</v>
      </c>
      <c r="C862" t="s">
        <v>170</v>
      </c>
      <c r="E862">
        <v>55</v>
      </c>
      <c r="F862">
        <v>69</v>
      </c>
      <c r="G862">
        <v>85</v>
      </c>
      <c r="H862">
        <v>32</v>
      </c>
      <c r="I862">
        <v>35</v>
      </c>
      <c r="J862">
        <v>28</v>
      </c>
      <c r="K862">
        <v>304</v>
      </c>
    </row>
    <row r="863" spans="1:11" x14ac:dyDescent="0.25">
      <c r="A863" t="s">
        <v>2028</v>
      </c>
      <c r="B863" t="s">
        <v>2027</v>
      </c>
      <c r="C863" t="s">
        <v>170</v>
      </c>
      <c r="E863">
        <v>95</v>
      </c>
      <c r="F863">
        <v>117</v>
      </c>
      <c r="G863">
        <v>184</v>
      </c>
      <c r="H863">
        <v>44</v>
      </c>
      <c r="I863">
        <v>46</v>
      </c>
      <c r="J863">
        <v>28</v>
      </c>
      <c r="K863">
        <v>514</v>
      </c>
    </row>
    <row r="864" spans="1:11" x14ac:dyDescent="0.25">
      <c r="A864" t="s">
        <v>2030</v>
      </c>
      <c r="B864" t="s">
        <v>2029</v>
      </c>
      <c r="C864" t="s">
        <v>170</v>
      </c>
      <c r="D864" t="s">
        <v>290</v>
      </c>
      <c r="E864">
        <v>95</v>
      </c>
      <c r="F864">
        <v>127</v>
      </c>
      <c r="G864">
        <v>184</v>
      </c>
      <c r="H864">
        <v>34</v>
      </c>
      <c r="I864">
        <v>36</v>
      </c>
      <c r="J864">
        <v>38</v>
      </c>
      <c r="K864">
        <v>514</v>
      </c>
    </row>
    <row r="865" spans="1:11" x14ac:dyDescent="0.25">
      <c r="A865" t="s">
        <v>2032</v>
      </c>
      <c r="B865" t="s">
        <v>2031</v>
      </c>
      <c r="C865" t="s">
        <v>66</v>
      </c>
      <c r="D865" t="s">
        <v>61</v>
      </c>
      <c r="E865">
        <v>40</v>
      </c>
      <c r="F865">
        <v>30</v>
      </c>
      <c r="G865">
        <v>35</v>
      </c>
      <c r="H865">
        <v>45</v>
      </c>
      <c r="I865">
        <v>40</v>
      </c>
      <c r="J865">
        <v>55</v>
      </c>
      <c r="K865">
        <v>245</v>
      </c>
    </row>
    <row r="866" spans="1:11" x14ac:dyDescent="0.25">
      <c r="A866" t="s">
        <v>2034</v>
      </c>
      <c r="B866" t="s">
        <v>2033</v>
      </c>
      <c r="C866" t="s">
        <v>66</v>
      </c>
      <c r="D866" t="s">
        <v>61</v>
      </c>
      <c r="E866">
        <v>85</v>
      </c>
      <c r="F866">
        <v>70</v>
      </c>
      <c r="G866">
        <v>80</v>
      </c>
      <c r="H866">
        <v>97</v>
      </c>
      <c r="I866">
        <v>80</v>
      </c>
      <c r="J866">
        <v>123</v>
      </c>
      <c r="K866">
        <v>535</v>
      </c>
    </row>
    <row r="867" spans="1:11" x14ac:dyDescent="0.25">
      <c r="A867" t="s">
        <v>2036</v>
      </c>
      <c r="B867" t="s">
        <v>2035</v>
      </c>
      <c r="C867" t="s">
        <v>157</v>
      </c>
      <c r="E867">
        <v>126</v>
      </c>
      <c r="F867">
        <v>131</v>
      </c>
      <c r="G867">
        <v>95</v>
      </c>
      <c r="H867">
        <v>131</v>
      </c>
      <c r="I867">
        <v>98</v>
      </c>
      <c r="J867">
        <v>99</v>
      </c>
      <c r="K867">
        <v>680</v>
      </c>
    </row>
    <row r="868" spans="1:11" x14ac:dyDescent="0.25">
      <c r="A868" t="s">
        <v>2039</v>
      </c>
      <c r="B868" t="s">
        <v>2038</v>
      </c>
      <c r="C868" t="s">
        <v>135</v>
      </c>
      <c r="D868" t="s">
        <v>66</v>
      </c>
      <c r="E868">
        <v>126</v>
      </c>
      <c r="F868">
        <v>131</v>
      </c>
      <c r="G868">
        <v>95</v>
      </c>
      <c r="H868">
        <v>131</v>
      </c>
      <c r="I868">
        <v>98</v>
      </c>
      <c r="J868">
        <v>99</v>
      </c>
      <c r="K868">
        <v>680</v>
      </c>
    </row>
    <row r="869" spans="1:11" x14ac:dyDescent="0.25">
      <c r="A869" t="s">
        <v>2043</v>
      </c>
      <c r="B869" t="s">
        <v>2041</v>
      </c>
      <c r="C869" t="s">
        <v>61</v>
      </c>
      <c r="D869" t="s">
        <v>132</v>
      </c>
      <c r="E869">
        <v>108</v>
      </c>
      <c r="F869">
        <v>100</v>
      </c>
      <c r="G869">
        <v>121</v>
      </c>
      <c r="H869">
        <v>81</v>
      </c>
      <c r="I869">
        <v>95</v>
      </c>
      <c r="J869">
        <v>95</v>
      </c>
      <c r="K869">
        <v>600</v>
      </c>
    </row>
    <row r="870" spans="1:11" x14ac:dyDescent="0.25">
      <c r="A870" t="s">
        <v>2046</v>
      </c>
      <c r="B870" t="s">
        <v>2045</v>
      </c>
      <c r="C870" t="s">
        <v>61</v>
      </c>
      <c r="D870" t="s">
        <v>132</v>
      </c>
      <c r="E870">
        <v>54</v>
      </c>
      <c r="F870">
        <v>100</v>
      </c>
      <c r="G870">
        <v>71</v>
      </c>
      <c r="H870">
        <v>61</v>
      </c>
      <c r="I870">
        <v>85</v>
      </c>
      <c r="J870">
        <v>115</v>
      </c>
      <c r="K870">
        <v>486</v>
      </c>
    </row>
    <row r="871" spans="1:11" x14ac:dyDescent="0.25">
      <c r="A871" t="s">
        <v>2048</v>
      </c>
      <c r="B871" t="s">
        <v>2047</v>
      </c>
      <c r="C871" t="s">
        <v>61</v>
      </c>
      <c r="D871" t="s">
        <v>132</v>
      </c>
      <c r="E871">
        <v>216</v>
      </c>
      <c r="F871">
        <v>100</v>
      </c>
      <c r="G871">
        <v>121</v>
      </c>
      <c r="H871">
        <v>91</v>
      </c>
      <c r="I871">
        <v>95</v>
      </c>
      <c r="J871">
        <v>85</v>
      </c>
      <c r="K871">
        <v>708</v>
      </c>
    </row>
    <row r="872" spans="1:11" x14ac:dyDescent="0.25">
      <c r="A872" t="s">
        <v>2051</v>
      </c>
      <c r="B872" t="s">
        <v>2050</v>
      </c>
      <c r="C872" t="s">
        <v>290</v>
      </c>
      <c r="D872" t="s">
        <v>157</v>
      </c>
      <c r="E872">
        <v>50</v>
      </c>
      <c r="F872">
        <v>100</v>
      </c>
      <c r="G872">
        <v>150</v>
      </c>
      <c r="H872">
        <v>100</v>
      </c>
      <c r="I872">
        <v>150</v>
      </c>
      <c r="J872">
        <v>50</v>
      </c>
      <c r="K872">
        <v>600</v>
      </c>
    </row>
    <row r="873" spans="1:11" x14ac:dyDescent="0.25">
      <c r="A873" t="s">
        <v>2053</v>
      </c>
      <c r="B873" t="s">
        <v>2052</v>
      </c>
      <c r="C873" t="s">
        <v>290</v>
      </c>
      <c r="D873" t="s">
        <v>157</v>
      </c>
      <c r="E873">
        <v>50</v>
      </c>
      <c r="F873">
        <v>160</v>
      </c>
      <c r="G873">
        <v>110</v>
      </c>
      <c r="H873">
        <v>160</v>
      </c>
      <c r="I873">
        <v>110</v>
      </c>
      <c r="J873">
        <v>110</v>
      </c>
      <c r="K873">
        <v>700</v>
      </c>
    </row>
    <row r="874" spans="1:11" x14ac:dyDescent="0.25">
      <c r="A874" t="s">
        <v>2056</v>
      </c>
      <c r="B874" t="s">
        <v>2054</v>
      </c>
      <c r="C874" t="s">
        <v>162</v>
      </c>
      <c r="D874" t="s">
        <v>419</v>
      </c>
      <c r="E874">
        <v>80</v>
      </c>
      <c r="F874">
        <v>110</v>
      </c>
      <c r="G874">
        <v>60</v>
      </c>
      <c r="H874">
        <v>150</v>
      </c>
      <c r="I874">
        <v>130</v>
      </c>
      <c r="J874">
        <v>70</v>
      </c>
      <c r="K874">
        <v>600</v>
      </c>
    </row>
    <row r="875" spans="1:11" x14ac:dyDescent="0.25">
      <c r="A875" t="s">
        <v>2058</v>
      </c>
      <c r="B875" t="s">
        <v>2057</v>
      </c>
      <c r="C875" t="s">
        <v>162</v>
      </c>
      <c r="D875" t="s">
        <v>135</v>
      </c>
      <c r="E875">
        <v>80</v>
      </c>
      <c r="F875">
        <v>160</v>
      </c>
      <c r="G875">
        <v>60</v>
      </c>
      <c r="H875">
        <v>170</v>
      </c>
      <c r="I875">
        <v>130</v>
      </c>
      <c r="J875">
        <v>80</v>
      </c>
      <c r="K875">
        <v>680</v>
      </c>
    </row>
    <row r="876" spans="1:11" x14ac:dyDescent="0.25">
      <c r="A876" t="s">
        <v>2060</v>
      </c>
      <c r="B876" t="s">
        <v>2059</v>
      </c>
      <c r="C876" t="s">
        <v>57</v>
      </c>
      <c r="D876" t="s">
        <v>76</v>
      </c>
      <c r="E876">
        <v>80</v>
      </c>
      <c r="F876">
        <v>110</v>
      </c>
      <c r="G876">
        <v>120</v>
      </c>
      <c r="H876">
        <v>130</v>
      </c>
      <c r="I876">
        <v>90</v>
      </c>
      <c r="J876">
        <v>70</v>
      </c>
      <c r="K876">
        <v>600</v>
      </c>
    </row>
    <row r="877" spans="1:11" x14ac:dyDescent="0.25">
      <c r="A877" t="s">
        <v>2062</v>
      </c>
      <c r="B877" t="s">
        <v>2061</v>
      </c>
      <c r="C877" t="s">
        <v>40</v>
      </c>
      <c r="D877" t="s">
        <v>66</v>
      </c>
      <c r="E877">
        <v>68</v>
      </c>
      <c r="F877">
        <v>55</v>
      </c>
      <c r="G877">
        <v>55</v>
      </c>
      <c r="H877">
        <v>50</v>
      </c>
      <c r="I877">
        <v>50</v>
      </c>
      <c r="J877">
        <v>42</v>
      </c>
      <c r="K877">
        <v>320</v>
      </c>
    </row>
    <row r="878" spans="1:11" x14ac:dyDescent="0.25">
      <c r="A878" t="s">
        <v>2065</v>
      </c>
      <c r="B878" t="s">
        <v>2064</v>
      </c>
      <c r="C878" t="s">
        <v>40</v>
      </c>
      <c r="D878" t="s">
        <v>66</v>
      </c>
      <c r="E878">
        <v>78</v>
      </c>
      <c r="F878">
        <v>75</v>
      </c>
      <c r="G878">
        <v>75</v>
      </c>
      <c r="H878">
        <v>70</v>
      </c>
      <c r="I878">
        <v>70</v>
      </c>
      <c r="J878">
        <v>52</v>
      </c>
      <c r="K878">
        <v>420</v>
      </c>
    </row>
    <row r="879" spans="1:11" x14ac:dyDescent="0.25">
      <c r="A879" t="s">
        <v>2067</v>
      </c>
      <c r="B879" t="s">
        <v>2066</v>
      </c>
      <c r="C879" t="s">
        <v>40</v>
      </c>
      <c r="D879" t="s">
        <v>419</v>
      </c>
      <c r="E879">
        <v>78</v>
      </c>
      <c r="F879">
        <v>107</v>
      </c>
      <c r="G879">
        <v>75</v>
      </c>
      <c r="H879">
        <v>100</v>
      </c>
      <c r="I879">
        <v>100</v>
      </c>
      <c r="J879">
        <v>70</v>
      </c>
      <c r="K879">
        <v>530</v>
      </c>
    </row>
    <row r="880" spans="1:11" x14ac:dyDescent="0.25">
      <c r="A880" t="s">
        <v>2069</v>
      </c>
      <c r="B880" t="s">
        <v>2068</v>
      </c>
      <c r="C880" t="s">
        <v>40</v>
      </c>
      <c r="D880" t="s">
        <v>279</v>
      </c>
      <c r="E880">
        <v>88</v>
      </c>
      <c r="F880">
        <v>112</v>
      </c>
      <c r="G880">
        <v>80</v>
      </c>
      <c r="H880">
        <v>95</v>
      </c>
      <c r="I880">
        <v>95</v>
      </c>
      <c r="J880">
        <v>60</v>
      </c>
      <c r="K880">
        <v>530</v>
      </c>
    </row>
    <row r="881" spans="1:11" x14ac:dyDescent="0.25">
      <c r="A881" t="s">
        <v>2071</v>
      </c>
      <c r="B881" t="s">
        <v>2070</v>
      </c>
      <c r="C881" t="s">
        <v>57</v>
      </c>
      <c r="E881">
        <v>45</v>
      </c>
      <c r="F881">
        <v>65</v>
      </c>
      <c r="G881">
        <v>40</v>
      </c>
      <c r="H881">
        <v>60</v>
      </c>
      <c r="I881">
        <v>40</v>
      </c>
      <c r="J881">
        <v>70</v>
      </c>
      <c r="K881">
        <v>320</v>
      </c>
    </row>
    <row r="882" spans="1:11" x14ac:dyDescent="0.25">
      <c r="A882" t="s">
        <v>2073</v>
      </c>
      <c r="B882" t="s">
        <v>2072</v>
      </c>
      <c r="C882" t="s">
        <v>57</v>
      </c>
      <c r="E882">
        <v>65</v>
      </c>
      <c r="F882">
        <v>85</v>
      </c>
      <c r="G882">
        <v>50</v>
      </c>
      <c r="H882">
        <v>80</v>
      </c>
      <c r="I882">
        <v>50</v>
      </c>
      <c r="J882">
        <v>90</v>
      </c>
      <c r="K882">
        <v>420</v>
      </c>
    </row>
    <row r="883" spans="1:11" x14ac:dyDescent="0.25">
      <c r="A883" t="s">
        <v>2075</v>
      </c>
      <c r="B883" t="s">
        <v>2074</v>
      </c>
      <c r="C883" t="s">
        <v>57</v>
      </c>
      <c r="D883" t="s">
        <v>135</v>
      </c>
      <c r="E883">
        <v>95</v>
      </c>
      <c r="F883">
        <v>115</v>
      </c>
      <c r="G883">
        <v>90</v>
      </c>
      <c r="H883">
        <v>80</v>
      </c>
      <c r="I883">
        <v>90</v>
      </c>
      <c r="J883">
        <v>60</v>
      </c>
      <c r="K883">
        <v>530</v>
      </c>
    </row>
    <row r="884" spans="1:11" x14ac:dyDescent="0.25">
      <c r="A884" t="s">
        <v>2077</v>
      </c>
      <c r="B884" t="s">
        <v>2076</v>
      </c>
      <c r="C884" t="s">
        <v>76</v>
      </c>
      <c r="E884">
        <v>50</v>
      </c>
      <c r="F884">
        <v>54</v>
      </c>
      <c r="G884">
        <v>54</v>
      </c>
      <c r="H884">
        <v>66</v>
      </c>
      <c r="I884">
        <v>56</v>
      </c>
      <c r="J884">
        <v>40</v>
      </c>
      <c r="K884">
        <v>320</v>
      </c>
    </row>
    <row r="885" spans="1:11" x14ac:dyDescent="0.25">
      <c r="A885" t="s">
        <v>2080</v>
      </c>
      <c r="B885" t="s">
        <v>2079</v>
      </c>
      <c r="C885" t="s">
        <v>76</v>
      </c>
      <c r="E885">
        <v>60</v>
      </c>
      <c r="F885">
        <v>69</v>
      </c>
      <c r="G885">
        <v>69</v>
      </c>
      <c r="H885">
        <v>91</v>
      </c>
      <c r="I885">
        <v>81</v>
      </c>
      <c r="J885">
        <v>50</v>
      </c>
      <c r="K885">
        <v>420</v>
      </c>
    </row>
    <row r="886" spans="1:11" x14ac:dyDescent="0.25">
      <c r="A886" t="s">
        <v>2082</v>
      </c>
      <c r="B886" t="s">
        <v>2081</v>
      </c>
      <c r="C886" t="s">
        <v>76</v>
      </c>
      <c r="D886" t="s">
        <v>157</v>
      </c>
      <c r="E886">
        <v>80</v>
      </c>
      <c r="F886">
        <v>74</v>
      </c>
      <c r="G886">
        <v>74</v>
      </c>
      <c r="H886">
        <v>126</v>
      </c>
      <c r="I886">
        <v>116</v>
      </c>
      <c r="J886">
        <v>60</v>
      </c>
      <c r="K886">
        <v>530</v>
      </c>
    </row>
    <row r="887" spans="1:11" x14ac:dyDescent="0.25">
      <c r="A887" t="s">
        <v>2084</v>
      </c>
      <c r="B887" t="s">
        <v>2083</v>
      </c>
      <c r="C887" t="s">
        <v>116</v>
      </c>
      <c r="D887" t="s">
        <v>66</v>
      </c>
      <c r="E887">
        <v>35</v>
      </c>
      <c r="F887">
        <v>75</v>
      </c>
      <c r="G887">
        <v>30</v>
      </c>
      <c r="H887">
        <v>30</v>
      </c>
      <c r="I887">
        <v>30</v>
      </c>
      <c r="J887">
        <v>65</v>
      </c>
      <c r="K887">
        <v>265</v>
      </c>
    </row>
    <row r="888" spans="1:11" x14ac:dyDescent="0.25">
      <c r="A888" t="s">
        <v>2086</v>
      </c>
      <c r="B888" t="s">
        <v>2085</v>
      </c>
      <c r="C888" t="s">
        <v>116</v>
      </c>
      <c r="D888" t="s">
        <v>66</v>
      </c>
      <c r="E888">
        <v>55</v>
      </c>
      <c r="F888">
        <v>85</v>
      </c>
      <c r="G888">
        <v>50</v>
      </c>
      <c r="H888">
        <v>40</v>
      </c>
      <c r="I888">
        <v>50</v>
      </c>
      <c r="J888">
        <v>75</v>
      </c>
      <c r="K888">
        <v>355</v>
      </c>
    </row>
    <row r="889" spans="1:11" x14ac:dyDescent="0.25">
      <c r="A889" t="s">
        <v>2088</v>
      </c>
      <c r="B889" t="s">
        <v>2087</v>
      </c>
      <c r="C889" t="s">
        <v>116</v>
      </c>
      <c r="D889" t="s">
        <v>66</v>
      </c>
      <c r="E889">
        <v>80</v>
      </c>
      <c r="F889">
        <v>120</v>
      </c>
      <c r="G889">
        <v>75</v>
      </c>
      <c r="H889">
        <v>75</v>
      </c>
      <c r="I889">
        <v>75</v>
      </c>
      <c r="J889">
        <v>60</v>
      </c>
      <c r="K889">
        <v>485</v>
      </c>
    </row>
    <row r="890" spans="1:11" x14ac:dyDescent="0.25">
      <c r="A890" t="s">
        <v>2090</v>
      </c>
      <c r="B890" t="s">
        <v>2089</v>
      </c>
      <c r="C890" t="s">
        <v>116</v>
      </c>
      <c r="E890">
        <v>48</v>
      </c>
      <c r="F890">
        <v>70</v>
      </c>
      <c r="G890">
        <v>30</v>
      </c>
      <c r="H890">
        <v>30</v>
      </c>
      <c r="I890">
        <v>30</v>
      </c>
      <c r="J890">
        <v>45</v>
      </c>
      <c r="K890">
        <v>253</v>
      </c>
    </row>
    <row r="891" spans="1:11" x14ac:dyDescent="0.25">
      <c r="A891" t="s">
        <v>2093</v>
      </c>
      <c r="B891" t="s">
        <v>2092</v>
      </c>
      <c r="C891" t="s">
        <v>116</v>
      </c>
      <c r="E891">
        <v>88</v>
      </c>
      <c r="F891">
        <v>110</v>
      </c>
      <c r="G891">
        <v>60</v>
      </c>
      <c r="H891">
        <v>55</v>
      </c>
      <c r="I891">
        <v>60</v>
      </c>
      <c r="J891">
        <v>45</v>
      </c>
      <c r="K891">
        <v>418</v>
      </c>
    </row>
    <row r="892" spans="1:11" x14ac:dyDescent="0.25">
      <c r="A892" t="s">
        <v>2095</v>
      </c>
      <c r="B892" t="s">
        <v>2094</v>
      </c>
      <c r="C892" t="s">
        <v>90</v>
      </c>
      <c r="E892">
        <v>47</v>
      </c>
      <c r="F892">
        <v>62</v>
      </c>
      <c r="G892">
        <v>45</v>
      </c>
      <c r="H892">
        <v>55</v>
      </c>
      <c r="I892">
        <v>45</v>
      </c>
      <c r="J892">
        <v>46</v>
      </c>
      <c r="K892">
        <v>300</v>
      </c>
    </row>
    <row r="893" spans="1:11" x14ac:dyDescent="0.25">
      <c r="A893" t="s">
        <v>2097</v>
      </c>
      <c r="B893" t="s">
        <v>2096</v>
      </c>
      <c r="C893" t="s">
        <v>90</v>
      </c>
      <c r="D893" t="s">
        <v>154</v>
      </c>
      <c r="E893">
        <v>57</v>
      </c>
      <c r="F893">
        <v>82</v>
      </c>
      <c r="G893">
        <v>95</v>
      </c>
      <c r="H893">
        <v>55</v>
      </c>
      <c r="I893">
        <v>75</v>
      </c>
      <c r="J893">
        <v>36</v>
      </c>
      <c r="K893">
        <v>400</v>
      </c>
    </row>
    <row r="894" spans="1:11" x14ac:dyDescent="0.25">
      <c r="A894" t="s">
        <v>2100</v>
      </c>
      <c r="B894" t="s">
        <v>2099</v>
      </c>
      <c r="C894" t="s">
        <v>90</v>
      </c>
      <c r="D894" t="s">
        <v>154</v>
      </c>
      <c r="E894">
        <v>77</v>
      </c>
      <c r="F894">
        <v>70</v>
      </c>
      <c r="G894">
        <v>90</v>
      </c>
      <c r="H894">
        <v>145</v>
      </c>
      <c r="I894">
        <v>75</v>
      </c>
      <c r="J894">
        <v>43</v>
      </c>
      <c r="K894">
        <v>500</v>
      </c>
    </row>
    <row r="895" spans="1:11" x14ac:dyDescent="0.25">
      <c r="A895" t="s">
        <v>2102</v>
      </c>
      <c r="B895" t="s">
        <v>2101</v>
      </c>
      <c r="C895" t="s">
        <v>279</v>
      </c>
      <c r="E895">
        <v>47</v>
      </c>
      <c r="F895">
        <v>82</v>
      </c>
      <c r="G895">
        <v>57</v>
      </c>
      <c r="H895">
        <v>42</v>
      </c>
      <c r="I895">
        <v>47</v>
      </c>
      <c r="J895">
        <v>63</v>
      </c>
      <c r="K895">
        <v>338</v>
      </c>
    </row>
    <row r="896" spans="1:11" x14ac:dyDescent="0.25">
      <c r="A896" t="s">
        <v>2104</v>
      </c>
      <c r="B896" t="s">
        <v>2103</v>
      </c>
      <c r="C896" t="s">
        <v>279</v>
      </c>
      <c r="D896" t="s">
        <v>170</v>
      </c>
      <c r="E896">
        <v>97</v>
      </c>
      <c r="F896">
        <v>132</v>
      </c>
      <c r="G896">
        <v>77</v>
      </c>
      <c r="H896">
        <v>62</v>
      </c>
      <c r="I896">
        <v>67</v>
      </c>
      <c r="J896">
        <v>43</v>
      </c>
      <c r="K896">
        <v>478</v>
      </c>
    </row>
    <row r="897" spans="1:11" x14ac:dyDescent="0.25">
      <c r="A897" t="s">
        <v>2107</v>
      </c>
      <c r="B897" t="s">
        <v>2105</v>
      </c>
      <c r="C897" t="s">
        <v>57</v>
      </c>
      <c r="D897" t="s">
        <v>66</v>
      </c>
      <c r="E897">
        <v>75</v>
      </c>
      <c r="F897">
        <v>70</v>
      </c>
      <c r="G897">
        <v>70</v>
      </c>
      <c r="H897">
        <v>98</v>
      </c>
      <c r="I897">
        <v>70</v>
      </c>
      <c r="J897">
        <v>93</v>
      </c>
      <c r="K897">
        <v>476</v>
      </c>
    </row>
    <row r="898" spans="1:11" x14ac:dyDescent="0.25">
      <c r="A898" t="s">
        <v>2110</v>
      </c>
      <c r="B898" t="s">
        <v>2109</v>
      </c>
      <c r="C898" t="s">
        <v>154</v>
      </c>
      <c r="D898" t="s">
        <v>66</v>
      </c>
      <c r="E898">
        <v>75</v>
      </c>
      <c r="F898">
        <v>70</v>
      </c>
      <c r="G898">
        <v>70</v>
      </c>
      <c r="H898">
        <v>98</v>
      </c>
      <c r="I898">
        <v>70</v>
      </c>
      <c r="J898">
        <v>93</v>
      </c>
      <c r="K898">
        <v>476</v>
      </c>
    </row>
    <row r="899" spans="1:11" x14ac:dyDescent="0.25">
      <c r="A899" t="s">
        <v>2112</v>
      </c>
      <c r="B899" t="s">
        <v>2111</v>
      </c>
      <c r="C899" t="s">
        <v>162</v>
      </c>
      <c r="D899" t="s">
        <v>66</v>
      </c>
      <c r="E899">
        <v>75</v>
      </c>
      <c r="F899">
        <v>70</v>
      </c>
      <c r="G899">
        <v>70</v>
      </c>
      <c r="H899">
        <v>98</v>
      </c>
      <c r="I899">
        <v>70</v>
      </c>
      <c r="J899">
        <v>93</v>
      </c>
      <c r="K899">
        <v>476</v>
      </c>
    </row>
    <row r="900" spans="1:11" x14ac:dyDescent="0.25">
      <c r="A900" t="s">
        <v>2114</v>
      </c>
      <c r="B900" t="s">
        <v>2113</v>
      </c>
      <c r="C900" t="s">
        <v>419</v>
      </c>
      <c r="D900" t="s">
        <v>66</v>
      </c>
      <c r="E900">
        <v>75</v>
      </c>
      <c r="F900">
        <v>70</v>
      </c>
      <c r="G900">
        <v>70</v>
      </c>
      <c r="H900">
        <v>98</v>
      </c>
      <c r="I900">
        <v>70</v>
      </c>
      <c r="J900">
        <v>93</v>
      </c>
      <c r="K900">
        <v>476</v>
      </c>
    </row>
    <row r="901" spans="1:11" x14ac:dyDescent="0.25">
      <c r="A901" t="s">
        <v>2116</v>
      </c>
      <c r="B901" t="s">
        <v>2115</v>
      </c>
      <c r="C901" t="s">
        <v>90</v>
      </c>
      <c r="D901" t="s">
        <v>157</v>
      </c>
      <c r="E901">
        <v>40</v>
      </c>
      <c r="F901">
        <v>45</v>
      </c>
      <c r="G901">
        <v>40</v>
      </c>
      <c r="H901">
        <v>55</v>
      </c>
      <c r="I901">
        <v>40</v>
      </c>
      <c r="J901">
        <v>84</v>
      </c>
      <c r="K901">
        <v>304</v>
      </c>
    </row>
    <row r="902" spans="1:11" x14ac:dyDescent="0.25">
      <c r="A902" t="s">
        <v>2118</v>
      </c>
      <c r="B902" t="s">
        <v>2117</v>
      </c>
      <c r="C902" t="s">
        <v>90</v>
      </c>
      <c r="D902" t="s">
        <v>157</v>
      </c>
      <c r="E902">
        <v>60</v>
      </c>
      <c r="F902">
        <v>55</v>
      </c>
      <c r="G902">
        <v>60</v>
      </c>
      <c r="H902">
        <v>95</v>
      </c>
      <c r="I902">
        <v>70</v>
      </c>
      <c r="J902">
        <v>124</v>
      </c>
      <c r="K902">
        <v>464</v>
      </c>
    </row>
    <row r="903" spans="1:11" x14ac:dyDescent="0.25">
      <c r="A903" t="s">
        <v>2120</v>
      </c>
      <c r="B903" t="s">
        <v>2119</v>
      </c>
      <c r="C903" t="s">
        <v>290</v>
      </c>
      <c r="E903">
        <v>45</v>
      </c>
      <c r="F903">
        <v>65</v>
      </c>
      <c r="G903">
        <v>40</v>
      </c>
      <c r="H903">
        <v>30</v>
      </c>
      <c r="I903">
        <v>40</v>
      </c>
      <c r="J903">
        <v>60</v>
      </c>
      <c r="K903">
        <v>280</v>
      </c>
    </row>
    <row r="904" spans="1:11" x14ac:dyDescent="0.25">
      <c r="A904" t="s">
        <v>2123</v>
      </c>
      <c r="B904" t="s">
        <v>2121</v>
      </c>
      <c r="C904" t="s">
        <v>290</v>
      </c>
      <c r="E904">
        <v>75</v>
      </c>
      <c r="F904">
        <v>115</v>
      </c>
      <c r="G904">
        <v>65</v>
      </c>
      <c r="H904">
        <v>55</v>
      </c>
      <c r="I904">
        <v>65</v>
      </c>
      <c r="J904">
        <v>112</v>
      </c>
      <c r="K904">
        <v>487</v>
      </c>
    </row>
    <row r="905" spans="1:11" x14ac:dyDescent="0.25">
      <c r="A905" t="s">
        <v>2125</v>
      </c>
      <c r="B905" t="s">
        <v>2124</v>
      </c>
      <c r="C905" t="s">
        <v>290</v>
      </c>
      <c r="E905">
        <v>85</v>
      </c>
      <c r="F905">
        <v>115</v>
      </c>
      <c r="G905">
        <v>75</v>
      </c>
      <c r="H905">
        <v>55</v>
      </c>
      <c r="I905">
        <v>75</v>
      </c>
      <c r="J905">
        <v>82</v>
      </c>
      <c r="K905">
        <v>487</v>
      </c>
    </row>
    <row r="906" spans="1:11" x14ac:dyDescent="0.25">
      <c r="A906" t="s">
        <v>2127</v>
      </c>
      <c r="B906" t="s">
        <v>2126</v>
      </c>
      <c r="C906" t="s">
        <v>290</v>
      </c>
      <c r="E906">
        <v>75</v>
      </c>
      <c r="F906">
        <v>117</v>
      </c>
      <c r="G906">
        <v>65</v>
      </c>
      <c r="H906">
        <v>55</v>
      </c>
      <c r="I906">
        <v>65</v>
      </c>
      <c r="J906">
        <v>110</v>
      </c>
      <c r="K906">
        <v>487</v>
      </c>
    </row>
    <row r="907" spans="1:11" x14ac:dyDescent="0.25">
      <c r="A907" t="s">
        <v>2130</v>
      </c>
      <c r="B907" t="s">
        <v>2128</v>
      </c>
      <c r="C907" t="s">
        <v>76</v>
      </c>
      <c r="E907">
        <v>45</v>
      </c>
      <c r="F907">
        <v>20</v>
      </c>
      <c r="G907">
        <v>20</v>
      </c>
      <c r="H907">
        <v>25</v>
      </c>
      <c r="I907">
        <v>25</v>
      </c>
      <c r="J907">
        <v>40</v>
      </c>
      <c r="K907">
        <v>175</v>
      </c>
    </row>
    <row r="908" spans="1:11" x14ac:dyDescent="0.25">
      <c r="A908" t="s">
        <v>2133</v>
      </c>
      <c r="B908" t="s">
        <v>2132</v>
      </c>
      <c r="C908" t="s">
        <v>76</v>
      </c>
      <c r="E908">
        <v>45</v>
      </c>
      <c r="F908">
        <v>140</v>
      </c>
      <c r="G908">
        <v>130</v>
      </c>
      <c r="H908">
        <v>140</v>
      </c>
      <c r="I908">
        <v>135</v>
      </c>
      <c r="J908">
        <v>30</v>
      </c>
      <c r="K908">
        <v>620</v>
      </c>
    </row>
    <row r="909" spans="1:11" x14ac:dyDescent="0.25">
      <c r="A909" t="s">
        <v>2135</v>
      </c>
      <c r="B909" t="s">
        <v>2134</v>
      </c>
      <c r="C909" t="s">
        <v>41</v>
      </c>
      <c r="D909" t="s">
        <v>76</v>
      </c>
      <c r="E909">
        <v>50</v>
      </c>
      <c r="F909">
        <v>53</v>
      </c>
      <c r="G909">
        <v>62</v>
      </c>
      <c r="H909">
        <v>43</v>
      </c>
      <c r="I909">
        <v>52</v>
      </c>
      <c r="J909">
        <v>45</v>
      </c>
      <c r="K909">
        <v>305</v>
      </c>
    </row>
    <row r="910" spans="1:11" x14ac:dyDescent="0.25">
      <c r="A910" t="s">
        <v>2138</v>
      </c>
      <c r="B910" t="s">
        <v>2137</v>
      </c>
      <c r="C910" t="s">
        <v>41</v>
      </c>
      <c r="D910" t="s">
        <v>76</v>
      </c>
      <c r="E910">
        <v>50</v>
      </c>
      <c r="F910">
        <v>63</v>
      </c>
      <c r="G910">
        <v>152</v>
      </c>
      <c r="H910">
        <v>53</v>
      </c>
      <c r="I910">
        <v>142</v>
      </c>
      <c r="J910">
        <v>35</v>
      </c>
      <c r="K910">
        <v>495</v>
      </c>
    </row>
    <row r="911" spans="1:11" x14ac:dyDescent="0.25">
      <c r="A911" t="s">
        <v>2140</v>
      </c>
      <c r="B911" t="s">
        <v>2139</v>
      </c>
      <c r="C911" t="s">
        <v>132</v>
      </c>
      <c r="E911">
        <v>70</v>
      </c>
      <c r="F911">
        <v>100</v>
      </c>
      <c r="G911">
        <v>70</v>
      </c>
      <c r="H911">
        <v>45</v>
      </c>
      <c r="I911">
        <v>55</v>
      </c>
      <c r="J911">
        <v>45</v>
      </c>
      <c r="K911">
        <v>385</v>
      </c>
    </row>
    <row r="912" spans="1:11" x14ac:dyDescent="0.25">
      <c r="A912" t="s">
        <v>2143</v>
      </c>
      <c r="B912" t="s">
        <v>2142</v>
      </c>
      <c r="C912" t="s">
        <v>132</v>
      </c>
      <c r="E912">
        <v>100</v>
      </c>
      <c r="F912">
        <v>125</v>
      </c>
      <c r="G912">
        <v>100</v>
      </c>
      <c r="H912">
        <v>55</v>
      </c>
      <c r="I912">
        <v>85</v>
      </c>
      <c r="J912">
        <v>35</v>
      </c>
      <c r="K912">
        <v>500</v>
      </c>
    </row>
    <row r="913" spans="1:11" x14ac:dyDescent="0.25">
      <c r="A913" t="s">
        <v>2145</v>
      </c>
      <c r="B913" t="s">
        <v>2144</v>
      </c>
      <c r="C913" t="s">
        <v>76</v>
      </c>
      <c r="D913" t="s">
        <v>90</v>
      </c>
      <c r="E913">
        <v>38</v>
      </c>
      <c r="F913">
        <v>40</v>
      </c>
      <c r="G913">
        <v>52</v>
      </c>
      <c r="H913">
        <v>40</v>
      </c>
      <c r="I913">
        <v>72</v>
      </c>
      <c r="J913">
        <v>27</v>
      </c>
      <c r="K913">
        <v>269</v>
      </c>
    </row>
    <row r="914" spans="1:11" x14ac:dyDescent="0.25">
      <c r="A914" t="s">
        <v>2148</v>
      </c>
      <c r="B914" t="s">
        <v>2147</v>
      </c>
      <c r="C914" t="s">
        <v>76</v>
      </c>
      <c r="D914" t="s">
        <v>90</v>
      </c>
      <c r="E914">
        <v>68</v>
      </c>
      <c r="F914">
        <v>70</v>
      </c>
      <c r="G914">
        <v>92</v>
      </c>
      <c r="H914">
        <v>50</v>
      </c>
      <c r="I914">
        <v>132</v>
      </c>
      <c r="J914">
        <v>42</v>
      </c>
      <c r="K914">
        <v>454</v>
      </c>
    </row>
    <row r="915" spans="1:11" x14ac:dyDescent="0.25">
      <c r="A915" t="s">
        <v>2150</v>
      </c>
      <c r="B915" t="s">
        <v>2149</v>
      </c>
      <c r="C915" t="s">
        <v>40</v>
      </c>
      <c r="E915">
        <v>40</v>
      </c>
      <c r="F915">
        <v>55</v>
      </c>
      <c r="G915">
        <v>35</v>
      </c>
      <c r="H915">
        <v>50</v>
      </c>
      <c r="I915">
        <v>35</v>
      </c>
      <c r="J915">
        <v>35</v>
      </c>
      <c r="K915">
        <v>250</v>
      </c>
    </row>
    <row r="916" spans="1:11" x14ac:dyDescent="0.25">
      <c r="A916" t="s">
        <v>2152</v>
      </c>
      <c r="B916" t="s">
        <v>2151</v>
      </c>
      <c r="C916" t="s">
        <v>40</v>
      </c>
      <c r="E916">
        <v>70</v>
      </c>
      <c r="F916">
        <v>105</v>
      </c>
      <c r="G916">
        <v>90</v>
      </c>
      <c r="H916">
        <v>80</v>
      </c>
      <c r="I916">
        <v>90</v>
      </c>
      <c r="J916">
        <v>45</v>
      </c>
      <c r="K916">
        <v>480</v>
      </c>
    </row>
    <row r="917" spans="1:11" x14ac:dyDescent="0.25">
      <c r="A917" t="s">
        <v>2154</v>
      </c>
      <c r="B917" t="s">
        <v>2153</v>
      </c>
      <c r="C917" t="s">
        <v>40</v>
      </c>
      <c r="D917" t="s">
        <v>157</v>
      </c>
      <c r="E917">
        <v>40</v>
      </c>
      <c r="F917">
        <v>35</v>
      </c>
      <c r="G917">
        <v>55</v>
      </c>
      <c r="H917">
        <v>65</v>
      </c>
      <c r="I917">
        <v>75</v>
      </c>
      <c r="J917">
        <v>15</v>
      </c>
      <c r="K917">
        <v>285</v>
      </c>
    </row>
    <row r="918" spans="1:11" x14ac:dyDescent="0.25">
      <c r="A918" t="s">
        <v>2156</v>
      </c>
      <c r="B918" t="s">
        <v>2155</v>
      </c>
      <c r="C918" t="s">
        <v>40</v>
      </c>
      <c r="D918" t="s">
        <v>157</v>
      </c>
      <c r="E918">
        <v>60</v>
      </c>
      <c r="F918">
        <v>45</v>
      </c>
      <c r="G918">
        <v>80</v>
      </c>
      <c r="H918">
        <v>90</v>
      </c>
      <c r="I918">
        <v>100</v>
      </c>
      <c r="J918">
        <v>30</v>
      </c>
      <c r="K918">
        <v>405</v>
      </c>
    </row>
    <row r="919" spans="1:11" x14ac:dyDescent="0.25">
      <c r="A919" t="s">
        <v>2158</v>
      </c>
      <c r="B919" t="s">
        <v>2157</v>
      </c>
      <c r="C919" t="s">
        <v>41</v>
      </c>
      <c r="D919" t="s">
        <v>57</v>
      </c>
      <c r="E919">
        <v>48</v>
      </c>
      <c r="F919">
        <v>44</v>
      </c>
      <c r="G919">
        <v>40</v>
      </c>
      <c r="H919">
        <v>71</v>
      </c>
      <c r="I919">
        <v>40</v>
      </c>
      <c r="J919">
        <v>77</v>
      </c>
      <c r="K919">
        <v>320</v>
      </c>
    </row>
    <row r="920" spans="1:11" x14ac:dyDescent="0.25">
      <c r="A920" t="s">
        <v>2161</v>
      </c>
      <c r="B920" t="s">
        <v>2160</v>
      </c>
      <c r="C920" t="s">
        <v>41</v>
      </c>
      <c r="D920" t="s">
        <v>57</v>
      </c>
      <c r="E920">
        <v>68</v>
      </c>
      <c r="F920">
        <v>64</v>
      </c>
      <c r="G920">
        <v>60</v>
      </c>
      <c r="H920">
        <v>111</v>
      </c>
      <c r="I920">
        <v>60</v>
      </c>
      <c r="J920">
        <v>117</v>
      </c>
      <c r="K920">
        <v>480</v>
      </c>
    </row>
    <row r="921" spans="1:11" x14ac:dyDescent="0.25">
      <c r="A921" t="s">
        <v>2163</v>
      </c>
      <c r="B921" t="s">
        <v>2162</v>
      </c>
      <c r="C921" t="s">
        <v>116</v>
      </c>
      <c r="D921" t="s">
        <v>279</v>
      </c>
      <c r="E921">
        <v>70</v>
      </c>
      <c r="F921">
        <v>75</v>
      </c>
      <c r="G921">
        <v>50</v>
      </c>
      <c r="H921">
        <v>45</v>
      </c>
      <c r="I921">
        <v>50</v>
      </c>
      <c r="J921">
        <v>50</v>
      </c>
      <c r="K921">
        <v>340</v>
      </c>
    </row>
    <row r="922" spans="1:11" x14ac:dyDescent="0.25">
      <c r="A922" t="s">
        <v>2166</v>
      </c>
      <c r="B922" t="s">
        <v>2165</v>
      </c>
      <c r="C922" t="s">
        <v>116</v>
      </c>
      <c r="D922" t="s">
        <v>279</v>
      </c>
      <c r="E922">
        <v>120</v>
      </c>
      <c r="F922">
        <v>125</v>
      </c>
      <c r="G922">
        <v>80</v>
      </c>
      <c r="H922">
        <v>55</v>
      </c>
      <c r="I922">
        <v>60</v>
      </c>
      <c r="J922">
        <v>60</v>
      </c>
      <c r="K922">
        <v>500</v>
      </c>
    </row>
    <row r="923" spans="1:11" x14ac:dyDescent="0.25">
      <c r="A923" t="s">
        <v>2168</v>
      </c>
      <c r="B923" t="s">
        <v>2167</v>
      </c>
      <c r="C923" t="s">
        <v>40</v>
      </c>
      <c r="E923">
        <v>42</v>
      </c>
      <c r="F923">
        <v>30</v>
      </c>
      <c r="G923">
        <v>38</v>
      </c>
      <c r="H923">
        <v>30</v>
      </c>
      <c r="I923">
        <v>38</v>
      </c>
      <c r="J923">
        <v>32</v>
      </c>
      <c r="K923">
        <v>210</v>
      </c>
    </row>
    <row r="924" spans="1:11" x14ac:dyDescent="0.25">
      <c r="A924" t="s">
        <v>2170</v>
      </c>
      <c r="B924" t="s">
        <v>2169</v>
      </c>
      <c r="C924" t="s">
        <v>40</v>
      </c>
      <c r="E924">
        <v>52</v>
      </c>
      <c r="F924">
        <v>40</v>
      </c>
      <c r="G924">
        <v>48</v>
      </c>
      <c r="H924">
        <v>40</v>
      </c>
      <c r="I924">
        <v>48</v>
      </c>
      <c r="J924">
        <v>62</v>
      </c>
      <c r="K924">
        <v>290</v>
      </c>
    </row>
    <row r="925" spans="1:11" x14ac:dyDescent="0.25">
      <c r="A925" t="s">
        <v>2172</v>
      </c>
      <c r="B925" t="s">
        <v>2171</v>
      </c>
      <c r="C925" t="s">
        <v>40</v>
      </c>
      <c r="E925">
        <v>72</v>
      </c>
      <c r="F925">
        <v>120</v>
      </c>
      <c r="G925">
        <v>98</v>
      </c>
      <c r="H925">
        <v>50</v>
      </c>
      <c r="I925">
        <v>98</v>
      </c>
      <c r="J925">
        <v>72</v>
      </c>
      <c r="K925">
        <v>510</v>
      </c>
    </row>
    <row r="926" spans="1:11" x14ac:dyDescent="0.25">
      <c r="A926" t="s">
        <v>2175</v>
      </c>
      <c r="B926" t="s">
        <v>2174</v>
      </c>
      <c r="C926" t="s">
        <v>157</v>
      </c>
      <c r="E926">
        <v>51</v>
      </c>
      <c r="F926">
        <v>52</v>
      </c>
      <c r="G926">
        <v>90</v>
      </c>
      <c r="H926">
        <v>82</v>
      </c>
      <c r="I926">
        <v>110</v>
      </c>
      <c r="J926">
        <v>100</v>
      </c>
      <c r="K926">
        <v>485</v>
      </c>
    </row>
    <row r="927" spans="1:11" x14ac:dyDescent="0.25">
      <c r="A927" t="s">
        <v>2178</v>
      </c>
      <c r="B927" t="s">
        <v>2177</v>
      </c>
      <c r="C927" t="s">
        <v>116</v>
      </c>
      <c r="D927" t="s">
        <v>162</v>
      </c>
      <c r="E927">
        <v>90</v>
      </c>
      <c r="F927">
        <v>60</v>
      </c>
      <c r="G927">
        <v>80</v>
      </c>
      <c r="H927">
        <v>90</v>
      </c>
      <c r="I927">
        <v>110</v>
      </c>
      <c r="J927">
        <v>60</v>
      </c>
      <c r="K927">
        <v>490</v>
      </c>
    </row>
    <row r="928" spans="1:11" x14ac:dyDescent="0.25">
      <c r="A928" t="s">
        <v>2180</v>
      </c>
      <c r="B928" t="s">
        <v>2179</v>
      </c>
      <c r="C928" t="s">
        <v>279</v>
      </c>
      <c r="E928">
        <v>100</v>
      </c>
      <c r="F928">
        <v>120</v>
      </c>
      <c r="G928">
        <v>90</v>
      </c>
      <c r="H928">
        <v>40</v>
      </c>
      <c r="I928">
        <v>60</v>
      </c>
      <c r="J928">
        <v>80</v>
      </c>
      <c r="K928">
        <v>490</v>
      </c>
    </row>
    <row r="929" spans="1:11" x14ac:dyDescent="0.25">
      <c r="A929" t="s">
        <v>2183</v>
      </c>
      <c r="B929" t="s">
        <v>2182</v>
      </c>
      <c r="C929" t="s">
        <v>90</v>
      </c>
      <c r="D929" t="s">
        <v>76</v>
      </c>
      <c r="E929">
        <v>25</v>
      </c>
      <c r="F929">
        <v>35</v>
      </c>
      <c r="G929">
        <v>40</v>
      </c>
      <c r="H929">
        <v>20</v>
      </c>
      <c r="I929">
        <v>30</v>
      </c>
      <c r="J929">
        <v>80</v>
      </c>
      <c r="K929">
        <v>230</v>
      </c>
    </row>
    <row r="930" spans="1:11" x14ac:dyDescent="0.25">
      <c r="A930" t="s">
        <v>2186</v>
      </c>
      <c r="B930" t="s">
        <v>2185</v>
      </c>
      <c r="C930" t="s">
        <v>90</v>
      </c>
      <c r="D930" t="s">
        <v>76</v>
      </c>
      <c r="E930">
        <v>75</v>
      </c>
      <c r="F930">
        <v>125</v>
      </c>
      <c r="G930">
        <v>140</v>
      </c>
      <c r="H930">
        <v>60</v>
      </c>
      <c r="I930">
        <v>90</v>
      </c>
      <c r="J930">
        <v>40</v>
      </c>
      <c r="K930">
        <v>530</v>
      </c>
    </row>
    <row r="931" spans="1:11" x14ac:dyDescent="0.25">
      <c r="A931" t="s">
        <v>2189</v>
      </c>
      <c r="B931" t="s">
        <v>2188</v>
      </c>
      <c r="C931" t="s">
        <v>419</v>
      </c>
      <c r="D931" t="s">
        <v>132</v>
      </c>
      <c r="E931">
        <v>55</v>
      </c>
      <c r="F931">
        <v>55</v>
      </c>
      <c r="G931">
        <v>80</v>
      </c>
      <c r="H931">
        <v>70</v>
      </c>
      <c r="I931">
        <v>45</v>
      </c>
      <c r="J931">
        <v>15</v>
      </c>
      <c r="K931">
        <v>320</v>
      </c>
    </row>
    <row r="932" spans="1:11" x14ac:dyDescent="0.25">
      <c r="A932" t="s">
        <v>2192</v>
      </c>
      <c r="B932" t="s">
        <v>2191</v>
      </c>
      <c r="C932" t="s">
        <v>419</v>
      </c>
      <c r="D932" t="s">
        <v>132</v>
      </c>
      <c r="E932">
        <v>85</v>
      </c>
      <c r="F932">
        <v>75</v>
      </c>
      <c r="G932">
        <v>110</v>
      </c>
      <c r="H932">
        <v>100</v>
      </c>
      <c r="I932">
        <v>75</v>
      </c>
      <c r="J932">
        <v>35</v>
      </c>
      <c r="K932">
        <v>480</v>
      </c>
    </row>
    <row r="933" spans="1:11" x14ac:dyDescent="0.25">
      <c r="A933" t="s">
        <v>2194</v>
      </c>
      <c r="B933" t="s">
        <v>2193</v>
      </c>
      <c r="C933" t="s">
        <v>76</v>
      </c>
      <c r="E933">
        <v>55</v>
      </c>
      <c r="F933">
        <v>60</v>
      </c>
      <c r="G933">
        <v>130</v>
      </c>
      <c r="H933">
        <v>30</v>
      </c>
      <c r="I933">
        <v>130</v>
      </c>
      <c r="J933">
        <v>5</v>
      </c>
      <c r="K933">
        <v>410</v>
      </c>
    </row>
    <row r="934" spans="1:11" x14ac:dyDescent="0.25">
      <c r="A934" t="s">
        <v>2197</v>
      </c>
      <c r="B934" t="s">
        <v>2196</v>
      </c>
      <c r="C934" t="s">
        <v>116</v>
      </c>
      <c r="E934">
        <v>95</v>
      </c>
      <c r="F934">
        <v>95</v>
      </c>
      <c r="G934">
        <v>95</v>
      </c>
      <c r="H934">
        <v>95</v>
      </c>
      <c r="I934">
        <v>95</v>
      </c>
      <c r="J934">
        <v>59</v>
      </c>
      <c r="K934">
        <v>534</v>
      </c>
    </row>
    <row r="935" spans="1:11" x14ac:dyDescent="0.25">
      <c r="A935" t="s">
        <v>2199</v>
      </c>
      <c r="B935" t="s">
        <v>2198</v>
      </c>
      <c r="C935" t="s">
        <v>116</v>
      </c>
      <c r="E935">
        <v>95</v>
      </c>
      <c r="F935">
        <v>95</v>
      </c>
      <c r="G935">
        <v>95</v>
      </c>
      <c r="H935">
        <v>95</v>
      </c>
      <c r="I935">
        <v>95</v>
      </c>
      <c r="J935">
        <v>95</v>
      </c>
      <c r="K935">
        <v>570</v>
      </c>
    </row>
    <row r="936" spans="1:11" x14ac:dyDescent="0.25">
      <c r="A936" t="s">
        <v>2203</v>
      </c>
      <c r="B936" t="s">
        <v>2201</v>
      </c>
      <c r="C936" t="s">
        <v>290</v>
      </c>
      <c r="D936" t="s">
        <v>66</v>
      </c>
      <c r="E936">
        <v>60</v>
      </c>
      <c r="F936">
        <v>60</v>
      </c>
      <c r="G936">
        <v>100</v>
      </c>
      <c r="H936">
        <v>60</v>
      </c>
      <c r="I936">
        <v>100</v>
      </c>
      <c r="J936">
        <v>60</v>
      </c>
      <c r="K936">
        <v>440</v>
      </c>
    </row>
    <row r="937" spans="1:11" x14ac:dyDescent="0.25">
      <c r="A937" t="s">
        <v>2206</v>
      </c>
      <c r="B937" t="s">
        <v>2205</v>
      </c>
      <c r="C937" t="s">
        <v>290</v>
      </c>
      <c r="D937" t="s">
        <v>66</v>
      </c>
      <c r="E937">
        <v>60</v>
      </c>
      <c r="F937">
        <v>100</v>
      </c>
      <c r="G937">
        <v>60</v>
      </c>
      <c r="H937">
        <v>100</v>
      </c>
      <c r="I937">
        <v>60</v>
      </c>
      <c r="J937">
        <v>120</v>
      </c>
      <c r="K937">
        <v>500</v>
      </c>
    </row>
    <row r="938" spans="1:11" x14ac:dyDescent="0.25">
      <c r="A938" t="s">
        <v>2208</v>
      </c>
      <c r="B938" t="s">
        <v>2207</v>
      </c>
      <c r="C938" t="s">
        <v>290</v>
      </c>
      <c r="D938" t="s">
        <v>66</v>
      </c>
      <c r="E938">
        <v>60</v>
      </c>
      <c r="F938">
        <v>100</v>
      </c>
      <c r="G938">
        <v>60</v>
      </c>
      <c r="H938">
        <v>100</v>
      </c>
      <c r="I938">
        <v>60</v>
      </c>
      <c r="J938">
        <v>120</v>
      </c>
      <c r="K938">
        <v>500</v>
      </c>
    </row>
    <row r="939" spans="1:11" x14ac:dyDescent="0.25">
      <c r="A939" t="s">
        <v>2210</v>
      </c>
      <c r="B939" t="s">
        <v>2209</v>
      </c>
      <c r="C939" t="s">
        <v>290</v>
      </c>
      <c r="D939" t="s">
        <v>66</v>
      </c>
      <c r="E939">
        <v>60</v>
      </c>
      <c r="F939">
        <v>100</v>
      </c>
      <c r="G939">
        <v>60</v>
      </c>
      <c r="H939">
        <v>100</v>
      </c>
      <c r="I939">
        <v>60</v>
      </c>
      <c r="J939">
        <v>120</v>
      </c>
      <c r="K939">
        <v>500</v>
      </c>
    </row>
    <row r="940" spans="1:11" x14ac:dyDescent="0.25">
      <c r="A940" t="s">
        <v>2212</v>
      </c>
      <c r="B940" t="s">
        <v>2211</v>
      </c>
      <c r="C940" t="s">
        <v>290</v>
      </c>
      <c r="D940" t="s">
        <v>66</v>
      </c>
      <c r="E940">
        <v>60</v>
      </c>
      <c r="F940">
        <v>100</v>
      </c>
      <c r="G940">
        <v>60</v>
      </c>
      <c r="H940">
        <v>100</v>
      </c>
      <c r="I940">
        <v>60</v>
      </c>
      <c r="J940">
        <v>120</v>
      </c>
      <c r="K940">
        <v>500</v>
      </c>
    </row>
    <row r="941" spans="1:11" x14ac:dyDescent="0.25">
      <c r="A941" t="s">
        <v>2214</v>
      </c>
      <c r="B941" t="s">
        <v>2213</v>
      </c>
      <c r="C941" t="s">
        <v>290</v>
      </c>
      <c r="D941" t="s">
        <v>66</v>
      </c>
      <c r="E941">
        <v>60</v>
      </c>
      <c r="F941">
        <v>100</v>
      </c>
      <c r="G941">
        <v>60</v>
      </c>
      <c r="H941">
        <v>100</v>
      </c>
      <c r="I941">
        <v>60</v>
      </c>
      <c r="J941">
        <v>120</v>
      </c>
      <c r="K941">
        <v>500</v>
      </c>
    </row>
    <row r="942" spans="1:11" x14ac:dyDescent="0.25">
      <c r="A942" t="s">
        <v>2216</v>
      </c>
      <c r="B942" t="s">
        <v>2215</v>
      </c>
      <c r="C942" t="s">
        <v>290</v>
      </c>
      <c r="D942" t="s">
        <v>66</v>
      </c>
      <c r="E942">
        <v>60</v>
      </c>
      <c r="F942">
        <v>100</v>
      </c>
      <c r="G942">
        <v>60</v>
      </c>
      <c r="H942">
        <v>100</v>
      </c>
      <c r="I942">
        <v>60</v>
      </c>
      <c r="J942">
        <v>120</v>
      </c>
      <c r="K942">
        <v>500</v>
      </c>
    </row>
    <row r="943" spans="1:11" x14ac:dyDescent="0.25">
      <c r="A943" t="s">
        <v>2218</v>
      </c>
      <c r="B943" t="s">
        <v>2217</v>
      </c>
      <c r="C943" t="s">
        <v>290</v>
      </c>
      <c r="D943" t="s">
        <v>66</v>
      </c>
      <c r="E943">
        <v>60</v>
      </c>
      <c r="F943">
        <v>100</v>
      </c>
      <c r="G943">
        <v>60</v>
      </c>
      <c r="H943">
        <v>100</v>
      </c>
      <c r="I943">
        <v>60</v>
      </c>
      <c r="J943">
        <v>120</v>
      </c>
      <c r="K943">
        <v>500</v>
      </c>
    </row>
    <row r="944" spans="1:11" x14ac:dyDescent="0.25">
      <c r="A944" t="s">
        <v>2220</v>
      </c>
      <c r="B944" t="s">
        <v>2219</v>
      </c>
      <c r="C944" t="s">
        <v>116</v>
      </c>
      <c r="E944">
        <v>65</v>
      </c>
      <c r="F944">
        <v>115</v>
      </c>
      <c r="G944">
        <v>65</v>
      </c>
      <c r="H944">
        <v>75</v>
      </c>
      <c r="I944">
        <v>95</v>
      </c>
      <c r="J944">
        <v>65</v>
      </c>
      <c r="K944">
        <v>480</v>
      </c>
    </row>
    <row r="945" spans="1:11" x14ac:dyDescent="0.25">
      <c r="A945" t="s">
        <v>2223</v>
      </c>
      <c r="B945" t="s">
        <v>2222</v>
      </c>
      <c r="C945" t="s">
        <v>57</v>
      </c>
      <c r="D945" t="s">
        <v>61</v>
      </c>
      <c r="E945">
        <v>60</v>
      </c>
      <c r="F945">
        <v>78</v>
      </c>
      <c r="G945">
        <v>135</v>
      </c>
      <c r="H945">
        <v>91</v>
      </c>
      <c r="I945">
        <v>85</v>
      </c>
      <c r="J945">
        <v>36</v>
      </c>
      <c r="K945">
        <v>485</v>
      </c>
    </row>
    <row r="946" spans="1:11" x14ac:dyDescent="0.25">
      <c r="A946" t="s">
        <v>2225</v>
      </c>
      <c r="B946" t="s">
        <v>2224</v>
      </c>
      <c r="C946" t="s">
        <v>154</v>
      </c>
      <c r="D946" t="s">
        <v>171</v>
      </c>
      <c r="E946">
        <v>65</v>
      </c>
      <c r="F946">
        <v>98</v>
      </c>
      <c r="G946">
        <v>63</v>
      </c>
      <c r="H946">
        <v>40</v>
      </c>
      <c r="I946">
        <v>73</v>
      </c>
      <c r="J946">
        <v>96</v>
      </c>
      <c r="K946">
        <v>435</v>
      </c>
    </row>
    <row r="947" spans="1:11" x14ac:dyDescent="0.25">
      <c r="A947" t="s">
        <v>2227</v>
      </c>
      <c r="B947" t="s">
        <v>2226</v>
      </c>
      <c r="C947" t="s">
        <v>419</v>
      </c>
      <c r="D947" t="s">
        <v>157</v>
      </c>
      <c r="E947">
        <v>55</v>
      </c>
      <c r="F947">
        <v>90</v>
      </c>
      <c r="G947">
        <v>80</v>
      </c>
      <c r="H947">
        <v>50</v>
      </c>
      <c r="I947">
        <v>105</v>
      </c>
      <c r="J947">
        <v>96</v>
      </c>
      <c r="K947">
        <v>476</v>
      </c>
    </row>
    <row r="948" spans="1:11" x14ac:dyDescent="0.25">
      <c r="A948" t="s">
        <v>2230</v>
      </c>
      <c r="B948" t="s">
        <v>2229</v>
      </c>
      <c r="C948" t="s">
        <v>76</v>
      </c>
      <c r="D948" t="s">
        <v>162</v>
      </c>
      <c r="E948">
        <v>68</v>
      </c>
      <c r="F948">
        <v>105</v>
      </c>
      <c r="G948">
        <v>70</v>
      </c>
      <c r="H948">
        <v>70</v>
      </c>
      <c r="I948">
        <v>70</v>
      </c>
      <c r="J948">
        <v>92</v>
      </c>
      <c r="K948">
        <v>475</v>
      </c>
    </row>
    <row r="949" spans="1:11" x14ac:dyDescent="0.25">
      <c r="A949" t="s">
        <v>2233</v>
      </c>
      <c r="B949" t="s">
        <v>2232</v>
      </c>
      <c r="C949" t="s">
        <v>116</v>
      </c>
      <c r="D949" t="s">
        <v>61</v>
      </c>
      <c r="E949">
        <v>78</v>
      </c>
      <c r="F949">
        <v>60</v>
      </c>
      <c r="G949">
        <v>85</v>
      </c>
      <c r="H949">
        <v>135</v>
      </c>
      <c r="I949">
        <v>91</v>
      </c>
      <c r="J949">
        <v>36</v>
      </c>
      <c r="K949">
        <v>485</v>
      </c>
    </row>
    <row r="950" spans="1:11" x14ac:dyDescent="0.25">
      <c r="A950" t="s">
        <v>2235</v>
      </c>
      <c r="B950" t="s">
        <v>2234</v>
      </c>
      <c r="C950" t="s">
        <v>419</v>
      </c>
      <c r="D950" t="s">
        <v>40</v>
      </c>
      <c r="E950">
        <v>70</v>
      </c>
      <c r="F950">
        <v>131</v>
      </c>
      <c r="G950">
        <v>100</v>
      </c>
      <c r="H950">
        <v>86</v>
      </c>
      <c r="I950">
        <v>90</v>
      </c>
      <c r="J950">
        <v>40</v>
      </c>
      <c r="K950">
        <v>517</v>
      </c>
    </row>
    <row r="951" spans="1:11" x14ac:dyDescent="0.25">
      <c r="A951" t="s">
        <v>2238</v>
      </c>
      <c r="B951" t="s">
        <v>2237</v>
      </c>
      <c r="C951" t="s">
        <v>61</v>
      </c>
      <c r="E951">
        <v>45</v>
      </c>
      <c r="F951">
        <v>55</v>
      </c>
      <c r="G951">
        <v>65</v>
      </c>
      <c r="H951">
        <v>45</v>
      </c>
      <c r="I951">
        <v>45</v>
      </c>
      <c r="J951">
        <v>45</v>
      </c>
      <c r="K951">
        <v>300</v>
      </c>
    </row>
    <row r="952" spans="1:11" x14ac:dyDescent="0.25">
      <c r="A952" t="s">
        <v>2240</v>
      </c>
      <c r="B952" t="s">
        <v>2239</v>
      </c>
      <c r="C952" t="s">
        <v>61</v>
      </c>
      <c r="D952" t="s">
        <v>279</v>
      </c>
      <c r="E952">
        <v>55</v>
      </c>
      <c r="F952">
        <v>75</v>
      </c>
      <c r="G952">
        <v>90</v>
      </c>
      <c r="H952">
        <v>65</v>
      </c>
      <c r="I952">
        <v>70</v>
      </c>
      <c r="J952">
        <v>65</v>
      </c>
      <c r="K952">
        <v>420</v>
      </c>
    </row>
    <row r="953" spans="1:11" x14ac:dyDescent="0.25">
      <c r="A953" t="s">
        <v>2242</v>
      </c>
      <c r="B953" t="s">
        <v>2241</v>
      </c>
      <c r="C953" t="s">
        <v>61</v>
      </c>
      <c r="D953" t="s">
        <v>279</v>
      </c>
      <c r="E953">
        <v>75</v>
      </c>
      <c r="F953">
        <v>110</v>
      </c>
      <c r="G953">
        <v>125</v>
      </c>
      <c r="H953">
        <v>100</v>
      </c>
      <c r="I953">
        <v>105</v>
      </c>
      <c r="J953">
        <v>85</v>
      </c>
      <c r="K953">
        <v>600</v>
      </c>
    </row>
    <row r="954" spans="1:11" x14ac:dyDescent="0.25">
      <c r="A954" t="s">
        <v>2244</v>
      </c>
      <c r="B954" t="s">
        <v>2243</v>
      </c>
      <c r="C954" t="s">
        <v>154</v>
      </c>
      <c r="D954" t="s">
        <v>157</v>
      </c>
      <c r="E954">
        <v>70</v>
      </c>
      <c r="F954">
        <v>115</v>
      </c>
      <c r="G954">
        <v>85</v>
      </c>
      <c r="H954">
        <v>95</v>
      </c>
      <c r="I954">
        <v>75</v>
      </c>
      <c r="J954">
        <v>130</v>
      </c>
      <c r="K954">
        <v>570</v>
      </c>
    </row>
    <row r="955" spans="1:11" x14ac:dyDescent="0.25">
      <c r="A955" t="s">
        <v>2247</v>
      </c>
      <c r="B955" t="s">
        <v>2246</v>
      </c>
      <c r="C955" t="s">
        <v>162</v>
      </c>
      <c r="D955" t="s">
        <v>157</v>
      </c>
      <c r="E955">
        <v>70</v>
      </c>
      <c r="F955">
        <v>85</v>
      </c>
      <c r="G955">
        <v>75</v>
      </c>
      <c r="H955">
        <v>130</v>
      </c>
      <c r="I955">
        <v>115</v>
      </c>
      <c r="J955">
        <v>95</v>
      </c>
      <c r="K955">
        <v>570</v>
      </c>
    </row>
    <row r="956" spans="1:11" x14ac:dyDescent="0.25">
      <c r="A956" t="s">
        <v>2250</v>
      </c>
      <c r="B956" t="s">
        <v>2249</v>
      </c>
      <c r="C956" t="s">
        <v>40</v>
      </c>
      <c r="D956" t="s">
        <v>157</v>
      </c>
      <c r="E956">
        <v>70</v>
      </c>
      <c r="F956">
        <v>130</v>
      </c>
      <c r="G956">
        <v>115</v>
      </c>
      <c r="H956">
        <v>85</v>
      </c>
      <c r="I956">
        <v>95</v>
      </c>
      <c r="J956">
        <v>75</v>
      </c>
      <c r="K956">
        <v>570</v>
      </c>
    </row>
    <row r="957" spans="1:11" x14ac:dyDescent="0.25">
      <c r="A957" t="s">
        <v>2253</v>
      </c>
      <c r="B957" t="s">
        <v>2252</v>
      </c>
      <c r="C957" t="s">
        <v>76</v>
      </c>
      <c r="D957" t="s">
        <v>157</v>
      </c>
      <c r="E957">
        <v>70</v>
      </c>
      <c r="F957">
        <v>75</v>
      </c>
      <c r="G957">
        <v>115</v>
      </c>
      <c r="H957">
        <v>95</v>
      </c>
      <c r="I957">
        <v>130</v>
      </c>
      <c r="J957">
        <v>85</v>
      </c>
      <c r="K957">
        <v>570</v>
      </c>
    </row>
    <row r="958" spans="1:11" x14ac:dyDescent="0.25">
      <c r="A958" t="s">
        <v>2255</v>
      </c>
      <c r="B958" t="s">
        <v>2254</v>
      </c>
      <c r="C958" t="s">
        <v>162</v>
      </c>
      <c r="E958">
        <v>43</v>
      </c>
      <c r="F958">
        <v>29</v>
      </c>
      <c r="G958">
        <v>31</v>
      </c>
      <c r="H958">
        <v>29</v>
      </c>
      <c r="I958">
        <v>31</v>
      </c>
      <c r="J958">
        <v>37</v>
      </c>
      <c r="K958">
        <v>200</v>
      </c>
    </row>
    <row r="959" spans="1:11" x14ac:dyDescent="0.25">
      <c r="A959" t="s">
        <v>2257</v>
      </c>
      <c r="B959" t="s">
        <v>2256</v>
      </c>
      <c r="C959" t="s">
        <v>162</v>
      </c>
      <c r="E959">
        <v>43</v>
      </c>
      <c r="F959">
        <v>29</v>
      </c>
      <c r="G959">
        <v>131</v>
      </c>
      <c r="H959">
        <v>29</v>
      </c>
      <c r="I959">
        <v>131</v>
      </c>
      <c r="J959">
        <v>37</v>
      </c>
      <c r="K959">
        <v>400</v>
      </c>
    </row>
    <row r="960" spans="1:11" x14ac:dyDescent="0.25">
      <c r="A960" t="s">
        <v>2259</v>
      </c>
      <c r="B960" t="s">
        <v>2258</v>
      </c>
      <c r="C960" t="s">
        <v>162</v>
      </c>
      <c r="D960" t="s">
        <v>171</v>
      </c>
      <c r="E960">
        <v>137</v>
      </c>
      <c r="F960">
        <v>137</v>
      </c>
      <c r="G960">
        <v>107</v>
      </c>
      <c r="H960">
        <v>113</v>
      </c>
      <c r="I960">
        <v>89</v>
      </c>
      <c r="J960">
        <v>97</v>
      </c>
      <c r="K960">
        <v>680</v>
      </c>
    </row>
    <row r="961" spans="1:11" x14ac:dyDescent="0.25">
      <c r="A961" t="s">
        <v>2262</v>
      </c>
      <c r="B961" t="s">
        <v>2261</v>
      </c>
      <c r="C961" t="s">
        <v>162</v>
      </c>
      <c r="D961" t="s">
        <v>419</v>
      </c>
      <c r="E961">
        <v>137</v>
      </c>
      <c r="F961">
        <v>113</v>
      </c>
      <c r="G961">
        <v>89</v>
      </c>
      <c r="H961">
        <v>137</v>
      </c>
      <c r="I961">
        <v>107</v>
      </c>
      <c r="J961">
        <v>97</v>
      </c>
      <c r="K961">
        <v>680</v>
      </c>
    </row>
    <row r="962" spans="1:11" x14ac:dyDescent="0.25">
      <c r="A962" t="s">
        <v>2265</v>
      </c>
      <c r="B962" t="s">
        <v>2264</v>
      </c>
      <c r="C962" t="s">
        <v>290</v>
      </c>
      <c r="D962" t="s">
        <v>41</v>
      </c>
      <c r="E962">
        <v>109</v>
      </c>
      <c r="F962">
        <v>53</v>
      </c>
      <c r="G962">
        <v>47</v>
      </c>
      <c r="H962">
        <v>127</v>
      </c>
      <c r="I962">
        <v>131</v>
      </c>
      <c r="J962">
        <v>103</v>
      </c>
      <c r="K962">
        <v>570</v>
      </c>
    </row>
    <row r="963" spans="1:11" x14ac:dyDescent="0.25">
      <c r="A963" t="s">
        <v>2268</v>
      </c>
      <c r="B963" t="s">
        <v>2267</v>
      </c>
      <c r="C963" t="s">
        <v>90</v>
      </c>
      <c r="D963" t="s">
        <v>279</v>
      </c>
      <c r="E963">
        <v>107</v>
      </c>
      <c r="F963">
        <v>139</v>
      </c>
      <c r="G963">
        <v>139</v>
      </c>
      <c r="H963">
        <v>53</v>
      </c>
      <c r="I963">
        <v>53</v>
      </c>
      <c r="J963">
        <v>79</v>
      </c>
      <c r="K963">
        <v>570</v>
      </c>
    </row>
    <row r="964" spans="1:11" x14ac:dyDescent="0.25">
      <c r="A964" t="s">
        <v>2270</v>
      </c>
      <c r="B964" t="s">
        <v>2269</v>
      </c>
      <c r="C964" t="s">
        <v>90</v>
      </c>
      <c r="D964" t="s">
        <v>279</v>
      </c>
      <c r="E964">
        <v>71</v>
      </c>
      <c r="F964">
        <v>137</v>
      </c>
      <c r="G964">
        <v>37</v>
      </c>
      <c r="H964">
        <v>137</v>
      </c>
      <c r="I964">
        <v>37</v>
      </c>
      <c r="J964">
        <v>151</v>
      </c>
      <c r="K964">
        <v>570</v>
      </c>
    </row>
    <row r="965" spans="1:11" x14ac:dyDescent="0.25">
      <c r="A965" t="s">
        <v>2272</v>
      </c>
      <c r="B965" t="s">
        <v>2271</v>
      </c>
      <c r="C965" t="s">
        <v>154</v>
      </c>
      <c r="E965">
        <v>83</v>
      </c>
      <c r="F965">
        <v>89</v>
      </c>
      <c r="G965">
        <v>71</v>
      </c>
      <c r="H965">
        <v>173</v>
      </c>
      <c r="I965">
        <v>71</v>
      </c>
      <c r="J965">
        <v>83</v>
      </c>
      <c r="K965">
        <v>570</v>
      </c>
    </row>
    <row r="966" spans="1:11" x14ac:dyDescent="0.25">
      <c r="A966" t="s">
        <v>2274</v>
      </c>
      <c r="B966" t="s">
        <v>2273</v>
      </c>
      <c r="C966" t="s">
        <v>171</v>
      </c>
      <c r="D966" t="s">
        <v>66</v>
      </c>
      <c r="E966">
        <v>97</v>
      </c>
      <c r="F966">
        <v>101</v>
      </c>
      <c r="G966">
        <v>103</v>
      </c>
      <c r="H966">
        <v>107</v>
      </c>
      <c r="I966">
        <v>101</v>
      </c>
      <c r="J966">
        <v>61</v>
      </c>
      <c r="K966">
        <v>570</v>
      </c>
    </row>
    <row r="967" spans="1:11" x14ac:dyDescent="0.25">
      <c r="A967" t="s">
        <v>2276</v>
      </c>
      <c r="B967" t="s">
        <v>2275</v>
      </c>
      <c r="C967" t="s">
        <v>40</v>
      </c>
      <c r="D967" t="s">
        <v>171</v>
      </c>
      <c r="E967">
        <v>59</v>
      </c>
      <c r="F967">
        <v>181</v>
      </c>
      <c r="G967">
        <v>131</v>
      </c>
      <c r="H967">
        <v>59</v>
      </c>
      <c r="I967">
        <v>31</v>
      </c>
      <c r="J967">
        <v>109</v>
      </c>
      <c r="K967">
        <v>570</v>
      </c>
    </row>
    <row r="968" spans="1:11" x14ac:dyDescent="0.25">
      <c r="A968" t="s">
        <v>2278</v>
      </c>
      <c r="B968" t="s">
        <v>2277</v>
      </c>
      <c r="C968" t="s">
        <v>135</v>
      </c>
      <c r="D968" t="s">
        <v>61</v>
      </c>
      <c r="E968">
        <v>223</v>
      </c>
      <c r="F968">
        <v>101</v>
      </c>
      <c r="G968">
        <v>53</v>
      </c>
      <c r="H968">
        <v>97</v>
      </c>
      <c r="I968">
        <v>53</v>
      </c>
      <c r="J968">
        <v>43</v>
      </c>
      <c r="K968">
        <v>570</v>
      </c>
    </row>
    <row r="969" spans="1:11" x14ac:dyDescent="0.25">
      <c r="A969" t="s">
        <v>2280</v>
      </c>
      <c r="B969" t="s">
        <v>2279</v>
      </c>
      <c r="C969" t="s">
        <v>162</v>
      </c>
      <c r="E969">
        <v>97</v>
      </c>
      <c r="F969">
        <v>107</v>
      </c>
      <c r="G969">
        <v>101</v>
      </c>
      <c r="H969">
        <v>127</v>
      </c>
      <c r="I969">
        <v>89</v>
      </c>
      <c r="J969">
        <v>79</v>
      </c>
      <c r="K969">
        <v>600</v>
      </c>
    </row>
    <row r="970" spans="1:11" x14ac:dyDescent="0.25">
      <c r="A970" t="s">
        <v>2283</v>
      </c>
      <c r="B970" t="s">
        <v>2282</v>
      </c>
      <c r="C970" t="s">
        <v>162</v>
      </c>
      <c r="D970" t="s">
        <v>171</v>
      </c>
      <c r="E970">
        <v>97</v>
      </c>
      <c r="F970">
        <v>157</v>
      </c>
      <c r="G970">
        <v>127</v>
      </c>
      <c r="H970">
        <v>113</v>
      </c>
      <c r="I970">
        <v>109</v>
      </c>
      <c r="J970">
        <v>77</v>
      </c>
      <c r="K970">
        <v>680</v>
      </c>
    </row>
    <row r="971" spans="1:11" x14ac:dyDescent="0.25">
      <c r="A971" t="s">
        <v>2285</v>
      </c>
      <c r="B971" t="s">
        <v>2284</v>
      </c>
      <c r="C971" t="s">
        <v>162</v>
      </c>
      <c r="D971" t="s">
        <v>419</v>
      </c>
      <c r="E971">
        <v>97</v>
      </c>
      <c r="F971">
        <v>113</v>
      </c>
      <c r="G971">
        <v>109</v>
      </c>
      <c r="H971">
        <v>157</v>
      </c>
      <c r="I971">
        <v>127</v>
      </c>
      <c r="J971">
        <v>77</v>
      </c>
      <c r="K971">
        <v>680</v>
      </c>
    </row>
    <row r="972" spans="1:11" x14ac:dyDescent="0.25">
      <c r="A972" t="s">
        <v>2287</v>
      </c>
      <c r="B972" t="s">
        <v>2286</v>
      </c>
      <c r="C972" t="s">
        <v>162</v>
      </c>
      <c r="D972" t="s">
        <v>61</v>
      </c>
      <c r="E972">
        <v>97</v>
      </c>
      <c r="F972">
        <v>167</v>
      </c>
      <c r="G972">
        <v>97</v>
      </c>
      <c r="H972">
        <v>167</v>
      </c>
      <c r="I972">
        <v>97</v>
      </c>
      <c r="J972">
        <v>129</v>
      </c>
      <c r="K972">
        <v>754</v>
      </c>
    </row>
    <row r="973" spans="1:11" x14ac:dyDescent="0.25">
      <c r="A973" t="s">
        <v>2290</v>
      </c>
      <c r="B973" t="s">
        <v>2289</v>
      </c>
      <c r="C973" t="s">
        <v>171</v>
      </c>
      <c r="D973" t="s">
        <v>157</v>
      </c>
      <c r="E973">
        <v>80</v>
      </c>
      <c r="F973">
        <v>95</v>
      </c>
      <c r="G973">
        <v>115</v>
      </c>
      <c r="H973">
        <v>130</v>
      </c>
      <c r="I973">
        <v>115</v>
      </c>
      <c r="J973">
        <v>65</v>
      </c>
      <c r="K973">
        <v>600</v>
      </c>
    </row>
    <row r="974" spans="1:11" x14ac:dyDescent="0.25">
      <c r="A974" t="s">
        <v>2293</v>
      </c>
      <c r="B974" t="s">
        <v>2292</v>
      </c>
      <c r="C974" t="s">
        <v>279</v>
      </c>
      <c r="D974" t="s">
        <v>419</v>
      </c>
      <c r="E974">
        <v>90</v>
      </c>
      <c r="F974">
        <v>125</v>
      </c>
      <c r="G974">
        <v>80</v>
      </c>
      <c r="H974">
        <v>90</v>
      </c>
      <c r="I974">
        <v>90</v>
      </c>
      <c r="J974">
        <v>125</v>
      </c>
      <c r="K974">
        <v>600</v>
      </c>
    </row>
    <row r="975" spans="1:11" x14ac:dyDescent="0.25">
      <c r="A975" t="s">
        <v>2295</v>
      </c>
      <c r="B975" t="s">
        <v>2294</v>
      </c>
      <c r="C975" t="s">
        <v>41</v>
      </c>
      <c r="E975">
        <v>67</v>
      </c>
      <c r="F975">
        <v>73</v>
      </c>
      <c r="G975">
        <v>67</v>
      </c>
      <c r="H975">
        <v>73</v>
      </c>
      <c r="I975">
        <v>67</v>
      </c>
      <c r="J975">
        <v>73</v>
      </c>
      <c r="K975">
        <v>420</v>
      </c>
    </row>
    <row r="976" spans="1:11" x14ac:dyDescent="0.25">
      <c r="A976" t="s">
        <v>2297</v>
      </c>
      <c r="B976" t="s">
        <v>2296</v>
      </c>
      <c r="C976" t="s">
        <v>41</v>
      </c>
      <c r="D976" t="s">
        <v>61</v>
      </c>
      <c r="E976">
        <v>73</v>
      </c>
      <c r="F976">
        <v>73</v>
      </c>
      <c r="G976">
        <v>73</v>
      </c>
      <c r="H976">
        <v>127</v>
      </c>
      <c r="I976">
        <v>73</v>
      </c>
      <c r="J976">
        <v>121</v>
      </c>
      <c r="K976">
        <v>540</v>
      </c>
    </row>
    <row r="977" spans="1:11" x14ac:dyDescent="0.25">
      <c r="A977" t="s">
        <v>2299</v>
      </c>
      <c r="B977" t="s">
        <v>2298</v>
      </c>
      <c r="C977" t="s">
        <v>290</v>
      </c>
      <c r="D977" t="s">
        <v>171</v>
      </c>
      <c r="E977">
        <v>61</v>
      </c>
      <c r="F977">
        <v>131</v>
      </c>
      <c r="G977">
        <v>211</v>
      </c>
      <c r="H977">
        <v>53</v>
      </c>
      <c r="I977">
        <v>101</v>
      </c>
      <c r="J977">
        <v>13</v>
      </c>
      <c r="K977">
        <v>570</v>
      </c>
    </row>
    <row r="978" spans="1:11" x14ac:dyDescent="0.25">
      <c r="A978" t="s">
        <v>2301</v>
      </c>
      <c r="B978" t="s">
        <v>2300</v>
      </c>
      <c r="C978" t="s">
        <v>57</v>
      </c>
      <c r="D978" t="s">
        <v>419</v>
      </c>
      <c r="E978">
        <v>53</v>
      </c>
      <c r="F978">
        <v>127</v>
      </c>
      <c r="G978">
        <v>53</v>
      </c>
      <c r="H978">
        <v>151</v>
      </c>
      <c r="I978">
        <v>79</v>
      </c>
      <c r="J978">
        <v>107</v>
      </c>
      <c r="K978">
        <v>570</v>
      </c>
    </row>
    <row r="979" spans="1:11" x14ac:dyDescent="0.25">
      <c r="A979" t="s">
        <v>2303</v>
      </c>
      <c r="B979" t="s">
        <v>2302</v>
      </c>
      <c r="C979" t="s">
        <v>154</v>
      </c>
      <c r="E979">
        <v>88</v>
      </c>
      <c r="F979">
        <v>112</v>
      </c>
      <c r="G979">
        <v>75</v>
      </c>
      <c r="H979">
        <v>102</v>
      </c>
      <c r="I979">
        <v>80</v>
      </c>
      <c r="J979">
        <v>143</v>
      </c>
      <c r="K979">
        <v>600</v>
      </c>
    </row>
    <row r="980" spans="1:11" x14ac:dyDescent="0.25">
      <c r="A980" t="s">
        <v>2305</v>
      </c>
      <c r="B980" t="s">
        <v>2304</v>
      </c>
      <c r="C980" t="s">
        <v>171</v>
      </c>
      <c r="E980">
        <v>46</v>
      </c>
      <c r="F980">
        <v>65</v>
      </c>
      <c r="G980">
        <v>65</v>
      </c>
      <c r="H980">
        <v>55</v>
      </c>
      <c r="I980">
        <v>35</v>
      </c>
      <c r="J980">
        <v>34</v>
      </c>
      <c r="K980">
        <v>300</v>
      </c>
    </row>
    <row r="981" spans="1:11" x14ac:dyDescent="0.25">
      <c r="A981" t="s">
        <v>2307</v>
      </c>
      <c r="B981" t="s">
        <v>2306</v>
      </c>
      <c r="C981" t="s">
        <v>171</v>
      </c>
      <c r="E981">
        <v>135</v>
      </c>
      <c r="F981">
        <v>143</v>
      </c>
      <c r="G981">
        <v>143</v>
      </c>
      <c r="H981">
        <v>80</v>
      </c>
      <c r="I981">
        <v>65</v>
      </c>
      <c r="J981">
        <v>34</v>
      </c>
      <c r="K981">
        <v>600</v>
      </c>
    </row>
    <row r="982" spans="1:11" x14ac:dyDescent="0.25">
      <c r="A982" t="s">
        <v>2309</v>
      </c>
      <c r="B982" t="s">
        <v>2308</v>
      </c>
      <c r="C982" t="s">
        <v>40</v>
      </c>
      <c r="E982">
        <v>50</v>
      </c>
      <c r="F982">
        <v>65</v>
      </c>
      <c r="G982">
        <v>50</v>
      </c>
      <c r="H982">
        <v>40</v>
      </c>
      <c r="I982">
        <v>40</v>
      </c>
      <c r="J982">
        <v>65</v>
      </c>
      <c r="K982">
        <v>310</v>
      </c>
    </row>
    <row r="983" spans="1:11" x14ac:dyDescent="0.25">
      <c r="A983" t="s">
        <v>2311</v>
      </c>
      <c r="B983" t="s">
        <v>2310</v>
      </c>
      <c r="C983" t="s">
        <v>40</v>
      </c>
      <c r="E983">
        <v>70</v>
      </c>
      <c r="F983">
        <v>85</v>
      </c>
      <c r="G983">
        <v>70</v>
      </c>
      <c r="H983">
        <v>55</v>
      </c>
      <c r="I983">
        <v>60</v>
      </c>
      <c r="J983">
        <v>80</v>
      </c>
      <c r="K983">
        <v>420</v>
      </c>
    </row>
    <row r="984" spans="1:11" x14ac:dyDescent="0.25">
      <c r="A984" t="s">
        <v>2313</v>
      </c>
      <c r="B984" t="s">
        <v>2312</v>
      </c>
      <c r="C984" t="s">
        <v>40</v>
      </c>
      <c r="E984">
        <v>100</v>
      </c>
      <c r="F984">
        <v>125</v>
      </c>
      <c r="G984">
        <v>90</v>
      </c>
      <c r="H984">
        <v>60</v>
      </c>
      <c r="I984">
        <v>70</v>
      </c>
      <c r="J984">
        <v>85</v>
      </c>
      <c r="K984">
        <v>530</v>
      </c>
    </row>
    <row r="985" spans="1:11" x14ac:dyDescent="0.25">
      <c r="A985" t="s">
        <v>2315</v>
      </c>
      <c r="B985" t="s">
        <v>2314</v>
      </c>
      <c r="C985" t="s">
        <v>57</v>
      </c>
      <c r="E985">
        <v>50</v>
      </c>
      <c r="F985">
        <v>71</v>
      </c>
      <c r="G985">
        <v>40</v>
      </c>
      <c r="H985">
        <v>40</v>
      </c>
      <c r="I985">
        <v>40</v>
      </c>
      <c r="J985">
        <v>69</v>
      </c>
      <c r="K985">
        <v>310</v>
      </c>
    </row>
    <row r="986" spans="1:11" x14ac:dyDescent="0.25">
      <c r="A986" t="s">
        <v>2318</v>
      </c>
      <c r="B986" t="s">
        <v>2317</v>
      </c>
      <c r="C986" t="s">
        <v>57</v>
      </c>
      <c r="E986">
        <v>65</v>
      </c>
      <c r="F986">
        <v>86</v>
      </c>
      <c r="G986">
        <v>60</v>
      </c>
      <c r="H986">
        <v>55</v>
      </c>
      <c r="I986">
        <v>60</v>
      </c>
      <c r="J986">
        <v>94</v>
      </c>
      <c r="K986">
        <v>420</v>
      </c>
    </row>
    <row r="987" spans="1:11" x14ac:dyDescent="0.25">
      <c r="A987" t="s">
        <v>2320</v>
      </c>
      <c r="B987" t="s">
        <v>2319</v>
      </c>
      <c r="C987" t="s">
        <v>57</v>
      </c>
      <c r="E987">
        <v>80</v>
      </c>
      <c r="F987">
        <v>116</v>
      </c>
      <c r="G987">
        <v>75</v>
      </c>
      <c r="H987">
        <v>65</v>
      </c>
      <c r="I987">
        <v>75</v>
      </c>
      <c r="J987">
        <v>119</v>
      </c>
      <c r="K987">
        <v>530</v>
      </c>
    </row>
    <row r="988" spans="1:11" x14ac:dyDescent="0.25">
      <c r="A988" t="s">
        <v>2322</v>
      </c>
      <c r="B988" t="s">
        <v>2321</v>
      </c>
      <c r="C988" t="s">
        <v>76</v>
      </c>
      <c r="E988">
        <v>50</v>
      </c>
      <c r="F988">
        <v>40</v>
      </c>
      <c r="G988">
        <v>40</v>
      </c>
      <c r="H988">
        <v>70</v>
      </c>
      <c r="I988">
        <v>40</v>
      </c>
      <c r="J988">
        <v>70</v>
      </c>
      <c r="K988">
        <v>310</v>
      </c>
    </row>
    <row r="989" spans="1:11" x14ac:dyDescent="0.25">
      <c r="A989" t="s">
        <v>2324</v>
      </c>
      <c r="B989" t="s">
        <v>2323</v>
      </c>
      <c r="C989" t="s">
        <v>76</v>
      </c>
      <c r="E989">
        <v>65</v>
      </c>
      <c r="F989">
        <v>60</v>
      </c>
      <c r="G989">
        <v>55</v>
      </c>
      <c r="H989">
        <v>95</v>
      </c>
      <c r="I989">
        <v>55</v>
      </c>
      <c r="J989">
        <v>90</v>
      </c>
      <c r="K989">
        <v>420</v>
      </c>
    </row>
    <row r="990" spans="1:11" x14ac:dyDescent="0.25">
      <c r="A990" t="s">
        <v>2326</v>
      </c>
      <c r="B990" t="s">
        <v>2325</v>
      </c>
      <c r="C990" t="s">
        <v>76</v>
      </c>
      <c r="E990">
        <v>70</v>
      </c>
      <c r="F990">
        <v>85</v>
      </c>
      <c r="G990">
        <v>65</v>
      </c>
      <c r="H990">
        <v>125</v>
      </c>
      <c r="I990">
        <v>65</v>
      </c>
      <c r="J990">
        <v>120</v>
      </c>
      <c r="K990">
        <v>530</v>
      </c>
    </row>
    <row r="991" spans="1:11" x14ac:dyDescent="0.25">
      <c r="A991" t="s">
        <v>2328</v>
      </c>
      <c r="B991" t="s">
        <v>2327</v>
      </c>
      <c r="C991" t="s">
        <v>116</v>
      </c>
      <c r="E991">
        <v>70</v>
      </c>
      <c r="F991">
        <v>55</v>
      </c>
      <c r="G991">
        <v>55</v>
      </c>
      <c r="H991">
        <v>35</v>
      </c>
      <c r="I991">
        <v>35</v>
      </c>
      <c r="J991">
        <v>25</v>
      </c>
      <c r="K991">
        <v>275</v>
      </c>
    </row>
    <row r="992" spans="1:11" x14ac:dyDescent="0.25">
      <c r="A992" t="s">
        <v>2330</v>
      </c>
      <c r="B992" t="s">
        <v>2329</v>
      </c>
      <c r="C992" t="s">
        <v>116</v>
      </c>
      <c r="E992">
        <v>120</v>
      </c>
      <c r="F992">
        <v>95</v>
      </c>
      <c r="G992">
        <v>95</v>
      </c>
      <c r="H992">
        <v>55</v>
      </c>
      <c r="I992">
        <v>75</v>
      </c>
      <c r="J992">
        <v>20</v>
      </c>
      <c r="K992">
        <v>460</v>
      </c>
    </row>
    <row r="993" spans="1:11" x14ac:dyDescent="0.25">
      <c r="A993" t="s">
        <v>2332</v>
      </c>
      <c r="B993" t="s">
        <v>2331</v>
      </c>
      <c r="C993" t="s">
        <v>66</v>
      </c>
      <c r="E993">
        <v>38</v>
      </c>
      <c r="F993">
        <v>47</v>
      </c>
      <c r="G993">
        <v>35</v>
      </c>
      <c r="H993">
        <v>33</v>
      </c>
      <c r="I993">
        <v>35</v>
      </c>
      <c r="J993">
        <v>57</v>
      </c>
      <c r="K993">
        <v>245</v>
      </c>
    </row>
    <row r="994" spans="1:11" x14ac:dyDescent="0.25">
      <c r="A994" t="s">
        <v>2334</v>
      </c>
      <c r="B994" t="s">
        <v>2333</v>
      </c>
      <c r="C994" t="s">
        <v>66</v>
      </c>
      <c r="E994">
        <v>68</v>
      </c>
      <c r="F994">
        <v>67</v>
      </c>
      <c r="G994">
        <v>55</v>
      </c>
      <c r="H994">
        <v>43</v>
      </c>
      <c r="I994">
        <v>55</v>
      </c>
      <c r="J994">
        <v>77</v>
      </c>
      <c r="K994">
        <v>365</v>
      </c>
    </row>
    <row r="995" spans="1:11" x14ac:dyDescent="0.25">
      <c r="A995" t="s">
        <v>2336</v>
      </c>
      <c r="B995" t="s">
        <v>2335</v>
      </c>
      <c r="C995" t="s">
        <v>66</v>
      </c>
      <c r="D995" t="s">
        <v>171</v>
      </c>
      <c r="E995">
        <v>98</v>
      </c>
      <c r="F995">
        <v>87</v>
      </c>
      <c r="G995">
        <v>105</v>
      </c>
      <c r="H995">
        <v>53</v>
      </c>
      <c r="I995">
        <v>85</v>
      </c>
      <c r="J995">
        <v>67</v>
      </c>
      <c r="K995">
        <v>495</v>
      </c>
    </row>
    <row r="996" spans="1:11" x14ac:dyDescent="0.25">
      <c r="A996" t="s">
        <v>2339</v>
      </c>
      <c r="B996" t="s">
        <v>2338</v>
      </c>
      <c r="C996" t="s">
        <v>90</v>
      </c>
      <c r="E996">
        <v>25</v>
      </c>
      <c r="F996">
        <v>20</v>
      </c>
      <c r="G996">
        <v>20</v>
      </c>
      <c r="H996">
        <v>25</v>
      </c>
      <c r="I996">
        <v>45</v>
      </c>
      <c r="J996">
        <v>45</v>
      </c>
      <c r="K996">
        <v>180</v>
      </c>
    </row>
    <row r="997" spans="1:11" x14ac:dyDescent="0.25">
      <c r="A997" t="s">
        <v>2341</v>
      </c>
      <c r="B997" t="s">
        <v>2340</v>
      </c>
      <c r="C997" t="s">
        <v>90</v>
      </c>
      <c r="D997" t="s">
        <v>162</v>
      </c>
      <c r="E997">
        <v>50</v>
      </c>
      <c r="F997">
        <v>35</v>
      </c>
      <c r="G997">
        <v>80</v>
      </c>
      <c r="H997">
        <v>50</v>
      </c>
      <c r="I997">
        <v>90</v>
      </c>
      <c r="J997">
        <v>30</v>
      </c>
      <c r="K997">
        <v>335</v>
      </c>
    </row>
    <row r="998" spans="1:11" x14ac:dyDescent="0.25">
      <c r="A998" t="s">
        <v>2343</v>
      </c>
      <c r="B998" t="s">
        <v>2342</v>
      </c>
      <c r="C998" t="s">
        <v>90</v>
      </c>
      <c r="D998" t="s">
        <v>162</v>
      </c>
      <c r="E998">
        <v>60</v>
      </c>
      <c r="F998">
        <v>45</v>
      </c>
      <c r="G998">
        <v>110</v>
      </c>
      <c r="H998">
        <v>80</v>
      </c>
      <c r="I998">
        <v>120</v>
      </c>
      <c r="J998">
        <v>90</v>
      </c>
      <c r="K998">
        <v>505</v>
      </c>
    </row>
    <row r="999" spans="1:11" x14ac:dyDescent="0.25">
      <c r="A999" t="s">
        <v>2345</v>
      </c>
      <c r="B999" t="s">
        <v>2344</v>
      </c>
      <c r="C999" t="s">
        <v>135</v>
      </c>
      <c r="E999">
        <v>40</v>
      </c>
      <c r="F999">
        <v>28</v>
      </c>
      <c r="G999">
        <v>28</v>
      </c>
      <c r="H999">
        <v>47</v>
      </c>
      <c r="I999">
        <v>52</v>
      </c>
      <c r="J999">
        <v>50</v>
      </c>
      <c r="K999">
        <v>245</v>
      </c>
    </row>
    <row r="1000" spans="1:11" x14ac:dyDescent="0.25">
      <c r="A1000" t="s">
        <v>2347</v>
      </c>
      <c r="B1000" t="s">
        <v>2346</v>
      </c>
      <c r="C1000" t="s">
        <v>135</v>
      </c>
      <c r="E1000">
        <v>70</v>
      </c>
      <c r="F1000">
        <v>58</v>
      </c>
      <c r="G1000">
        <v>58</v>
      </c>
      <c r="H1000">
        <v>87</v>
      </c>
      <c r="I1000">
        <v>92</v>
      </c>
      <c r="J1000">
        <v>90</v>
      </c>
      <c r="K1000">
        <v>455</v>
      </c>
    </row>
    <row r="1001" spans="1:11" x14ac:dyDescent="0.25">
      <c r="A1001" t="s">
        <v>2349</v>
      </c>
      <c r="B1001" t="s">
        <v>2348</v>
      </c>
      <c r="C1001" t="s">
        <v>40</v>
      </c>
      <c r="E1001">
        <v>40</v>
      </c>
      <c r="F1001">
        <v>40</v>
      </c>
      <c r="G1001">
        <v>60</v>
      </c>
      <c r="H1001">
        <v>40</v>
      </c>
      <c r="I1001">
        <v>60</v>
      </c>
      <c r="J1001">
        <v>10</v>
      </c>
      <c r="K1001">
        <v>250</v>
      </c>
    </row>
    <row r="1002" spans="1:11" x14ac:dyDescent="0.25">
      <c r="A1002" t="s">
        <v>2352</v>
      </c>
      <c r="B1002" t="s">
        <v>2351</v>
      </c>
      <c r="C1002" t="s">
        <v>40</v>
      </c>
      <c r="E1002">
        <v>60</v>
      </c>
      <c r="F1002">
        <v>50</v>
      </c>
      <c r="G1002">
        <v>90</v>
      </c>
      <c r="H1002">
        <v>80</v>
      </c>
      <c r="I1002">
        <v>120</v>
      </c>
      <c r="J1002">
        <v>60</v>
      </c>
      <c r="K1002">
        <v>460</v>
      </c>
    </row>
    <row r="1003" spans="1:11" x14ac:dyDescent="0.25">
      <c r="A1003" t="s">
        <v>2354</v>
      </c>
      <c r="B1003" t="s">
        <v>2353</v>
      </c>
      <c r="C1003" t="s">
        <v>116</v>
      </c>
      <c r="E1003">
        <v>42</v>
      </c>
      <c r="F1003">
        <v>40</v>
      </c>
      <c r="G1003">
        <v>55</v>
      </c>
      <c r="H1003">
        <v>40</v>
      </c>
      <c r="I1003">
        <v>45</v>
      </c>
      <c r="J1003">
        <v>48</v>
      </c>
      <c r="K1003">
        <v>270</v>
      </c>
    </row>
    <row r="1004" spans="1:11" x14ac:dyDescent="0.25">
      <c r="A1004" t="s">
        <v>2356</v>
      </c>
      <c r="B1004" t="s">
        <v>2355</v>
      </c>
      <c r="C1004" t="s">
        <v>116</v>
      </c>
      <c r="E1004">
        <v>72</v>
      </c>
      <c r="F1004">
        <v>80</v>
      </c>
      <c r="G1004">
        <v>100</v>
      </c>
      <c r="H1004">
        <v>60</v>
      </c>
      <c r="I1004">
        <v>90</v>
      </c>
      <c r="J1004">
        <v>88</v>
      </c>
      <c r="K1004">
        <v>490</v>
      </c>
    </row>
    <row r="1005" spans="1:11" x14ac:dyDescent="0.25">
      <c r="A1005" t="s">
        <v>2358</v>
      </c>
      <c r="B1005" t="s">
        <v>2357</v>
      </c>
      <c r="C1005" t="s">
        <v>76</v>
      </c>
      <c r="E1005">
        <v>50</v>
      </c>
      <c r="F1005">
        <v>64</v>
      </c>
      <c r="G1005">
        <v>50</v>
      </c>
      <c r="H1005">
        <v>38</v>
      </c>
      <c r="I1005">
        <v>38</v>
      </c>
      <c r="J1005">
        <v>44</v>
      </c>
      <c r="K1005">
        <v>284</v>
      </c>
    </row>
    <row r="1006" spans="1:11" x14ac:dyDescent="0.25">
      <c r="A1006" t="s">
        <v>2360</v>
      </c>
      <c r="B1006" t="s">
        <v>2359</v>
      </c>
      <c r="C1006" t="s">
        <v>76</v>
      </c>
      <c r="D1006" t="s">
        <v>290</v>
      </c>
      <c r="E1006">
        <v>90</v>
      </c>
      <c r="F1006">
        <v>115</v>
      </c>
      <c r="G1006">
        <v>90</v>
      </c>
      <c r="H1006">
        <v>48</v>
      </c>
      <c r="I1006">
        <v>68</v>
      </c>
      <c r="J1006">
        <v>74</v>
      </c>
      <c r="K1006">
        <v>485</v>
      </c>
    </row>
    <row r="1007" spans="1:11" x14ac:dyDescent="0.25">
      <c r="A1007" t="s">
        <v>2362</v>
      </c>
      <c r="B1007" t="s">
        <v>2361</v>
      </c>
      <c r="C1007" t="s">
        <v>154</v>
      </c>
      <c r="E1007">
        <v>59</v>
      </c>
      <c r="F1007">
        <v>45</v>
      </c>
      <c r="G1007">
        <v>50</v>
      </c>
      <c r="H1007">
        <v>40</v>
      </c>
      <c r="I1007">
        <v>50</v>
      </c>
      <c r="J1007">
        <v>26</v>
      </c>
      <c r="K1007">
        <v>270</v>
      </c>
    </row>
    <row r="1008" spans="1:11" x14ac:dyDescent="0.25">
      <c r="A1008" t="s">
        <v>2365</v>
      </c>
      <c r="B1008" t="s">
        <v>2364</v>
      </c>
      <c r="C1008" t="s">
        <v>154</v>
      </c>
      <c r="E1008">
        <v>69</v>
      </c>
      <c r="F1008">
        <v>90</v>
      </c>
      <c r="G1008">
        <v>60</v>
      </c>
      <c r="H1008">
        <v>90</v>
      </c>
      <c r="I1008">
        <v>60</v>
      </c>
      <c r="J1008">
        <v>121</v>
      </c>
      <c r="K1008">
        <v>490</v>
      </c>
    </row>
    <row r="1009" spans="1:11" x14ac:dyDescent="0.25">
      <c r="A1009" t="s">
        <v>2367</v>
      </c>
      <c r="B1009" t="s">
        <v>2366</v>
      </c>
      <c r="C1009" t="s">
        <v>290</v>
      </c>
      <c r="E1009">
        <v>30</v>
      </c>
      <c r="F1009">
        <v>40</v>
      </c>
      <c r="G1009">
        <v>50</v>
      </c>
      <c r="H1009">
        <v>40</v>
      </c>
      <c r="I1009">
        <v>50</v>
      </c>
      <c r="J1009">
        <v>30</v>
      </c>
      <c r="K1009">
        <v>240</v>
      </c>
    </row>
    <row r="1010" spans="1:11" x14ac:dyDescent="0.25">
      <c r="A1010" t="s">
        <v>2370</v>
      </c>
      <c r="B1010" t="s">
        <v>2369</v>
      </c>
      <c r="C1010" t="s">
        <v>290</v>
      </c>
      <c r="D1010" t="s">
        <v>57</v>
      </c>
      <c r="E1010">
        <v>80</v>
      </c>
      <c r="F1010">
        <v>60</v>
      </c>
      <c r="G1010">
        <v>90</v>
      </c>
      <c r="H1010">
        <v>60</v>
      </c>
      <c r="I1010">
        <v>70</v>
      </c>
      <c r="J1010">
        <v>50</v>
      </c>
      <c r="K1010">
        <v>410</v>
      </c>
    </row>
    <row r="1011" spans="1:11" x14ac:dyDescent="0.25">
      <c r="A1011" t="s">
        <v>2372</v>
      </c>
      <c r="B1011" t="s">
        <v>2371</v>
      </c>
      <c r="C1011" t="s">
        <v>290</v>
      </c>
      <c r="D1011" t="s">
        <v>57</v>
      </c>
      <c r="E1011">
        <v>110</v>
      </c>
      <c r="F1011">
        <v>80</v>
      </c>
      <c r="G1011">
        <v>120</v>
      </c>
      <c r="H1011">
        <v>80</v>
      </c>
      <c r="I1011">
        <v>90</v>
      </c>
      <c r="J1011">
        <v>30</v>
      </c>
      <c r="K1011">
        <v>510</v>
      </c>
    </row>
    <row r="1012" spans="1:11" x14ac:dyDescent="0.25">
      <c r="A1012" t="s">
        <v>2374</v>
      </c>
      <c r="B1012" t="s">
        <v>2373</v>
      </c>
      <c r="C1012" t="s">
        <v>40</v>
      </c>
      <c r="D1012" t="s">
        <v>61</v>
      </c>
      <c r="E1012">
        <v>40</v>
      </c>
      <c r="F1012">
        <v>40</v>
      </c>
      <c r="G1012">
        <v>80</v>
      </c>
      <c r="H1012">
        <v>40</v>
      </c>
      <c r="I1012">
        <v>40</v>
      </c>
      <c r="J1012">
        <v>20</v>
      </c>
      <c r="K1012">
        <v>260</v>
      </c>
    </row>
    <row r="1013" spans="1:11" x14ac:dyDescent="0.25">
      <c r="A1013" t="s">
        <v>2377</v>
      </c>
      <c r="B1013" t="s">
        <v>2376</v>
      </c>
      <c r="C1013" t="s">
        <v>40</v>
      </c>
      <c r="D1013" t="s">
        <v>61</v>
      </c>
      <c r="E1013">
        <v>70</v>
      </c>
      <c r="F1013">
        <v>110</v>
      </c>
      <c r="G1013">
        <v>80</v>
      </c>
      <c r="H1013">
        <v>95</v>
      </c>
      <c r="I1013">
        <v>60</v>
      </c>
      <c r="J1013">
        <v>70</v>
      </c>
      <c r="K1013">
        <v>485</v>
      </c>
    </row>
    <row r="1014" spans="1:11" x14ac:dyDescent="0.25">
      <c r="A1014" t="s">
        <v>2379</v>
      </c>
      <c r="B1014" t="s">
        <v>2378</v>
      </c>
      <c r="C1014" t="s">
        <v>40</v>
      </c>
      <c r="D1014" t="s">
        <v>61</v>
      </c>
      <c r="E1014">
        <v>110</v>
      </c>
      <c r="F1014">
        <v>85</v>
      </c>
      <c r="G1014">
        <v>80</v>
      </c>
      <c r="H1014">
        <v>100</v>
      </c>
      <c r="I1014">
        <v>80</v>
      </c>
      <c r="J1014">
        <v>30</v>
      </c>
      <c r="K1014">
        <v>485</v>
      </c>
    </row>
    <row r="1015" spans="1:11" x14ac:dyDescent="0.25">
      <c r="A1015" t="s">
        <v>2381</v>
      </c>
      <c r="B1015" t="s">
        <v>2380</v>
      </c>
      <c r="C1015" t="s">
        <v>132</v>
      </c>
      <c r="E1015">
        <v>52</v>
      </c>
      <c r="F1015">
        <v>57</v>
      </c>
      <c r="G1015">
        <v>75</v>
      </c>
      <c r="H1015">
        <v>35</v>
      </c>
      <c r="I1015">
        <v>50</v>
      </c>
      <c r="J1015">
        <v>46</v>
      </c>
      <c r="K1015">
        <v>315</v>
      </c>
    </row>
    <row r="1016" spans="1:11" x14ac:dyDescent="0.25">
      <c r="A1016" t="s">
        <v>2384</v>
      </c>
      <c r="B1016" t="s">
        <v>2383</v>
      </c>
      <c r="C1016" t="s">
        <v>132</v>
      </c>
      <c r="E1016">
        <v>72</v>
      </c>
      <c r="F1016">
        <v>107</v>
      </c>
      <c r="G1016">
        <v>125</v>
      </c>
      <c r="H1016">
        <v>65</v>
      </c>
      <c r="I1016">
        <v>70</v>
      </c>
      <c r="J1016">
        <v>71</v>
      </c>
      <c r="K1016">
        <v>510</v>
      </c>
    </row>
    <row r="1017" spans="1:11" x14ac:dyDescent="0.25">
      <c r="A1017" t="s">
        <v>2386</v>
      </c>
      <c r="B1017" t="s">
        <v>2385</v>
      </c>
      <c r="C1017" t="s">
        <v>66</v>
      </c>
      <c r="D1017" t="s">
        <v>76</v>
      </c>
      <c r="E1017">
        <v>70</v>
      </c>
      <c r="F1017">
        <v>85</v>
      </c>
      <c r="G1017">
        <v>55</v>
      </c>
      <c r="H1017">
        <v>85</v>
      </c>
      <c r="I1017">
        <v>95</v>
      </c>
      <c r="J1017">
        <v>85</v>
      </c>
      <c r="K1017">
        <v>475</v>
      </c>
    </row>
    <row r="1018" spans="1:11" x14ac:dyDescent="0.25">
      <c r="A1018" t="s">
        <v>2389</v>
      </c>
      <c r="B1018" t="s">
        <v>2388</v>
      </c>
      <c r="C1018" t="s">
        <v>76</v>
      </c>
      <c r="E1018">
        <v>41</v>
      </c>
      <c r="F1018">
        <v>63</v>
      </c>
      <c r="G1018">
        <v>40</v>
      </c>
      <c r="H1018">
        <v>40</v>
      </c>
      <c r="I1018">
        <v>30</v>
      </c>
      <c r="J1018">
        <v>66</v>
      </c>
      <c r="K1018">
        <v>280</v>
      </c>
    </row>
    <row r="1019" spans="1:11" x14ac:dyDescent="0.25">
      <c r="A1019" t="s">
        <v>2392</v>
      </c>
      <c r="B1019" t="s">
        <v>2391</v>
      </c>
      <c r="C1019" t="s">
        <v>76</v>
      </c>
      <c r="E1019">
        <v>61</v>
      </c>
      <c r="F1019">
        <v>123</v>
      </c>
      <c r="G1019">
        <v>60</v>
      </c>
      <c r="H1019">
        <v>60</v>
      </c>
      <c r="I1019">
        <v>50</v>
      </c>
      <c r="J1019">
        <v>136</v>
      </c>
      <c r="K1019">
        <v>490</v>
      </c>
    </row>
    <row r="1020" spans="1:11" x14ac:dyDescent="0.25">
      <c r="A1020" t="s">
        <v>2394</v>
      </c>
      <c r="B1020" t="s">
        <v>2393</v>
      </c>
      <c r="C1020" t="s">
        <v>154</v>
      </c>
      <c r="D1020" t="s">
        <v>41</v>
      </c>
      <c r="E1020">
        <v>40</v>
      </c>
      <c r="F1020">
        <v>38</v>
      </c>
      <c r="G1020">
        <v>35</v>
      </c>
      <c r="H1020">
        <v>54</v>
      </c>
      <c r="I1020">
        <v>35</v>
      </c>
      <c r="J1020">
        <v>40</v>
      </c>
      <c r="K1020">
        <v>242</v>
      </c>
    </row>
    <row r="1021" spans="1:11" x14ac:dyDescent="0.25">
      <c r="A1021" t="s">
        <v>2397</v>
      </c>
      <c r="B1021" t="s">
        <v>2395</v>
      </c>
      <c r="C1021" t="s">
        <v>154</v>
      </c>
      <c r="D1021" t="s">
        <v>41</v>
      </c>
      <c r="E1021">
        <v>75</v>
      </c>
      <c r="F1021">
        <v>98</v>
      </c>
      <c r="G1021">
        <v>70</v>
      </c>
      <c r="H1021">
        <v>114</v>
      </c>
      <c r="I1021">
        <v>70</v>
      </c>
      <c r="J1021">
        <v>75</v>
      </c>
      <c r="K1021">
        <v>502</v>
      </c>
    </row>
    <row r="1022" spans="1:11" x14ac:dyDescent="0.25">
      <c r="A1022" t="s">
        <v>2400</v>
      </c>
      <c r="B1022" t="s">
        <v>2399</v>
      </c>
      <c r="C1022" t="s">
        <v>154</v>
      </c>
      <c r="D1022" t="s">
        <v>41</v>
      </c>
      <c r="E1022">
        <v>75</v>
      </c>
      <c r="F1022">
        <v>98</v>
      </c>
      <c r="G1022">
        <v>70</v>
      </c>
      <c r="H1022">
        <v>114</v>
      </c>
      <c r="I1022">
        <v>70</v>
      </c>
      <c r="J1022">
        <v>75</v>
      </c>
      <c r="K1022">
        <v>502</v>
      </c>
    </row>
    <row r="1023" spans="1:11" x14ac:dyDescent="0.25">
      <c r="A1023" t="s">
        <v>2402</v>
      </c>
      <c r="B1023" t="s">
        <v>2401</v>
      </c>
      <c r="C1023" t="s">
        <v>57</v>
      </c>
      <c r="D1023" t="s">
        <v>90</v>
      </c>
      <c r="E1023">
        <v>50</v>
      </c>
      <c r="F1023">
        <v>65</v>
      </c>
      <c r="G1023">
        <v>45</v>
      </c>
      <c r="H1023">
        <v>50</v>
      </c>
      <c r="I1023">
        <v>50</v>
      </c>
      <c r="J1023">
        <v>45</v>
      </c>
      <c r="K1023">
        <v>305</v>
      </c>
    </row>
    <row r="1024" spans="1:11" x14ac:dyDescent="0.25">
      <c r="A1024" t="s">
        <v>2404</v>
      </c>
      <c r="B1024" t="s">
        <v>2403</v>
      </c>
      <c r="C1024" t="s">
        <v>57</v>
      </c>
      <c r="D1024" t="s">
        <v>90</v>
      </c>
      <c r="E1024">
        <v>100</v>
      </c>
      <c r="F1024">
        <v>115</v>
      </c>
      <c r="G1024">
        <v>65</v>
      </c>
      <c r="H1024">
        <v>90</v>
      </c>
      <c r="I1024">
        <v>90</v>
      </c>
      <c r="J1024">
        <v>65</v>
      </c>
      <c r="K1024">
        <v>525</v>
      </c>
    </row>
    <row r="1025" spans="1:11" x14ac:dyDescent="0.25">
      <c r="A1025" t="s">
        <v>2406</v>
      </c>
      <c r="B1025" t="s">
        <v>2405</v>
      </c>
      <c r="C1025" t="s">
        <v>279</v>
      </c>
      <c r="E1025">
        <v>50</v>
      </c>
      <c r="F1025">
        <v>68</v>
      </c>
      <c r="G1025">
        <v>60</v>
      </c>
      <c r="H1025">
        <v>50</v>
      </c>
      <c r="I1025">
        <v>50</v>
      </c>
      <c r="J1025">
        <v>32</v>
      </c>
      <c r="K1025">
        <v>310</v>
      </c>
    </row>
    <row r="1026" spans="1:11" x14ac:dyDescent="0.25">
      <c r="A1026" t="s">
        <v>2408</v>
      </c>
      <c r="B1026" t="s">
        <v>2407</v>
      </c>
      <c r="C1026" t="s">
        <v>279</v>
      </c>
      <c r="E1026">
        <v>80</v>
      </c>
      <c r="F1026">
        <v>118</v>
      </c>
      <c r="G1026">
        <v>90</v>
      </c>
      <c r="H1026">
        <v>70</v>
      </c>
      <c r="I1026">
        <v>80</v>
      </c>
      <c r="J1026">
        <v>42</v>
      </c>
      <c r="K1026">
        <v>480</v>
      </c>
    </row>
    <row r="1027" spans="1:11" x14ac:dyDescent="0.25">
      <c r="A1027" t="s">
        <v>2410</v>
      </c>
      <c r="B1027" t="s">
        <v>2409</v>
      </c>
      <c r="C1027" t="s">
        <v>419</v>
      </c>
      <c r="E1027">
        <v>40</v>
      </c>
      <c r="F1027">
        <v>45</v>
      </c>
      <c r="G1027">
        <v>45</v>
      </c>
      <c r="H1027">
        <v>74</v>
      </c>
      <c r="I1027">
        <v>54</v>
      </c>
      <c r="J1027">
        <v>50</v>
      </c>
      <c r="K1027">
        <v>308</v>
      </c>
    </row>
    <row r="1028" spans="1:11" x14ac:dyDescent="0.25">
      <c r="A1028" t="s">
        <v>2412</v>
      </c>
      <c r="B1028" t="s">
        <v>2411</v>
      </c>
      <c r="C1028" t="s">
        <v>419</v>
      </c>
      <c r="E1028">
        <v>60</v>
      </c>
      <c r="F1028">
        <v>65</v>
      </c>
      <c r="G1028">
        <v>65</v>
      </c>
      <c r="H1028">
        <v>134</v>
      </c>
      <c r="I1028">
        <v>114</v>
      </c>
      <c r="J1028">
        <v>70</v>
      </c>
      <c r="K1028">
        <v>508</v>
      </c>
    </row>
    <row r="1029" spans="1:11" x14ac:dyDescent="0.25">
      <c r="A1029" t="s">
        <v>2414</v>
      </c>
      <c r="B1029" t="s">
        <v>2413</v>
      </c>
      <c r="C1029" t="s">
        <v>162</v>
      </c>
      <c r="E1029">
        <v>42</v>
      </c>
      <c r="F1029">
        <v>30</v>
      </c>
      <c r="G1029">
        <v>45</v>
      </c>
      <c r="H1029">
        <v>56</v>
      </c>
      <c r="I1029">
        <v>53</v>
      </c>
      <c r="J1029">
        <v>39</v>
      </c>
      <c r="K1029">
        <v>265</v>
      </c>
    </row>
    <row r="1030" spans="1:11" x14ac:dyDescent="0.25">
      <c r="A1030" t="s">
        <v>2416</v>
      </c>
      <c r="B1030" t="s">
        <v>2415</v>
      </c>
      <c r="C1030" t="s">
        <v>162</v>
      </c>
      <c r="E1030">
        <v>57</v>
      </c>
      <c r="F1030">
        <v>40</v>
      </c>
      <c r="G1030">
        <v>65</v>
      </c>
      <c r="H1030">
        <v>86</v>
      </c>
      <c r="I1030">
        <v>73</v>
      </c>
      <c r="J1030">
        <v>49</v>
      </c>
      <c r="K1030">
        <v>370</v>
      </c>
    </row>
    <row r="1031" spans="1:11" x14ac:dyDescent="0.25">
      <c r="A1031" t="s">
        <v>2418</v>
      </c>
      <c r="B1031" t="s">
        <v>2417</v>
      </c>
      <c r="C1031" t="s">
        <v>162</v>
      </c>
      <c r="D1031" t="s">
        <v>157</v>
      </c>
      <c r="E1031">
        <v>57</v>
      </c>
      <c r="F1031">
        <v>90</v>
      </c>
      <c r="G1031">
        <v>95</v>
      </c>
      <c r="H1031">
        <v>136</v>
      </c>
      <c r="I1031">
        <v>103</v>
      </c>
      <c r="J1031">
        <v>29</v>
      </c>
      <c r="K1031">
        <v>510</v>
      </c>
    </row>
    <row r="1032" spans="1:11" x14ac:dyDescent="0.25">
      <c r="A1032" t="s">
        <v>2420</v>
      </c>
      <c r="B1032" t="s">
        <v>2419</v>
      </c>
      <c r="C1032" t="s">
        <v>135</v>
      </c>
      <c r="D1032" t="s">
        <v>157</v>
      </c>
      <c r="E1032">
        <v>45</v>
      </c>
      <c r="F1032">
        <v>45</v>
      </c>
      <c r="G1032">
        <v>30</v>
      </c>
      <c r="H1032">
        <v>55</v>
      </c>
      <c r="I1032">
        <v>40</v>
      </c>
      <c r="J1032">
        <v>50</v>
      </c>
      <c r="K1032">
        <v>265</v>
      </c>
    </row>
    <row r="1033" spans="1:11" x14ac:dyDescent="0.25">
      <c r="A1033" t="s">
        <v>2422</v>
      </c>
      <c r="B1033" t="s">
        <v>2421</v>
      </c>
      <c r="C1033" t="s">
        <v>135</v>
      </c>
      <c r="D1033" t="s">
        <v>157</v>
      </c>
      <c r="E1033">
        <v>65</v>
      </c>
      <c r="F1033">
        <v>60</v>
      </c>
      <c r="G1033">
        <v>45</v>
      </c>
      <c r="H1033">
        <v>75</v>
      </c>
      <c r="I1033">
        <v>55</v>
      </c>
      <c r="J1033">
        <v>70</v>
      </c>
      <c r="K1033">
        <v>370</v>
      </c>
    </row>
    <row r="1034" spans="1:11" x14ac:dyDescent="0.25">
      <c r="A1034" t="s">
        <v>2424</v>
      </c>
      <c r="B1034" t="s">
        <v>2423</v>
      </c>
      <c r="C1034" t="s">
        <v>135</v>
      </c>
      <c r="D1034" t="s">
        <v>157</v>
      </c>
      <c r="E1034">
        <v>95</v>
      </c>
      <c r="F1034">
        <v>120</v>
      </c>
      <c r="G1034">
        <v>65</v>
      </c>
      <c r="H1034">
        <v>95</v>
      </c>
      <c r="I1034">
        <v>75</v>
      </c>
      <c r="J1034">
        <v>60</v>
      </c>
      <c r="K1034">
        <v>510</v>
      </c>
    </row>
    <row r="1035" spans="1:11" x14ac:dyDescent="0.25">
      <c r="A1035" t="s">
        <v>2426</v>
      </c>
      <c r="B1035" t="s">
        <v>2425</v>
      </c>
      <c r="C1035" t="s">
        <v>135</v>
      </c>
      <c r="D1035" t="s">
        <v>116</v>
      </c>
      <c r="E1035">
        <v>93</v>
      </c>
      <c r="F1035">
        <v>90</v>
      </c>
      <c r="G1035">
        <v>101</v>
      </c>
      <c r="H1035">
        <v>60</v>
      </c>
      <c r="I1035">
        <v>81</v>
      </c>
      <c r="J1035">
        <v>95</v>
      </c>
      <c r="K1035">
        <v>520</v>
      </c>
    </row>
    <row r="1036" spans="1:11" x14ac:dyDescent="0.25">
      <c r="A1036" t="s">
        <v>2428</v>
      </c>
      <c r="B1036" t="s">
        <v>2427</v>
      </c>
      <c r="C1036" t="s">
        <v>171</v>
      </c>
      <c r="E1036">
        <v>70</v>
      </c>
      <c r="F1036">
        <v>110</v>
      </c>
      <c r="G1036">
        <v>100</v>
      </c>
      <c r="H1036">
        <v>50</v>
      </c>
      <c r="I1036">
        <v>60</v>
      </c>
      <c r="J1036">
        <v>50</v>
      </c>
      <c r="K1036">
        <v>440</v>
      </c>
    </row>
    <row r="1037" spans="1:11" x14ac:dyDescent="0.25">
      <c r="A1037" t="s">
        <v>2431</v>
      </c>
      <c r="B1037" t="s">
        <v>2430</v>
      </c>
      <c r="C1037" t="s">
        <v>419</v>
      </c>
      <c r="E1037">
        <v>60</v>
      </c>
      <c r="F1037">
        <v>95</v>
      </c>
      <c r="G1037">
        <v>50</v>
      </c>
      <c r="H1037">
        <v>145</v>
      </c>
      <c r="I1037">
        <v>130</v>
      </c>
      <c r="J1037">
        <v>30</v>
      </c>
      <c r="K1037">
        <v>510</v>
      </c>
    </row>
    <row r="1038" spans="1:11" x14ac:dyDescent="0.25">
      <c r="A1038" t="s">
        <v>2434</v>
      </c>
      <c r="B1038" t="s">
        <v>2433</v>
      </c>
      <c r="C1038" t="s">
        <v>279</v>
      </c>
      <c r="E1038">
        <v>62</v>
      </c>
      <c r="F1038">
        <v>135</v>
      </c>
      <c r="G1038">
        <v>95</v>
      </c>
      <c r="H1038">
        <v>68</v>
      </c>
      <c r="I1038">
        <v>82</v>
      </c>
      <c r="J1038">
        <v>65</v>
      </c>
      <c r="K1038">
        <v>507</v>
      </c>
    </row>
    <row r="1039" spans="1:11" x14ac:dyDescent="0.25">
      <c r="A1039" t="s">
        <v>2436</v>
      </c>
      <c r="B1039" t="s">
        <v>2435</v>
      </c>
      <c r="C1039" t="s">
        <v>170</v>
      </c>
      <c r="D1039" t="s">
        <v>162</v>
      </c>
      <c r="E1039">
        <v>80</v>
      </c>
      <c r="F1039">
        <v>85</v>
      </c>
      <c r="G1039">
        <v>75</v>
      </c>
      <c r="H1039">
        <v>110</v>
      </c>
      <c r="I1039">
        <v>100</v>
      </c>
      <c r="J1039">
        <v>70</v>
      </c>
      <c r="K1039">
        <v>520</v>
      </c>
    </row>
    <row r="1040" spans="1:11" x14ac:dyDescent="0.25">
      <c r="A1040" t="s">
        <v>2438</v>
      </c>
      <c r="B1040" t="s">
        <v>2437</v>
      </c>
      <c r="C1040" t="s">
        <v>132</v>
      </c>
      <c r="D1040" t="s">
        <v>419</v>
      </c>
      <c r="E1040">
        <v>58</v>
      </c>
      <c r="F1040">
        <v>95</v>
      </c>
      <c r="G1040">
        <v>145</v>
      </c>
      <c r="H1040">
        <v>50</v>
      </c>
      <c r="I1040">
        <v>105</v>
      </c>
      <c r="J1040">
        <v>30</v>
      </c>
      <c r="K1040">
        <v>483</v>
      </c>
    </row>
    <row r="1041" spans="1:11" x14ac:dyDescent="0.25">
      <c r="A1041" t="s">
        <v>2440</v>
      </c>
      <c r="B1041" t="s">
        <v>2439</v>
      </c>
      <c r="C1041" t="s">
        <v>157</v>
      </c>
      <c r="E1041">
        <v>45</v>
      </c>
      <c r="F1041">
        <v>40</v>
      </c>
      <c r="G1041">
        <v>40</v>
      </c>
      <c r="H1041">
        <v>50</v>
      </c>
      <c r="I1041">
        <v>61</v>
      </c>
      <c r="J1041">
        <v>34</v>
      </c>
      <c r="K1041">
        <v>270</v>
      </c>
    </row>
    <row r="1042" spans="1:11" x14ac:dyDescent="0.25">
      <c r="A1042" t="s">
        <v>2442</v>
      </c>
      <c r="B1042" t="s">
        <v>2441</v>
      </c>
      <c r="C1042" t="s">
        <v>157</v>
      </c>
      <c r="E1042">
        <v>65</v>
      </c>
      <c r="F1042">
        <v>60</v>
      </c>
      <c r="G1042">
        <v>75</v>
      </c>
      <c r="H1042">
        <v>110</v>
      </c>
      <c r="I1042">
        <v>121</v>
      </c>
      <c r="J1042">
        <v>64</v>
      </c>
      <c r="K1042">
        <v>495</v>
      </c>
    </row>
    <row r="1043" spans="1:11" x14ac:dyDescent="0.25">
      <c r="A1043" t="s">
        <v>2444</v>
      </c>
      <c r="B1043" t="s">
        <v>2443</v>
      </c>
      <c r="C1043" t="s">
        <v>279</v>
      </c>
      <c r="E1043">
        <v>65</v>
      </c>
      <c r="F1043">
        <v>100</v>
      </c>
      <c r="G1043">
        <v>100</v>
      </c>
      <c r="H1043">
        <v>70</v>
      </c>
      <c r="I1043">
        <v>60</v>
      </c>
      <c r="J1043">
        <v>75</v>
      </c>
      <c r="K1043">
        <v>470</v>
      </c>
    </row>
    <row r="1044" spans="1:11" x14ac:dyDescent="0.25">
      <c r="A1044" t="s">
        <v>2446</v>
      </c>
      <c r="B1044" t="s">
        <v>2445</v>
      </c>
      <c r="C1044" t="s">
        <v>154</v>
      </c>
      <c r="E1044">
        <v>48</v>
      </c>
      <c r="F1044">
        <v>101</v>
      </c>
      <c r="G1044">
        <v>95</v>
      </c>
      <c r="H1044">
        <v>91</v>
      </c>
      <c r="I1044">
        <v>85</v>
      </c>
      <c r="J1044">
        <v>15</v>
      </c>
      <c r="K1044">
        <v>435</v>
      </c>
    </row>
    <row r="1045" spans="1:11" x14ac:dyDescent="0.25">
      <c r="A1045" t="s">
        <v>2448</v>
      </c>
      <c r="B1045" t="s">
        <v>2447</v>
      </c>
      <c r="C1045" t="s">
        <v>170</v>
      </c>
      <c r="D1045" t="s">
        <v>90</v>
      </c>
      <c r="E1045">
        <v>30</v>
      </c>
      <c r="F1045">
        <v>25</v>
      </c>
      <c r="G1045">
        <v>35</v>
      </c>
      <c r="H1045">
        <v>45</v>
      </c>
      <c r="I1045">
        <v>30</v>
      </c>
      <c r="J1045">
        <v>20</v>
      </c>
      <c r="K1045">
        <v>185</v>
      </c>
    </row>
    <row r="1046" spans="1:11" x14ac:dyDescent="0.25">
      <c r="A1046" t="s">
        <v>2451</v>
      </c>
      <c r="B1046" t="s">
        <v>2450</v>
      </c>
      <c r="C1046" t="s">
        <v>170</v>
      </c>
      <c r="D1046" t="s">
        <v>90</v>
      </c>
      <c r="E1046">
        <v>70</v>
      </c>
      <c r="F1046">
        <v>65</v>
      </c>
      <c r="G1046">
        <v>60</v>
      </c>
      <c r="H1046">
        <v>125</v>
      </c>
      <c r="I1046">
        <v>90</v>
      </c>
      <c r="J1046">
        <v>65</v>
      </c>
      <c r="K1046">
        <v>475</v>
      </c>
    </row>
    <row r="1047" spans="1:11" x14ac:dyDescent="0.25">
      <c r="A1047" t="s">
        <v>2453</v>
      </c>
      <c r="B1047" t="s">
        <v>2452</v>
      </c>
      <c r="C1047" t="s">
        <v>290</v>
      </c>
      <c r="E1047">
        <v>100</v>
      </c>
      <c r="F1047">
        <v>125</v>
      </c>
      <c r="G1047">
        <v>135</v>
      </c>
      <c r="H1047">
        <v>20</v>
      </c>
      <c r="I1047">
        <v>20</v>
      </c>
      <c r="J1047">
        <v>70</v>
      </c>
      <c r="K1047">
        <v>470</v>
      </c>
    </row>
    <row r="1048" spans="1:11" x14ac:dyDescent="0.25">
      <c r="A1048" t="s">
        <v>2457</v>
      </c>
      <c r="B1048" t="s">
        <v>2455</v>
      </c>
      <c r="C1048" t="s">
        <v>170</v>
      </c>
      <c r="E1048">
        <v>75</v>
      </c>
      <c r="F1048">
        <v>80</v>
      </c>
      <c r="G1048">
        <v>110</v>
      </c>
      <c r="H1048">
        <v>65</v>
      </c>
      <c r="I1048">
        <v>90</v>
      </c>
      <c r="J1048">
        <v>50</v>
      </c>
      <c r="K1048">
        <v>470</v>
      </c>
    </row>
    <row r="1049" spans="1:11" x14ac:dyDescent="0.25">
      <c r="A1049" t="s">
        <v>2460</v>
      </c>
      <c r="B1049" t="s">
        <v>2459</v>
      </c>
      <c r="C1049" t="s">
        <v>170</v>
      </c>
      <c r="E1049">
        <v>75</v>
      </c>
      <c r="F1049">
        <v>80</v>
      </c>
      <c r="G1049">
        <v>70</v>
      </c>
      <c r="H1049">
        <v>65</v>
      </c>
      <c r="I1049">
        <v>50</v>
      </c>
      <c r="J1049">
        <v>130</v>
      </c>
      <c r="K1049">
        <v>470</v>
      </c>
    </row>
    <row r="1050" spans="1:11" x14ac:dyDescent="0.25">
      <c r="A1050" t="s">
        <v>2463</v>
      </c>
      <c r="B1050" t="s">
        <v>2461</v>
      </c>
      <c r="C1050" t="s">
        <v>162</v>
      </c>
      <c r="D1050" t="s">
        <v>116</v>
      </c>
      <c r="E1050">
        <v>60</v>
      </c>
      <c r="F1050">
        <v>65</v>
      </c>
      <c r="G1050">
        <v>55</v>
      </c>
      <c r="H1050">
        <v>105</v>
      </c>
      <c r="I1050">
        <v>95</v>
      </c>
      <c r="J1050">
        <v>95</v>
      </c>
      <c r="K1050">
        <v>475</v>
      </c>
    </row>
    <row r="1051" spans="1:11" x14ac:dyDescent="0.25">
      <c r="A1051" t="s">
        <v>2465</v>
      </c>
      <c r="B1051" t="s">
        <v>2464</v>
      </c>
      <c r="C1051" t="s">
        <v>162</v>
      </c>
      <c r="D1051" t="s">
        <v>116</v>
      </c>
      <c r="E1051">
        <v>70</v>
      </c>
      <c r="F1051">
        <v>55</v>
      </c>
      <c r="G1051">
        <v>65</v>
      </c>
      <c r="H1051">
        <v>95</v>
      </c>
      <c r="I1051">
        <v>105</v>
      </c>
      <c r="J1051">
        <v>85</v>
      </c>
      <c r="K1051">
        <v>475</v>
      </c>
    </row>
    <row r="1052" spans="1:11" x14ac:dyDescent="0.25">
      <c r="A1052" t="s">
        <v>2468</v>
      </c>
      <c r="B1052" t="s">
        <v>2466</v>
      </c>
      <c r="C1052" t="s">
        <v>154</v>
      </c>
      <c r="D1052" t="s">
        <v>135</v>
      </c>
      <c r="E1052">
        <v>58</v>
      </c>
      <c r="F1052">
        <v>95</v>
      </c>
      <c r="G1052">
        <v>58</v>
      </c>
      <c r="H1052">
        <v>70</v>
      </c>
      <c r="I1052">
        <v>58</v>
      </c>
      <c r="J1052">
        <v>97</v>
      </c>
      <c r="K1052">
        <v>436</v>
      </c>
    </row>
    <row r="1053" spans="1:11" x14ac:dyDescent="0.25">
      <c r="A1053" t="s">
        <v>2471</v>
      </c>
      <c r="B1053" t="s">
        <v>2470</v>
      </c>
      <c r="C1053" t="s">
        <v>154</v>
      </c>
      <c r="D1053" t="s">
        <v>135</v>
      </c>
      <c r="E1053">
        <v>58</v>
      </c>
      <c r="F1053">
        <v>95</v>
      </c>
      <c r="G1053">
        <v>58</v>
      </c>
      <c r="H1053">
        <v>70</v>
      </c>
      <c r="I1053">
        <v>58</v>
      </c>
      <c r="J1053">
        <v>97</v>
      </c>
      <c r="K1053">
        <v>436</v>
      </c>
    </row>
    <row r="1054" spans="1:11" x14ac:dyDescent="0.25">
      <c r="A1054" t="s">
        <v>2473</v>
      </c>
      <c r="B1054" t="s">
        <v>2472</v>
      </c>
      <c r="C1054" t="s">
        <v>171</v>
      </c>
      <c r="E1054">
        <v>72</v>
      </c>
      <c r="F1054">
        <v>80</v>
      </c>
      <c r="G1054">
        <v>49</v>
      </c>
      <c r="H1054">
        <v>40</v>
      </c>
      <c r="I1054">
        <v>49</v>
      </c>
      <c r="J1054">
        <v>40</v>
      </c>
      <c r="K1054">
        <v>330</v>
      </c>
    </row>
    <row r="1055" spans="1:11" x14ac:dyDescent="0.25">
      <c r="A1055" t="s">
        <v>2475</v>
      </c>
      <c r="B1055" t="s">
        <v>2474</v>
      </c>
      <c r="C1055" t="s">
        <v>171</v>
      </c>
      <c r="E1055">
        <v>122</v>
      </c>
      <c r="F1055">
        <v>130</v>
      </c>
      <c r="G1055">
        <v>69</v>
      </c>
      <c r="H1055">
        <v>80</v>
      </c>
      <c r="I1055">
        <v>69</v>
      </c>
      <c r="J1055">
        <v>30</v>
      </c>
      <c r="K1055">
        <v>500</v>
      </c>
    </row>
    <row r="1056" spans="1:11" x14ac:dyDescent="0.25">
      <c r="A1056" t="s">
        <v>2477</v>
      </c>
      <c r="B1056" t="s">
        <v>2476</v>
      </c>
      <c r="C1056" t="s">
        <v>154</v>
      </c>
      <c r="D1056" t="s">
        <v>61</v>
      </c>
      <c r="E1056">
        <v>90</v>
      </c>
      <c r="F1056">
        <v>100</v>
      </c>
      <c r="G1056">
        <v>90</v>
      </c>
      <c r="H1056">
        <v>80</v>
      </c>
      <c r="I1056">
        <v>70</v>
      </c>
      <c r="J1056">
        <v>75</v>
      </c>
      <c r="K1056">
        <v>505</v>
      </c>
    </row>
    <row r="1057" spans="1:11" x14ac:dyDescent="0.25">
      <c r="A1057" t="s">
        <v>2479</v>
      </c>
      <c r="B1057" t="s">
        <v>2478</v>
      </c>
      <c r="C1057" t="s">
        <v>154</v>
      </c>
      <c r="D1057" t="s">
        <v>170</v>
      </c>
      <c r="E1057">
        <v>90</v>
      </c>
      <c r="F1057">
        <v>100</v>
      </c>
      <c r="G1057">
        <v>90</v>
      </c>
      <c r="H1057">
        <v>90</v>
      </c>
      <c r="I1057">
        <v>80</v>
      </c>
      <c r="J1057">
        <v>55</v>
      </c>
      <c r="K1057">
        <v>505</v>
      </c>
    </row>
    <row r="1058" spans="1:11" x14ac:dyDescent="0.25">
      <c r="A1058" t="s">
        <v>2481</v>
      </c>
      <c r="B1058" t="s">
        <v>2480</v>
      </c>
      <c r="C1058" t="s">
        <v>76</v>
      </c>
      <c r="D1058" t="s">
        <v>61</v>
      </c>
      <c r="E1058">
        <v>90</v>
      </c>
      <c r="F1058">
        <v>90</v>
      </c>
      <c r="G1058">
        <v>100</v>
      </c>
      <c r="H1058">
        <v>70</v>
      </c>
      <c r="I1058">
        <v>80</v>
      </c>
      <c r="J1058">
        <v>75</v>
      </c>
      <c r="K1058">
        <v>505</v>
      </c>
    </row>
    <row r="1059" spans="1:11" x14ac:dyDescent="0.25">
      <c r="A1059" t="s">
        <v>2483</v>
      </c>
      <c r="B1059" t="s">
        <v>2482</v>
      </c>
      <c r="C1059" t="s">
        <v>76</v>
      </c>
      <c r="D1059" t="s">
        <v>170</v>
      </c>
      <c r="E1059">
        <v>90</v>
      </c>
      <c r="F1059">
        <v>90</v>
      </c>
      <c r="G1059">
        <v>100</v>
      </c>
      <c r="H1059">
        <v>80</v>
      </c>
      <c r="I1059">
        <v>90</v>
      </c>
      <c r="J1059">
        <v>55</v>
      </c>
      <c r="K1059">
        <v>505</v>
      </c>
    </row>
    <row r="1060" spans="1:11" x14ac:dyDescent="0.25">
      <c r="A1060" t="s">
        <v>2485</v>
      </c>
      <c r="B1060" t="s">
        <v>2484</v>
      </c>
      <c r="C1060" t="s">
        <v>171</v>
      </c>
      <c r="D1060" t="s">
        <v>61</v>
      </c>
      <c r="E1060">
        <v>70</v>
      </c>
      <c r="F1060">
        <v>95</v>
      </c>
      <c r="G1060">
        <v>115</v>
      </c>
      <c r="H1060">
        <v>120</v>
      </c>
      <c r="I1060">
        <v>50</v>
      </c>
      <c r="J1060">
        <v>85</v>
      </c>
      <c r="K1060">
        <v>535</v>
      </c>
    </row>
    <row r="1061" spans="1:11" x14ac:dyDescent="0.25">
      <c r="A1061" t="s">
        <v>2488</v>
      </c>
      <c r="B1061" t="s">
        <v>2487</v>
      </c>
      <c r="C1061" t="s">
        <v>61</v>
      </c>
      <c r="D1061" t="s">
        <v>419</v>
      </c>
      <c r="E1061">
        <v>28</v>
      </c>
      <c r="F1061">
        <v>60</v>
      </c>
      <c r="G1061">
        <v>30</v>
      </c>
      <c r="H1061">
        <v>40</v>
      </c>
      <c r="I1061">
        <v>30</v>
      </c>
      <c r="J1061">
        <v>82</v>
      </c>
      <c r="K1061">
        <v>270</v>
      </c>
    </row>
    <row r="1062" spans="1:11" x14ac:dyDescent="0.25">
      <c r="A1062" t="s">
        <v>2490</v>
      </c>
      <c r="B1062" t="s">
        <v>2489</v>
      </c>
      <c r="C1062" t="s">
        <v>61</v>
      </c>
      <c r="D1062" t="s">
        <v>419</v>
      </c>
      <c r="E1062">
        <v>68</v>
      </c>
      <c r="F1062">
        <v>80</v>
      </c>
      <c r="G1062">
        <v>50</v>
      </c>
      <c r="H1062">
        <v>60</v>
      </c>
      <c r="I1062">
        <v>50</v>
      </c>
      <c r="J1062">
        <v>102</v>
      </c>
      <c r="K1062">
        <v>410</v>
      </c>
    </row>
    <row r="1063" spans="1:11" x14ac:dyDescent="0.25">
      <c r="A1063" t="s">
        <v>2492</v>
      </c>
      <c r="B1063" t="s">
        <v>2491</v>
      </c>
      <c r="C1063" t="s">
        <v>61</v>
      </c>
      <c r="D1063" t="s">
        <v>419</v>
      </c>
      <c r="E1063">
        <v>88</v>
      </c>
      <c r="F1063">
        <v>120</v>
      </c>
      <c r="G1063">
        <v>75</v>
      </c>
      <c r="H1063">
        <v>100</v>
      </c>
      <c r="I1063">
        <v>75</v>
      </c>
      <c r="J1063">
        <v>142</v>
      </c>
      <c r="K1063">
        <v>600</v>
      </c>
    </row>
    <row r="1064" spans="1:11" x14ac:dyDescent="0.25">
      <c r="A1064" t="s">
        <v>2495</v>
      </c>
      <c r="B1064" t="s">
        <v>2493</v>
      </c>
      <c r="C1064" t="s">
        <v>157</v>
      </c>
      <c r="E1064">
        <v>92</v>
      </c>
      <c r="F1064">
        <v>120</v>
      </c>
      <c r="G1064">
        <v>115</v>
      </c>
      <c r="H1064">
        <v>80</v>
      </c>
      <c r="I1064">
        <v>115</v>
      </c>
      <c r="J1064">
        <v>138</v>
      </c>
      <c r="K1064">
        <v>660</v>
      </c>
    </row>
    <row r="1065" spans="1:11" x14ac:dyDescent="0.25">
      <c r="A1065" t="s">
        <v>2498</v>
      </c>
      <c r="B1065" t="s">
        <v>2497</v>
      </c>
      <c r="C1065" t="s">
        <v>157</v>
      </c>
      <c r="D1065" t="s">
        <v>171</v>
      </c>
      <c r="E1065">
        <v>92</v>
      </c>
      <c r="F1065">
        <v>150</v>
      </c>
      <c r="G1065">
        <v>115</v>
      </c>
      <c r="H1065">
        <v>80</v>
      </c>
      <c r="I1065">
        <v>115</v>
      </c>
      <c r="J1065">
        <v>148</v>
      </c>
      <c r="K1065">
        <v>700</v>
      </c>
    </row>
    <row r="1066" spans="1:11" x14ac:dyDescent="0.25">
      <c r="A1066" t="s">
        <v>2501</v>
      </c>
      <c r="B1066" t="s">
        <v>2499</v>
      </c>
      <c r="C1066" t="s">
        <v>279</v>
      </c>
      <c r="E1066">
        <v>92</v>
      </c>
      <c r="F1066">
        <v>120</v>
      </c>
      <c r="G1066">
        <v>115</v>
      </c>
      <c r="H1066">
        <v>80</v>
      </c>
      <c r="I1066">
        <v>115</v>
      </c>
      <c r="J1066">
        <v>138</v>
      </c>
      <c r="K1066">
        <v>660</v>
      </c>
    </row>
    <row r="1067" spans="1:11" x14ac:dyDescent="0.25">
      <c r="A1067" t="s">
        <v>2504</v>
      </c>
      <c r="B1067" t="s">
        <v>2503</v>
      </c>
      <c r="C1067" t="s">
        <v>279</v>
      </c>
      <c r="D1067" t="s">
        <v>171</v>
      </c>
      <c r="E1067">
        <v>92</v>
      </c>
      <c r="F1067">
        <v>120</v>
      </c>
      <c r="G1067">
        <v>140</v>
      </c>
      <c r="H1067">
        <v>80</v>
      </c>
      <c r="I1067">
        <v>140</v>
      </c>
      <c r="J1067">
        <v>128</v>
      </c>
      <c r="K1067">
        <v>700</v>
      </c>
    </row>
    <row r="1068" spans="1:11" x14ac:dyDescent="0.25">
      <c r="A1068" t="s">
        <v>2506</v>
      </c>
      <c r="B1068" t="s">
        <v>2505</v>
      </c>
      <c r="C1068" t="s">
        <v>41</v>
      </c>
      <c r="D1068" t="s">
        <v>61</v>
      </c>
      <c r="E1068">
        <v>140</v>
      </c>
      <c r="F1068">
        <v>85</v>
      </c>
      <c r="G1068">
        <v>95</v>
      </c>
      <c r="H1068">
        <v>145</v>
      </c>
      <c r="I1068">
        <v>95</v>
      </c>
      <c r="J1068">
        <v>130</v>
      </c>
      <c r="K1068">
        <v>690</v>
      </c>
    </row>
    <row r="1069" spans="1:11" x14ac:dyDescent="0.25">
      <c r="A1069" t="s">
        <v>2508</v>
      </c>
      <c r="B1069" t="s">
        <v>2507</v>
      </c>
      <c r="C1069" t="s">
        <v>41</v>
      </c>
      <c r="D1069" t="s">
        <v>61</v>
      </c>
      <c r="E1069">
        <v>255</v>
      </c>
      <c r="F1069">
        <v>115</v>
      </c>
      <c r="G1069">
        <v>250</v>
      </c>
      <c r="H1069">
        <v>125</v>
      </c>
      <c r="I1069">
        <v>250</v>
      </c>
      <c r="J1069">
        <v>130</v>
      </c>
      <c r="K1069">
        <v>1125</v>
      </c>
    </row>
    <row r="1070" spans="1:11" x14ac:dyDescent="0.25">
      <c r="A1070" t="s">
        <v>2510</v>
      </c>
      <c r="B1070" t="s">
        <v>2509</v>
      </c>
      <c r="C1070" t="s">
        <v>279</v>
      </c>
      <c r="E1070">
        <v>60</v>
      </c>
      <c r="F1070">
        <v>90</v>
      </c>
      <c r="G1070">
        <v>60</v>
      </c>
      <c r="H1070">
        <v>53</v>
      </c>
      <c r="I1070">
        <v>50</v>
      </c>
      <c r="J1070">
        <v>72</v>
      </c>
      <c r="K1070">
        <v>385</v>
      </c>
    </row>
    <row r="1071" spans="1:11" x14ac:dyDescent="0.25">
      <c r="A1071" t="s">
        <v>2513</v>
      </c>
      <c r="B1071" t="s">
        <v>2511</v>
      </c>
      <c r="C1071" t="s">
        <v>279</v>
      </c>
      <c r="D1071" t="s">
        <v>135</v>
      </c>
      <c r="E1071">
        <v>100</v>
      </c>
      <c r="F1071">
        <v>130</v>
      </c>
      <c r="G1071">
        <v>100</v>
      </c>
      <c r="H1071">
        <v>63</v>
      </c>
      <c r="I1071">
        <v>60</v>
      </c>
      <c r="J1071">
        <v>97</v>
      </c>
      <c r="K1071">
        <v>550</v>
      </c>
    </row>
    <row r="1072" spans="1:11" x14ac:dyDescent="0.25">
      <c r="A1072" t="s">
        <v>2516</v>
      </c>
      <c r="B1072" t="s">
        <v>2515</v>
      </c>
      <c r="C1072" t="s">
        <v>279</v>
      </c>
      <c r="D1072" t="s">
        <v>76</v>
      </c>
      <c r="E1072">
        <v>100</v>
      </c>
      <c r="F1072">
        <v>130</v>
      </c>
      <c r="G1072">
        <v>100</v>
      </c>
      <c r="H1072">
        <v>63</v>
      </c>
      <c r="I1072">
        <v>60</v>
      </c>
      <c r="J1072">
        <v>97</v>
      </c>
      <c r="K1072">
        <v>550</v>
      </c>
    </row>
    <row r="1073" spans="1:11" x14ac:dyDescent="0.25">
      <c r="A1073" t="s">
        <v>2518</v>
      </c>
      <c r="B1073" t="s">
        <v>2517</v>
      </c>
      <c r="C1073" t="s">
        <v>135</v>
      </c>
      <c r="D1073" t="s">
        <v>40</v>
      </c>
      <c r="E1073">
        <v>105</v>
      </c>
      <c r="F1073">
        <v>120</v>
      </c>
      <c r="G1073">
        <v>105</v>
      </c>
      <c r="H1073">
        <v>70</v>
      </c>
      <c r="I1073">
        <v>95</v>
      </c>
      <c r="J1073">
        <v>105</v>
      </c>
      <c r="K1073">
        <v>600</v>
      </c>
    </row>
    <row r="1074" spans="1:11" x14ac:dyDescent="0.25">
      <c r="A1074" t="s">
        <v>2520</v>
      </c>
      <c r="B1074" t="s">
        <v>2519</v>
      </c>
      <c r="C1074" t="s">
        <v>154</v>
      </c>
      <c r="E1074">
        <v>80</v>
      </c>
      <c r="F1074">
        <v>100</v>
      </c>
      <c r="G1074">
        <v>50</v>
      </c>
      <c r="H1074">
        <v>100</v>
      </c>
      <c r="I1074">
        <v>50</v>
      </c>
      <c r="J1074">
        <v>200</v>
      </c>
      <c r="K1074">
        <v>580</v>
      </c>
    </row>
    <row r="1075" spans="1:11" x14ac:dyDescent="0.25">
      <c r="A1075" t="s">
        <v>2523</v>
      </c>
      <c r="B1075" t="s">
        <v>2522</v>
      </c>
      <c r="C1075" t="s">
        <v>61</v>
      </c>
      <c r="E1075">
        <v>200</v>
      </c>
      <c r="F1075">
        <v>100</v>
      </c>
      <c r="G1075">
        <v>50</v>
      </c>
      <c r="H1075">
        <v>100</v>
      </c>
      <c r="I1075">
        <v>50</v>
      </c>
      <c r="J1075">
        <v>80</v>
      </c>
      <c r="K1075">
        <v>580</v>
      </c>
    </row>
    <row r="1076" spans="1:11" x14ac:dyDescent="0.25">
      <c r="A1076" t="s">
        <v>2526</v>
      </c>
      <c r="B1076" t="s">
        <v>2525</v>
      </c>
      <c r="C1076" t="s">
        <v>170</v>
      </c>
      <c r="E1076">
        <v>100</v>
      </c>
      <c r="F1076">
        <v>145</v>
      </c>
      <c r="G1076">
        <v>130</v>
      </c>
      <c r="H1076">
        <v>65</v>
      </c>
      <c r="I1076">
        <v>110</v>
      </c>
      <c r="J1076">
        <v>30</v>
      </c>
      <c r="K1076">
        <v>580</v>
      </c>
    </row>
    <row r="1077" spans="1:11" x14ac:dyDescent="0.25">
      <c r="A1077" t="s">
        <v>2529</v>
      </c>
      <c r="B1077" t="s">
        <v>2528</v>
      </c>
      <c r="C1077" t="s">
        <v>419</v>
      </c>
      <c r="E1077">
        <v>100</v>
      </c>
      <c r="F1077">
        <v>65</v>
      </c>
      <c r="G1077">
        <v>60</v>
      </c>
      <c r="H1077">
        <v>145</v>
      </c>
      <c r="I1077">
        <v>80</v>
      </c>
      <c r="J1077">
        <v>130</v>
      </c>
      <c r="K1077">
        <v>580</v>
      </c>
    </row>
    <row r="1078" spans="1:11" x14ac:dyDescent="0.25">
      <c r="A1078" t="s">
        <v>2532</v>
      </c>
      <c r="B1078" t="s">
        <v>2531</v>
      </c>
      <c r="C1078" t="s">
        <v>162</v>
      </c>
      <c r="D1078" t="s">
        <v>40</v>
      </c>
      <c r="E1078">
        <v>100</v>
      </c>
      <c r="F1078">
        <v>80</v>
      </c>
      <c r="G1078">
        <v>80</v>
      </c>
      <c r="H1078">
        <v>80</v>
      </c>
      <c r="I1078">
        <v>80</v>
      </c>
      <c r="J1078">
        <v>80</v>
      </c>
      <c r="K1078">
        <v>500</v>
      </c>
    </row>
    <row r="1079" spans="1:11" x14ac:dyDescent="0.25">
      <c r="A1079" t="s">
        <v>2534</v>
      </c>
      <c r="B1079" t="s">
        <v>2533</v>
      </c>
      <c r="C1079" t="s">
        <v>162</v>
      </c>
      <c r="D1079" t="s">
        <v>170</v>
      </c>
      <c r="E1079">
        <v>100</v>
      </c>
      <c r="F1079">
        <v>165</v>
      </c>
      <c r="G1079">
        <v>150</v>
      </c>
      <c r="H1079">
        <v>85</v>
      </c>
      <c r="I1079">
        <v>130</v>
      </c>
      <c r="J1079">
        <v>50</v>
      </c>
      <c r="K1079">
        <v>680</v>
      </c>
    </row>
    <row r="1080" spans="1:11" x14ac:dyDescent="0.25">
      <c r="A1080" t="s">
        <v>2537</v>
      </c>
      <c r="B1080" t="s">
        <v>2536</v>
      </c>
      <c r="C1080" t="s">
        <v>162</v>
      </c>
      <c r="D1080" t="s">
        <v>419</v>
      </c>
      <c r="E1080">
        <v>100</v>
      </c>
      <c r="F1080">
        <v>85</v>
      </c>
      <c r="G1080">
        <v>80</v>
      </c>
      <c r="H1080">
        <v>165</v>
      </c>
      <c r="I1080">
        <v>100</v>
      </c>
      <c r="J1080">
        <v>150</v>
      </c>
      <c r="K1080">
        <v>680</v>
      </c>
    </row>
    <row r="1081" spans="1:11" x14ac:dyDescent="0.25">
      <c r="A1081" t="s">
        <v>2539</v>
      </c>
      <c r="B1081" t="s">
        <v>2538</v>
      </c>
      <c r="C1081" t="s">
        <v>116</v>
      </c>
      <c r="D1081" t="s">
        <v>162</v>
      </c>
      <c r="E1081">
        <v>103</v>
      </c>
      <c r="F1081">
        <v>105</v>
      </c>
      <c r="G1081">
        <v>72</v>
      </c>
      <c r="H1081">
        <v>105</v>
      </c>
      <c r="I1081">
        <v>75</v>
      </c>
      <c r="J1081">
        <v>65</v>
      </c>
      <c r="K1081">
        <v>525</v>
      </c>
    </row>
    <row r="1082" spans="1:11" x14ac:dyDescent="0.25">
      <c r="A1082" t="s">
        <v>2541</v>
      </c>
      <c r="B1082" t="s">
        <v>2540</v>
      </c>
      <c r="C1082" t="s">
        <v>90</v>
      </c>
      <c r="D1082" t="s">
        <v>290</v>
      </c>
      <c r="E1082">
        <v>70</v>
      </c>
      <c r="F1082">
        <v>130</v>
      </c>
      <c r="G1082">
        <v>95</v>
      </c>
      <c r="H1082">
        <v>45</v>
      </c>
      <c r="I1082">
        <v>75</v>
      </c>
      <c r="J1082">
        <v>85</v>
      </c>
      <c r="K1082">
        <v>500</v>
      </c>
    </row>
    <row r="1083" spans="1:11" x14ac:dyDescent="0.25">
      <c r="A1083" t="s">
        <v>2543</v>
      </c>
      <c r="B1083" t="s">
        <v>2542</v>
      </c>
      <c r="C1083" t="s">
        <v>132</v>
      </c>
      <c r="D1083" t="s">
        <v>116</v>
      </c>
      <c r="E1083">
        <v>130</v>
      </c>
      <c r="F1083">
        <v>140</v>
      </c>
      <c r="G1083">
        <v>105</v>
      </c>
      <c r="H1083">
        <v>45</v>
      </c>
      <c r="I1083">
        <v>80</v>
      </c>
      <c r="J1083">
        <v>50</v>
      </c>
      <c r="K1083">
        <v>550</v>
      </c>
    </row>
    <row r="1084" spans="1:11" x14ac:dyDescent="0.25">
      <c r="A1084" t="s">
        <v>2546</v>
      </c>
      <c r="B1084" t="s">
        <v>2544</v>
      </c>
      <c r="C1084" t="s">
        <v>76</v>
      </c>
      <c r="D1084" t="s">
        <v>419</v>
      </c>
      <c r="E1084">
        <v>120</v>
      </c>
      <c r="F1084">
        <v>112</v>
      </c>
      <c r="G1084">
        <v>65</v>
      </c>
      <c r="H1084">
        <v>80</v>
      </c>
      <c r="I1084">
        <v>75</v>
      </c>
      <c r="J1084">
        <v>78</v>
      </c>
      <c r="K1084">
        <v>530</v>
      </c>
    </row>
    <row r="1085" spans="1:11" x14ac:dyDescent="0.25">
      <c r="A1085" t="s">
        <v>2548</v>
      </c>
      <c r="B1085" t="s">
        <v>2547</v>
      </c>
      <c r="C1085" t="s">
        <v>76</v>
      </c>
      <c r="D1085" t="s">
        <v>419</v>
      </c>
      <c r="E1085">
        <v>120</v>
      </c>
      <c r="F1085">
        <v>92</v>
      </c>
      <c r="G1085">
        <v>65</v>
      </c>
      <c r="H1085">
        <v>100</v>
      </c>
      <c r="I1085">
        <v>75</v>
      </c>
      <c r="J1085">
        <v>78</v>
      </c>
      <c r="K1085">
        <v>530</v>
      </c>
    </row>
    <row r="1086" spans="1:11" x14ac:dyDescent="0.25">
      <c r="A1086" t="s">
        <v>2550</v>
      </c>
      <c r="B1086" t="s">
        <v>2549</v>
      </c>
      <c r="C1086" t="s">
        <v>279</v>
      </c>
      <c r="D1086" t="s">
        <v>41</v>
      </c>
      <c r="E1086">
        <v>80</v>
      </c>
      <c r="F1086">
        <v>130</v>
      </c>
      <c r="G1086">
        <v>60</v>
      </c>
      <c r="H1086">
        <v>40</v>
      </c>
      <c r="I1086">
        <v>80</v>
      </c>
      <c r="J1086">
        <v>120</v>
      </c>
      <c r="K1086">
        <v>510</v>
      </c>
    </row>
    <row r="1087" spans="1:11" x14ac:dyDescent="0.25">
      <c r="A1087" t="s">
        <v>2552</v>
      </c>
      <c r="B1087" t="s">
        <v>2551</v>
      </c>
      <c r="C1087" t="s">
        <v>135</v>
      </c>
      <c r="D1087" t="s">
        <v>41</v>
      </c>
      <c r="E1087">
        <v>85</v>
      </c>
      <c r="F1087">
        <v>115</v>
      </c>
      <c r="G1087">
        <v>95</v>
      </c>
      <c r="H1087">
        <v>65</v>
      </c>
      <c r="I1087">
        <v>65</v>
      </c>
      <c r="J1087">
        <v>85</v>
      </c>
      <c r="K1087">
        <v>510</v>
      </c>
    </row>
    <row r="1088" spans="1:11" x14ac:dyDescent="0.25">
      <c r="A1088" t="s">
        <v>2555</v>
      </c>
      <c r="B1088" t="s">
        <v>2553</v>
      </c>
      <c r="C1088" t="s">
        <v>157</v>
      </c>
      <c r="D1088" t="s">
        <v>66</v>
      </c>
      <c r="E1088">
        <v>74</v>
      </c>
      <c r="F1088">
        <v>115</v>
      </c>
      <c r="G1088">
        <v>70</v>
      </c>
      <c r="H1088">
        <v>135</v>
      </c>
      <c r="I1088">
        <v>80</v>
      </c>
      <c r="J1088">
        <v>106</v>
      </c>
      <c r="K1088">
        <v>580</v>
      </c>
    </row>
    <row r="1089" spans="1:11" x14ac:dyDescent="0.25">
      <c r="A1089" t="s">
        <v>2557</v>
      </c>
      <c r="B1089" t="s">
        <v>2556</v>
      </c>
      <c r="C1089" t="s">
        <v>157</v>
      </c>
      <c r="D1089" t="s">
        <v>66</v>
      </c>
      <c r="E1089">
        <v>74</v>
      </c>
      <c r="F1089">
        <v>115</v>
      </c>
      <c r="G1089">
        <v>110</v>
      </c>
      <c r="H1089">
        <v>135</v>
      </c>
      <c r="I1089">
        <v>100</v>
      </c>
      <c r="J1089">
        <v>46</v>
      </c>
      <c r="K1089">
        <v>580</v>
      </c>
    </row>
    <row r="1090" spans="1:11" x14ac:dyDescent="0.25">
      <c r="A1090" t="s">
        <v>2559</v>
      </c>
      <c r="B1090" t="s">
        <v>2558</v>
      </c>
      <c r="C1090" t="s">
        <v>40</v>
      </c>
      <c r="E1090">
        <v>40</v>
      </c>
      <c r="F1090">
        <v>61</v>
      </c>
      <c r="G1090">
        <v>54</v>
      </c>
      <c r="H1090">
        <v>45</v>
      </c>
      <c r="I1090">
        <v>45</v>
      </c>
      <c r="J1090">
        <v>65</v>
      </c>
      <c r="K1090">
        <v>310</v>
      </c>
    </row>
    <row r="1091" spans="1:11" x14ac:dyDescent="0.25">
      <c r="A1091" t="s">
        <v>2561</v>
      </c>
      <c r="B1091" t="s">
        <v>2560</v>
      </c>
      <c r="C1091" t="s">
        <v>40</v>
      </c>
      <c r="E1091">
        <v>61</v>
      </c>
      <c r="F1091">
        <v>80</v>
      </c>
      <c r="G1091">
        <v>63</v>
      </c>
      <c r="H1091">
        <v>60</v>
      </c>
      <c r="I1091">
        <v>63</v>
      </c>
      <c r="J1091">
        <v>83</v>
      </c>
      <c r="K1091">
        <v>410</v>
      </c>
    </row>
    <row r="1092" spans="1:11" x14ac:dyDescent="0.25">
      <c r="A1092" t="s">
        <v>2563</v>
      </c>
      <c r="B1092" t="s">
        <v>2562</v>
      </c>
      <c r="C1092" t="s">
        <v>40</v>
      </c>
      <c r="D1092" t="s">
        <v>135</v>
      </c>
      <c r="E1092">
        <v>76</v>
      </c>
      <c r="F1092">
        <v>110</v>
      </c>
      <c r="G1092">
        <v>70</v>
      </c>
      <c r="H1092">
        <v>81</v>
      </c>
      <c r="I1092">
        <v>70</v>
      </c>
      <c r="J1092">
        <v>123</v>
      </c>
      <c r="K1092">
        <v>530</v>
      </c>
    </row>
    <row r="1093" spans="1:11" x14ac:dyDescent="0.25">
      <c r="A1093" t="s">
        <v>2565</v>
      </c>
      <c r="B1093" t="s">
        <v>2564</v>
      </c>
      <c r="C1093" t="s">
        <v>57</v>
      </c>
      <c r="E1093">
        <v>67</v>
      </c>
      <c r="F1093">
        <v>45</v>
      </c>
      <c r="G1093">
        <v>59</v>
      </c>
      <c r="H1093">
        <v>63</v>
      </c>
      <c r="I1093">
        <v>40</v>
      </c>
      <c r="J1093">
        <v>36</v>
      </c>
      <c r="K1093">
        <v>310</v>
      </c>
    </row>
    <row r="1094" spans="1:11" x14ac:dyDescent="0.25">
      <c r="A1094" t="s">
        <v>2567</v>
      </c>
      <c r="B1094" t="s">
        <v>2566</v>
      </c>
      <c r="C1094" t="s">
        <v>57</v>
      </c>
      <c r="E1094">
        <v>81</v>
      </c>
      <c r="F1094">
        <v>55</v>
      </c>
      <c r="G1094">
        <v>78</v>
      </c>
      <c r="H1094">
        <v>90</v>
      </c>
      <c r="I1094">
        <v>58</v>
      </c>
      <c r="J1094">
        <v>49</v>
      </c>
      <c r="K1094">
        <v>411</v>
      </c>
    </row>
    <row r="1095" spans="1:11" x14ac:dyDescent="0.25">
      <c r="A1095" t="s">
        <v>2569</v>
      </c>
      <c r="B1095" t="s">
        <v>2568</v>
      </c>
      <c r="C1095" t="s">
        <v>57</v>
      </c>
      <c r="D1095" t="s">
        <v>419</v>
      </c>
      <c r="E1095">
        <v>104</v>
      </c>
      <c r="F1095">
        <v>75</v>
      </c>
      <c r="G1095">
        <v>100</v>
      </c>
      <c r="H1095">
        <v>110</v>
      </c>
      <c r="I1095">
        <v>75</v>
      </c>
      <c r="J1095">
        <v>66</v>
      </c>
      <c r="K1095">
        <v>530</v>
      </c>
    </row>
    <row r="1096" spans="1:11" x14ac:dyDescent="0.25">
      <c r="A1096" t="s">
        <v>2571</v>
      </c>
      <c r="B1096" t="s">
        <v>2570</v>
      </c>
      <c r="C1096" t="s">
        <v>76</v>
      </c>
      <c r="E1096">
        <v>55</v>
      </c>
      <c r="F1096">
        <v>65</v>
      </c>
      <c r="G1096">
        <v>45</v>
      </c>
      <c r="H1096">
        <v>50</v>
      </c>
      <c r="I1096">
        <v>45</v>
      </c>
      <c r="J1096">
        <v>50</v>
      </c>
      <c r="K1096">
        <v>310</v>
      </c>
    </row>
    <row r="1097" spans="1:11" x14ac:dyDescent="0.25">
      <c r="A1097" t="s">
        <v>2573</v>
      </c>
      <c r="B1097" t="s">
        <v>2572</v>
      </c>
      <c r="C1097" t="s">
        <v>76</v>
      </c>
      <c r="E1097">
        <v>70</v>
      </c>
      <c r="F1097">
        <v>85</v>
      </c>
      <c r="G1097">
        <v>65</v>
      </c>
      <c r="H1097">
        <v>65</v>
      </c>
      <c r="I1097">
        <v>60</v>
      </c>
      <c r="J1097">
        <v>65</v>
      </c>
      <c r="K1097">
        <v>410</v>
      </c>
    </row>
    <row r="1098" spans="1:11" x14ac:dyDescent="0.25">
      <c r="A1098" t="s">
        <v>2575</v>
      </c>
      <c r="B1098" t="s">
        <v>2574</v>
      </c>
      <c r="C1098" t="s">
        <v>76</v>
      </c>
      <c r="D1098" t="s">
        <v>279</v>
      </c>
      <c r="E1098">
        <v>85</v>
      </c>
      <c r="F1098">
        <v>120</v>
      </c>
      <c r="G1098">
        <v>80</v>
      </c>
      <c r="H1098">
        <v>85</v>
      </c>
      <c r="I1098">
        <v>75</v>
      </c>
      <c r="J1098">
        <v>85</v>
      </c>
      <c r="K1098">
        <v>530</v>
      </c>
    </row>
    <row r="1099" spans="1:11" x14ac:dyDescent="0.25">
      <c r="A1099" t="s">
        <v>2577</v>
      </c>
      <c r="B1099" t="s">
        <v>2576</v>
      </c>
      <c r="C1099" t="s">
        <v>116</v>
      </c>
      <c r="E1099">
        <v>54</v>
      </c>
      <c r="F1099">
        <v>45</v>
      </c>
      <c r="G1099">
        <v>40</v>
      </c>
      <c r="H1099">
        <v>35</v>
      </c>
      <c r="I1099">
        <v>45</v>
      </c>
      <c r="J1099">
        <v>35</v>
      </c>
      <c r="K1099">
        <v>254</v>
      </c>
    </row>
    <row r="1100" spans="1:11" x14ac:dyDescent="0.25">
      <c r="A1100" t="s">
        <v>2579</v>
      </c>
      <c r="B1100" t="s">
        <v>2578</v>
      </c>
      <c r="C1100" t="s">
        <v>116</v>
      </c>
      <c r="E1100">
        <v>110</v>
      </c>
      <c r="F1100">
        <v>100</v>
      </c>
      <c r="G1100">
        <v>75</v>
      </c>
      <c r="H1100">
        <v>59</v>
      </c>
      <c r="I1100">
        <v>80</v>
      </c>
      <c r="J1100">
        <v>65</v>
      </c>
      <c r="K1100">
        <v>489</v>
      </c>
    </row>
    <row r="1101" spans="1:11" x14ac:dyDescent="0.25">
      <c r="A1101" t="s">
        <v>2579</v>
      </c>
      <c r="B1101" t="s">
        <v>2581</v>
      </c>
      <c r="C1101" t="s">
        <v>116</v>
      </c>
      <c r="E1101">
        <v>115</v>
      </c>
      <c r="F1101">
        <v>90</v>
      </c>
      <c r="G1101">
        <v>70</v>
      </c>
      <c r="H1101">
        <v>59</v>
      </c>
      <c r="I1101">
        <v>90</v>
      </c>
      <c r="J1101">
        <v>65</v>
      </c>
      <c r="K1101">
        <v>489</v>
      </c>
    </row>
    <row r="1102" spans="1:11" x14ac:dyDescent="0.25">
      <c r="A1102" t="s">
        <v>2583</v>
      </c>
      <c r="B1102" t="s">
        <v>2582</v>
      </c>
      <c r="C1102" t="s">
        <v>90</v>
      </c>
      <c r="E1102">
        <v>35</v>
      </c>
      <c r="F1102">
        <v>41</v>
      </c>
      <c r="G1102">
        <v>45</v>
      </c>
      <c r="H1102">
        <v>29</v>
      </c>
      <c r="I1102">
        <v>40</v>
      </c>
      <c r="J1102">
        <v>20</v>
      </c>
      <c r="K1102">
        <v>210</v>
      </c>
    </row>
    <row r="1103" spans="1:11" x14ac:dyDescent="0.25">
      <c r="A1103" t="s">
        <v>2585</v>
      </c>
      <c r="B1103" t="s">
        <v>2584</v>
      </c>
      <c r="C1103" t="s">
        <v>90</v>
      </c>
      <c r="E1103">
        <v>60</v>
      </c>
      <c r="F1103">
        <v>79</v>
      </c>
      <c r="G1103">
        <v>92</v>
      </c>
      <c r="H1103">
        <v>52</v>
      </c>
      <c r="I1103">
        <v>86</v>
      </c>
      <c r="J1103">
        <v>35</v>
      </c>
      <c r="K1103">
        <v>404</v>
      </c>
    </row>
    <row r="1104" spans="1:11" x14ac:dyDescent="0.25">
      <c r="A1104" t="s">
        <v>2587</v>
      </c>
      <c r="B1104" t="s">
        <v>2586</v>
      </c>
      <c r="C1104" t="s">
        <v>90</v>
      </c>
      <c r="E1104">
        <v>33</v>
      </c>
      <c r="F1104">
        <v>46</v>
      </c>
      <c r="G1104">
        <v>40</v>
      </c>
      <c r="H1104">
        <v>21</v>
      </c>
      <c r="I1104">
        <v>25</v>
      </c>
      <c r="J1104">
        <v>45</v>
      </c>
      <c r="K1104">
        <v>210</v>
      </c>
    </row>
    <row r="1105" spans="1:11" x14ac:dyDescent="0.25">
      <c r="A1105" t="s">
        <v>2589</v>
      </c>
      <c r="B1105" t="s">
        <v>2588</v>
      </c>
      <c r="C1105" t="s">
        <v>90</v>
      </c>
      <c r="D1105" t="s">
        <v>135</v>
      </c>
      <c r="E1105">
        <v>71</v>
      </c>
      <c r="F1105">
        <v>102</v>
      </c>
      <c r="G1105">
        <v>78</v>
      </c>
      <c r="H1105">
        <v>52</v>
      </c>
      <c r="I1105">
        <v>55</v>
      </c>
      <c r="J1105">
        <v>92</v>
      </c>
      <c r="K1105">
        <v>450</v>
      </c>
    </row>
    <row r="1106" spans="1:11" x14ac:dyDescent="0.25">
      <c r="A1106" t="s">
        <v>2591</v>
      </c>
      <c r="B1106" t="s">
        <v>2590</v>
      </c>
      <c r="C1106" t="s">
        <v>154</v>
      </c>
      <c r="E1106">
        <v>45</v>
      </c>
      <c r="F1106">
        <v>50</v>
      </c>
      <c r="G1106">
        <v>20</v>
      </c>
      <c r="H1106">
        <v>40</v>
      </c>
      <c r="I1106">
        <v>25</v>
      </c>
      <c r="J1106">
        <v>60</v>
      </c>
      <c r="K1106">
        <v>240</v>
      </c>
    </row>
    <row r="1107" spans="1:11" x14ac:dyDescent="0.25">
      <c r="A1107" t="s">
        <v>2593</v>
      </c>
      <c r="B1107" t="s">
        <v>2592</v>
      </c>
      <c r="C1107" t="s">
        <v>154</v>
      </c>
      <c r="D1107" t="s">
        <v>279</v>
      </c>
      <c r="E1107">
        <v>60</v>
      </c>
      <c r="F1107">
        <v>75</v>
      </c>
      <c r="G1107">
        <v>40</v>
      </c>
      <c r="H1107">
        <v>50</v>
      </c>
      <c r="I1107">
        <v>40</v>
      </c>
      <c r="J1107">
        <v>85</v>
      </c>
      <c r="K1107">
        <v>350</v>
      </c>
    </row>
    <row r="1108" spans="1:11" x14ac:dyDescent="0.25">
      <c r="A1108" t="s">
        <v>2595</v>
      </c>
      <c r="B1108" t="s">
        <v>2594</v>
      </c>
      <c r="C1108" t="s">
        <v>154</v>
      </c>
      <c r="D1108" t="s">
        <v>279</v>
      </c>
      <c r="E1108">
        <v>70</v>
      </c>
      <c r="F1108">
        <v>115</v>
      </c>
      <c r="G1108">
        <v>70</v>
      </c>
      <c r="H1108">
        <v>70</v>
      </c>
      <c r="I1108">
        <v>60</v>
      </c>
      <c r="J1108">
        <v>105</v>
      </c>
      <c r="K1108">
        <v>490</v>
      </c>
    </row>
    <row r="1109" spans="1:11" x14ac:dyDescent="0.25">
      <c r="A1109" t="s">
        <v>2597</v>
      </c>
      <c r="B1109" t="s">
        <v>2596</v>
      </c>
      <c r="C1109" t="s">
        <v>116</v>
      </c>
      <c r="E1109">
        <v>50</v>
      </c>
      <c r="F1109">
        <v>50</v>
      </c>
      <c r="G1109">
        <v>45</v>
      </c>
      <c r="H1109">
        <v>40</v>
      </c>
      <c r="I1109">
        <v>45</v>
      </c>
      <c r="J1109">
        <v>75</v>
      </c>
      <c r="K1109">
        <v>305</v>
      </c>
    </row>
    <row r="1110" spans="1:11" x14ac:dyDescent="0.25">
      <c r="A1110" t="s">
        <v>2600</v>
      </c>
      <c r="B1110" t="s">
        <v>2598</v>
      </c>
      <c r="C1110" t="s">
        <v>116</v>
      </c>
      <c r="E1110">
        <v>74</v>
      </c>
      <c r="F1110">
        <v>75</v>
      </c>
      <c r="G1110">
        <v>70</v>
      </c>
      <c r="H1110">
        <v>65</v>
      </c>
      <c r="I1110">
        <v>75</v>
      </c>
      <c r="J1110">
        <v>111</v>
      </c>
      <c r="K1110">
        <v>470</v>
      </c>
    </row>
    <row r="1111" spans="1:11" x14ac:dyDescent="0.25">
      <c r="A1111" t="s">
        <v>2602</v>
      </c>
      <c r="B1111" t="s">
        <v>2601</v>
      </c>
      <c r="C1111" t="s">
        <v>116</v>
      </c>
      <c r="E1111">
        <v>74</v>
      </c>
      <c r="F1111">
        <v>75</v>
      </c>
      <c r="G1111">
        <v>70</v>
      </c>
      <c r="H1111">
        <v>65</v>
      </c>
      <c r="I1111">
        <v>75</v>
      </c>
      <c r="J1111">
        <v>111</v>
      </c>
      <c r="K1111">
        <v>470</v>
      </c>
    </row>
    <row r="1112" spans="1:11" x14ac:dyDescent="0.25">
      <c r="A1112" t="s">
        <v>2604</v>
      </c>
      <c r="B1112" t="s">
        <v>2603</v>
      </c>
      <c r="C1112" t="s">
        <v>157</v>
      </c>
      <c r="E1112">
        <v>37</v>
      </c>
      <c r="F1112">
        <v>55</v>
      </c>
      <c r="G1112">
        <v>70</v>
      </c>
      <c r="H1112">
        <v>30</v>
      </c>
      <c r="I1112">
        <v>55</v>
      </c>
      <c r="J1112">
        <v>65</v>
      </c>
      <c r="K1112">
        <v>312</v>
      </c>
    </row>
    <row r="1113" spans="1:11" x14ac:dyDescent="0.25">
      <c r="A1113" t="s">
        <v>2606</v>
      </c>
      <c r="B1113" t="s">
        <v>2605</v>
      </c>
      <c r="C1113" t="s">
        <v>157</v>
      </c>
      <c r="E1113">
        <v>57</v>
      </c>
      <c r="F1113">
        <v>80</v>
      </c>
      <c r="G1113">
        <v>115</v>
      </c>
      <c r="H1113">
        <v>50</v>
      </c>
      <c r="I1113">
        <v>80</v>
      </c>
      <c r="J1113">
        <v>95</v>
      </c>
      <c r="K1113">
        <v>477</v>
      </c>
    </row>
    <row r="1114" spans="1:11" x14ac:dyDescent="0.25">
      <c r="A1114" t="s">
        <v>2609</v>
      </c>
      <c r="B1114" t="s">
        <v>2608</v>
      </c>
      <c r="C1114" t="s">
        <v>40</v>
      </c>
      <c r="D1114" t="s">
        <v>116</v>
      </c>
      <c r="E1114">
        <v>41</v>
      </c>
      <c r="F1114">
        <v>35</v>
      </c>
      <c r="G1114">
        <v>45</v>
      </c>
      <c r="H1114">
        <v>58</v>
      </c>
      <c r="I1114">
        <v>51</v>
      </c>
      <c r="J1114">
        <v>30</v>
      </c>
      <c r="K1114">
        <v>260</v>
      </c>
    </row>
    <row r="1115" spans="1:11" x14ac:dyDescent="0.25">
      <c r="A1115" t="s">
        <v>2611</v>
      </c>
      <c r="B1115" t="s">
        <v>2610</v>
      </c>
      <c r="C1115" t="s">
        <v>40</v>
      </c>
      <c r="D1115" t="s">
        <v>116</v>
      </c>
      <c r="E1115">
        <v>52</v>
      </c>
      <c r="F1115">
        <v>53</v>
      </c>
      <c r="G1115">
        <v>60</v>
      </c>
      <c r="H1115">
        <v>78</v>
      </c>
      <c r="I1115">
        <v>78</v>
      </c>
      <c r="J1115">
        <v>33</v>
      </c>
      <c r="K1115">
        <v>354</v>
      </c>
    </row>
    <row r="1116" spans="1:11" x14ac:dyDescent="0.25">
      <c r="A1116" t="s">
        <v>2613</v>
      </c>
      <c r="B1116" t="s">
        <v>2612</v>
      </c>
      <c r="C1116" t="s">
        <v>40</v>
      </c>
      <c r="D1116" t="s">
        <v>116</v>
      </c>
      <c r="E1116">
        <v>78</v>
      </c>
      <c r="F1116">
        <v>69</v>
      </c>
      <c r="G1116">
        <v>90</v>
      </c>
      <c r="H1116">
        <v>125</v>
      </c>
      <c r="I1116">
        <v>109</v>
      </c>
      <c r="J1116">
        <v>39</v>
      </c>
      <c r="K1116">
        <v>510</v>
      </c>
    </row>
    <row r="1117" spans="1:11" x14ac:dyDescent="0.25">
      <c r="A1117" t="s">
        <v>2617</v>
      </c>
      <c r="B1117" t="s">
        <v>2615</v>
      </c>
      <c r="C1117" t="s">
        <v>116</v>
      </c>
      <c r="D1117" t="s">
        <v>66</v>
      </c>
      <c r="E1117">
        <v>82</v>
      </c>
      <c r="F1117">
        <v>96</v>
      </c>
      <c r="G1117">
        <v>51</v>
      </c>
      <c r="H1117">
        <v>45</v>
      </c>
      <c r="I1117">
        <v>51</v>
      </c>
      <c r="J1117">
        <v>92</v>
      </c>
      <c r="K1117">
        <v>417</v>
      </c>
    </row>
    <row r="1118" spans="1:11" x14ac:dyDescent="0.25">
      <c r="A1118" t="s">
        <v>2619</v>
      </c>
      <c r="B1118" t="s">
        <v>2618</v>
      </c>
      <c r="C1118" t="s">
        <v>116</v>
      </c>
      <c r="D1118" t="s">
        <v>66</v>
      </c>
      <c r="E1118">
        <v>82</v>
      </c>
      <c r="F1118">
        <v>96</v>
      </c>
      <c r="G1118">
        <v>51</v>
      </c>
      <c r="H1118">
        <v>45</v>
      </c>
      <c r="I1118">
        <v>51</v>
      </c>
      <c r="J1118">
        <v>92</v>
      </c>
      <c r="K1118">
        <v>417</v>
      </c>
    </row>
    <row r="1119" spans="1:11" x14ac:dyDescent="0.25">
      <c r="A1119" t="s">
        <v>2621</v>
      </c>
      <c r="B1119" t="s">
        <v>2620</v>
      </c>
      <c r="C1119" t="s">
        <v>116</v>
      </c>
      <c r="D1119" t="s">
        <v>66</v>
      </c>
      <c r="E1119">
        <v>82</v>
      </c>
      <c r="F1119">
        <v>96</v>
      </c>
      <c r="G1119">
        <v>51</v>
      </c>
      <c r="H1119">
        <v>45</v>
      </c>
      <c r="I1119">
        <v>51</v>
      </c>
      <c r="J1119">
        <v>92</v>
      </c>
      <c r="K1119">
        <v>417</v>
      </c>
    </row>
    <row r="1120" spans="1:11" x14ac:dyDescent="0.25">
      <c r="A1120" t="s">
        <v>2623</v>
      </c>
      <c r="B1120" t="s">
        <v>2622</v>
      </c>
      <c r="C1120" t="s">
        <v>116</v>
      </c>
      <c r="D1120" t="s">
        <v>66</v>
      </c>
      <c r="E1120">
        <v>82</v>
      </c>
      <c r="F1120">
        <v>96</v>
      </c>
      <c r="G1120">
        <v>51</v>
      </c>
      <c r="H1120">
        <v>45</v>
      </c>
      <c r="I1120">
        <v>51</v>
      </c>
      <c r="J1120">
        <v>92</v>
      </c>
      <c r="K1120">
        <v>417</v>
      </c>
    </row>
    <row r="1121" spans="1:11" x14ac:dyDescent="0.25">
      <c r="A1121" t="s">
        <v>2625</v>
      </c>
      <c r="B1121" t="s">
        <v>2624</v>
      </c>
      <c r="C1121" t="s">
        <v>290</v>
      </c>
      <c r="E1121">
        <v>55</v>
      </c>
      <c r="F1121">
        <v>55</v>
      </c>
      <c r="G1121">
        <v>75</v>
      </c>
      <c r="H1121">
        <v>35</v>
      </c>
      <c r="I1121">
        <v>35</v>
      </c>
      <c r="J1121">
        <v>25</v>
      </c>
      <c r="K1121">
        <v>280</v>
      </c>
    </row>
    <row r="1122" spans="1:11" x14ac:dyDescent="0.25">
      <c r="A1122" t="s">
        <v>2628</v>
      </c>
      <c r="B1122" t="s">
        <v>2627</v>
      </c>
      <c r="C1122" t="s">
        <v>290</v>
      </c>
      <c r="E1122">
        <v>60</v>
      </c>
      <c r="F1122">
        <v>60</v>
      </c>
      <c r="G1122">
        <v>100</v>
      </c>
      <c r="H1122">
        <v>35</v>
      </c>
      <c r="I1122">
        <v>65</v>
      </c>
      <c r="J1122">
        <v>35</v>
      </c>
      <c r="K1122">
        <v>355</v>
      </c>
    </row>
    <row r="1123" spans="1:11" x14ac:dyDescent="0.25">
      <c r="A1123" t="s">
        <v>2630</v>
      </c>
      <c r="B1123" t="s">
        <v>2629</v>
      </c>
      <c r="C1123" t="s">
        <v>290</v>
      </c>
      <c r="E1123">
        <v>100</v>
      </c>
      <c r="F1123">
        <v>100</v>
      </c>
      <c r="G1123">
        <v>130</v>
      </c>
      <c r="H1123">
        <v>45</v>
      </c>
      <c r="I1123">
        <v>90</v>
      </c>
      <c r="J1123">
        <v>35</v>
      </c>
      <c r="K1123">
        <v>500</v>
      </c>
    </row>
    <row r="1124" spans="1:11" x14ac:dyDescent="0.25">
      <c r="A1124" t="s">
        <v>2632</v>
      </c>
      <c r="B1124" t="s">
        <v>2631</v>
      </c>
      <c r="C1124" t="s">
        <v>57</v>
      </c>
      <c r="E1124">
        <v>40</v>
      </c>
      <c r="F1124">
        <v>50</v>
      </c>
      <c r="G1124">
        <v>40</v>
      </c>
      <c r="H1124">
        <v>50</v>
      </c>
      <c r="I1124">
        <v>40</v>
      </c>
      <c r="J1124">
        <v>35</v>
      </c>
      <c r="K1124">
        <v>255</v>
      </c>
    </row>
    <row r="1125" spans="1:11" x14ac:dyDescent="0.25">
      <c r="A1125" t="s">
        <v>2634</v>
      </c>
      <c r="B1125" t="s">
        <v>2633</v>
      </c>
      <c r="C1125" t="s">
        <v>57</v>
      </c>
      <c r="D1125" t="s">
        <v>162</v>
      </c>
      <c r="E1125">
        <v>85</v>
      </c>
      <c r="F1125">
        <v>60</v>
      </c>
      <c r="G1125">
        <v>100</v>
      </c>
      <c r="H1125">
        <v>125</v>
      </c>
      <c r="I1125">
        <v>80</v>
      </c>
      <c r="J1125">
        <v>75</v>
      </c>
      <c r="K1125">
        <v>525</v>
      </c>
    </row>
    <row r="1126" spans="1:11" x14ac:dyDescent="0.25">
      <c r="A1126" t="s">
        <v>2636</v>
      </c>
      <c r="B1126" t="s">
        <v>2635</v>
      </c>
      <c r="C1126" t="s">
        <v>57</v>
      </c>
      <c r="D1126" t="s">
        <v>419</v>
      </c>
      <c r="E1126">
        <v>75</v>
      </c>
      <c r="F1126">
        <v>125</v>
      </c>
      <c r="G1126">
        <v>80</v>
      </c>
      <c r="H1126">
        <v>60</v>
      </c>
      <c r="I1126">
        <v>100</v>
      </c>
      <c r="J1126">
        <v>85</v>
      </c>
      <c r="K1126">
        <v>525</v>
      </c>
    </row>
    <row r="1127" spans="1:11" x14ac:dyDescent="0.25">
      <c r="A1127" t="s">
        <v>2638</v>
      </c>
      <c r="B1127" t="s">
        <v>2637</v>
      </c>
      <c r="C1127" t="s">
        <v>154</v>
      </c>
      <c r="E1127">
        <v>61</v>
      </c>
      <c r="F1127">
        <v>31</v>
      </c>
      <c r="G1127">
        <v>41</v>
      </c>
      <c r="H1127">
        <v>59</v>
      </c>
      <c r="I1127">
        <v>35</v>
      </c>
      <c r="J1127">
        <v>45</v>
      </c>
      <c r="K1127">
        <v>272</v>
      </c>
    </row>
    <row r="1128" spans="1:11" x14ac:dyDescent="0.25">
      <c r="A1128" t="s">
        <v>2640</v>
      </c>
      <c r="B1128" t="s">
        <v>2639</v>
      </c>
      <c r="C1128" t="s">
        <v>154</v>
      </c>
      <c r="E1128">
        <v>109</v>
      </c>
      <c r="F1128">
        <v>64</v>
      </c>
      <c r="G1128">
        <v>91</v>
      </c>
      <c r="H1128">
        <v>103</v>
      </c>
      <c r="I1128">
        <v>83</v>
      </c>
      <c r="J1128">
        <v>45</v>
      </c>
      <c r="K1128">
        <v>495</v>
      </c>
    </row>
    <row r="1129" spans="1:11" x14ac:dyDescent="0.25">
      <c r="A1129" t="s">
        <v>2643</v>
      </c>
      <c r="B1129" t="s">
        <v>2642</v>
      </c>
      <c r="C1129" t="s">
        <v>154</v>
      </c>
      <c r="D1129" t="s">
        <v>66</v>
      </c>
      <c r="E1129">
        <v>40</v>
      </c>
      <c r="F1129">
        <v>40</v>
      </c>
      <c r="G1129">
        <v>35</v>
      </c>
      <c r="H1129">
        <v>55</v>
      </c>
      <c r="I1129">
        <v>40</v>
      </c>
      <c r="J1129">
        <v>70</v>
      </c>
      <c r="K1129">
        <v>280</v>
      </c>
    </row>
    <row r="1130" spans="1:11" x14ac:dyDescent="0.25">
      <c r="A1130" t="s">
        <v>2646</v>
      </c>
      <c r="B1130" t="s">
        <v>2645</v>
      </c>
      <c r="C1130" t="s">
        <v>154</v>
      </c>
      <c r="D1130" t="s">
        <v>66</v>
      </c>
      <c r="E1130">
        <v>70</v>
      </c>
      <c r="F1130">
        <v>70</v>
      </c>
      <c r="G1130">
        <v>60</v>
      </c>
      <c r="H1130">
        <v>105</v>
      </c>
      <c r="I1130">
        <v>60</v>
      </c>
      <c r="J1130">
        <v>125</v>
      </c>
      <c r="K1130">
        <v>490</v>
      </c>
    </row>
    <row r="1131" spans="1:11" x14ac:dyDescent="0.25">
      <c r="A1131" t="s">
        <v>2648</v>
      </c>
      <c r="B1131" t="s">
        <v>2647</v>
      </c>
      <c r="C1131" t="s">
        <v>135</v>
      </c>
      <c r="E1131">
        <v>60</v>
      </c>
      <c r="F1131">
        <v>78</v>
      </c>
      <c r="G1131">
        <v>60</v>
      </c>
      <c r="H1131">
        <v>40</v>
      </c>
      <c r="I1131">
        <v>51</v>
      </c>
      <c r="J1131">
        <v>51</v>
      </c>
      <c r="K1131">
        <v>340</v>
      </c>
    </row>
    <row r="1132" spans="1:11" x14ac:dyDescent="0.25">
      <c r="A1132" t="s">
        <v>2650</v>
      </c>
      <c r="B1132" t="s">
        <v>2649</v>
      </c>
      <c r="C1132" t="s">
        <v>135</v>
      </c>
      <c r="E1132">
        <v>80</v>
      </c>
      <c r="F1132">
        <v>120</v>
      </c>
      <c r="G1132">
        <v>90</v>
      </c>
      <c r="H1132">
        <v>60</v>
      </c>
      <c r="I1132">
        <v>70</v>
      </c>
      <c r="J1132">
        <v>85</v>
      </c>
      <c r="K1132">
        <v>505</v>
      </c>
    </row>
    <row r="1133" spans="1:11" x14ac:dyDescent="0.25">
      <c r="A1133" t="s">
        <v>2653</v>
      </c>
      <c r="B1133" t="s">
        <v>2652</v>
      </c>
      <c r="C1133" t="s">
        <v>41</v>
      </c>
      <c r="D1133" t="s">
        <v>116</v>
      </c>
      <c r="E1133">
        <v>40</v>
      </c>
      <c r="F1133">
        <v>65</v>
      </c>
      <c r="G1133">
        <v>35</v>
      </c>
      <c r="H1133">
        <v>40</v>
      </c>
      <c r="I1133">
        <v>35</v>
      </c>
      <c r="J1133">
        <v>75</v>
      </c>
      <c r="K1133">
        <v>290</v>
      </c>
    </row>
    <row r="1134" spans="1:11" x14ac:dyDescent="0.25">
      <c r="A1134" t="s">
        <v>2655</v>
      </c>
      <c r="B1134" t="s">
        <v>2654</v>
      </c>
      <c r="C1134" t="s">
        <v>41</v>
      </c>
      <c r="D1134" t="s">
        <v>116</v>
      </c>
      <c r="E1134">
        <v>63</v>
      </c>
      <c r="F1134">
        <v>95</v>
      </c>
      <c r="G1134">
        <v>65</v>
      </c>
      <c r="H1134">
        <v>80</v>
      </c>
      <c r="I1134">
        <v>72</v>
      </c>
      <c r="J1134">
        <v>110</v>
      </c>
      <c r="K1134">
        <v>485</v>
      </c>
    </row>
    <row r="1135" spans="1:11" x14ac:dyDescent="0.25">
      <c r="A1135" t="s">
        <v>2657</v>
      </c>
      <c r="B1135" t="s">
        <v>2656</v>
      </c>
      <c r="C1135" t="s">
        <v>40</v>
      </c>
      <c r="D1135" t="s">
        <v>419</v>
      </c>
      <c r="E1135">
        <v>40</v>
      </c>
      <c r="F1135">
        <v>65</v>
      </c>
      <c r="G1135">
        <v>30</v>
      </c>
      <c r="H1135">
        <v>45</v>
      </c>
      <c r="I1135">
        <v>35</v>
      </c>
      <c r="J1135">
        <v>60</v>
      </c>
      <c r="K1135">
        <v>275</v>
      </c>
    </row>
    <row r="1136" spans="1:11" x14ac:dyDescent="0.25">
      <c r="A1136" t="s">
        <v>2660</v>
      </c>
      <c r="B1136" t="s">
        <v>2659</v>
      </c>
      <c r="C1136" t="s">
        <v>40</v>
      </c>
      <c r="D1136" t="s">
        <v>419</v>
      </c>
      <c r="E1136">
        <v>55</v>
      </c>
      <c r="F1136">
        <v>115</v>
      </c>
      <c r="G1136">
        <v>70</v>
      </c>
      <c r="H1136">
        <v>80</v>
      </c>
      <c r="I1136">
        <v>70</v>
      </c>
      <c r="J1136">
        <v>90</v>
      </c>
      <c r="K1136">
        <v>480</v>
      </c>
    </row>
    <row r="1137" spans="1:11" x14ac:dyDescent="0.25">
      <c r="A1137" t="s">
        <v>2662</v>
      </c>
      <c r="B1137" t="s">
        <v>2661</v>
      </c>
      <c r="C1137" t="s">
        <v>132</v>
      </c>
      <c r="D1137" t="s">
        <v>40</v>
      </c>
      <c r="E1137">
        <v>40</v>
      </c>
      <c r="F1137">
        <v>40</v>
      </c>
      <c r="G1137">
        <v>35</v>
      </c>
      <c r="H1137">
        <v>50</v>
      </c>
      <c r="I1137">
        <v>100</v>
      </c>
      <c r="J1137">
        <v>70</v>
      </c>
      <c r="K1137">
        <v>335</v>
      </c>
    </row>
    <row r="1138" spans="1:11" x14ac:dyDescent="0.25">
      <c r="A1138" t="s">
        <v>2665</v>
      </c>
      <c r="B1138" t="s">
        <v>2664</v>
      </c>
      <c r="C1138" t="s">
        <v>132</v>
      </c>
      <c r="D1138" t="s">
        <v>40</v>
      </c>
      <c r="E1138">
        <v>80</v>
      </c>
      <c r="F1138">
        <v>70</v>
      </c>
      <c r="G1138">
        <v>65</v>
      </c>
      <c r="H1138">
        <v>80</v>
      </c>
      <c r="I1138">
        <v>120</v>
      </c>
      <c r="J1138">
        <v>100</v>
      </c>
      <c r="K1138">
        <v>515</v>
      </c>
    </row>
    <row r="1139" spans="1:11" x14ac:dyDescent="0.25">
      <c r="A1139" t="s">
        <v>2667</v>
      </c>
      <c r="B1139" t="s">
        <v>2666</v>
      </c>
      <c r="C1139" t="s">
        <v>290</v>
      </c>
      <c r="E1139">
        <v>70</v>
      </c>
      <c r="F1139">
        <v>100</v>
      </c>
      <c r="G1139">
        <v>115</v>
      </c>
      <c r="H1139">
        <v>35</v>
      </c>
      <c r="I1139">
        <v>55</v>
      </c>
      <c r="J1139">
        <v>75</v>
      </c>
      <c r="K1139">
        <v>450</v>
      </c>
    </row>
    <row r="1140" spans="1:11" x14ac:dyDescent="0.25">
      <c r="A1140" t="s">
        <v>2670</v>
      </c>
      <c r="B1140" t="s">
        <v>2669</v>
      </c>
      <c r="C1140" t="s">
        <v>40</v>
      </c>
      <c r="E1140">
        <v>50</v>
      </c>
      <c r="F1140">
        <v>62</v>
      </c>
      <c r="G1140">
        <v>40</v>
      </c>
      <c r="H1140">
        <v>62</v>
      </c>
      <c r="I1140">
        <v>40</v>
      </c>
      <c r="J1140">
        <v>50</v>
      </c>
      <c r="K1140">
        <v>304</v>
      </c>
    </row>
    <row r="1141" spans="1:11" x14ac:dyDescent="0.25">
      <c r="A1141" t="s">
        <v>2672</v>
      </c>
      <c r="B1141" t="s">
        <v>2671</v>
      </c>
      <c r="C1141" t="s">
        <v>40</v>
      </c>
      <c r="D1141" t="s">
        <v>57</v>
      </c>
      <c r="E1141">
        <v>65</v>
      </c>
      <c r="F1141">
        <v>108</v>
      </c>
      <c r="G1141">
        <v>65</v>
      </c>
      <c r="H1141">
        <v>108</v>
      </c>
      <c r="I1141">
        <v>65</v>
      </c>
      <c r="J1141">
        <v>75</v>
      </c>
      <c r="K1141">
        <v>486</v>
      </c>
    </row>
    <row r="1142" spans="1:11" x14ac:dyDescent="0.25">
      <c r="A1142" t="s">
        <v>2674</v>
      </c>
      <c r="B1142" t="s">
        <v>2673</v>
      </c>
      <c r="C1142" t="s">
        <v>90</v>
      </c>
      <c r="E1142">
        <v>41</v>
      </c>
      <c r="F1142">
        <v>50</v>
      </c>
      <c r="G1142">
        <v>60</v>
      </c>
      <c r="H1142">
        <v>31</v>
      </c>
      <c r="I1142">
        <v>58</v>
      </c>
      <c r="J1142">
        <v>30</v>
      </c>
      <c r="K1142">
        <v>270</v>
      </c>
    </row>
    <row r="1143" spans="1:11" x14ac:dyDescent="0.25">
      <c r="A1143" t="s">
        <v>2676</v>
      </c>
      <c r="B1143" t="s">
        <v>2675</v>
      </c>
      <c r="C1143" t="s">
        <v>90</v>
      </c>
      <c r="D1143" t="s">
        <v>162</v>
      </c>
      <c r="E1143">
        <v>75</v>
      </c>
      <c r="F1143">
        <v>50</v>
      </c>
      <c r="G1143">
        <v>85</v>
      </c>
      <c r="H1143">
        <v>115</v>
      </c>
      <c r="I1143">
        <v>100</v>
      </c>
      <c r="J1143">
        <v>45</v>
      </c>
      <c r="K1143">
        <v>470</v>
      </c>
    </row>
    <row r="1144" spans="1:11" x14ac:dyDescent="0.25">
      <c r="A1144" t="s">
        <v>2678</v>
      </c>
      <c r="B1144" t="s">
        <v>2677</v>
      </c>
      <c r="C1144" t="s">
        <v>162</v>
      </c>
      <c r="E1144">
        <v>30</v>
      </c>
      <c r="F1144">
        <v>35</v>
      </c>
      <c r="G1144">
        <v>30</v>
      </c>
      <c r="H1144">
        <v>55</v>
      </c>
      <c r="I1144">
        <v>30</v>
      </c>
      <c r="J1144">
        <v>75</v>
      </c>
      <c r="K1144">
        <v>255</v>
      </c>
    </row>
    <row r="1145" spans="1:11" x14ac:dyDescent="0.25">
      <c r="A1145" t="s">
        <v>2680</v>
      </c>
      <c r="B1145" t="s">
        <v>2679</v>
      </c>
      <c r="C1145" t="s">
        <v>162</v>
      </c>
      <c r="E1145">
        <v>95</v>
      </c>
      <c r="F1145">
        <v>60</v>
      </c>
      <c r="G1145">
        <v>60</v>
      </c>
      <c r="H1145">
        <v>101</v>
      </c>
      <c r="I1145">
        <v>60</v>
      </c>
      <c r="J1145">
        <v>105</v>
      </c>
      <c r="K1145">
        <v>481</v>
      </c>
    </row>
    <row r="1146" spans="1:11" x14ac:dyDescent="0.25">
      <c r="A1146" t="s">
        <v>2683</v>
      </c>
      <c r="B1146" t="s">
        <v>2682</v>
      </c>
      <c r="C1146" t="s">
        <v>157</v>
      </c>
      <c r="D1146" t="s">
        <v>171</v>
      </c>
      <c r="E1146">
        <v>50</v>
      </c>
      <c r="F1146">
        <v>45</v>
      </c>
      <c r="G1146">
        <v>45</v>
      </c>
      <c r="H1146">
        <v>35</v>
      </c>
      <c r="I1146">
        <v>64</v>
      </c>
      <c r="J1146">
        <v>58</v>
      </c>
      <c r="K1146">
        <v>297</v>
      </c>
    </row>
    <row r="1147" spans="1:11" x14ac:dyDescent="0.25">
      <c r="A1147" t="s">
        <v>2685</v>
      </c>
      <c r="B1147" t="s">
        <v>2684</v>
      </c>
      <c r="C1147" t="s">
        <v>157</v>
      </c>
      <c r="D1147" t="s">
        <v>171</v>
      </c>
      <c r="E1147">
        <v>65</v>
      </c>
      <c r="F1147">
        <v>55</v>
      </c>
      <c r="G1147">
        <v>55</v>
      </c>
      <c r="H1147">
        <v>45</v>
      </c>
      <c r="I1147">
        <v>82</v>
      </c>
      <c r="J1147">
        <v>78</v>
      </c>
      <c r="K1147">
        <v>380</v>
      </c>
    </row>
    <row r="1148" spans="1:11" x14ac:dyDescent="0.25">
      <c r="A1148" t="s">
        <v>2687</v>
      </c>
      <c r="B1148" t="s">
        <v>2686</v>
      </c>
      <c r="C1148" t="s">
        <v>157</v>
      </c>
      <c r="D1148" t="s">
        <v>171</v>
      </c>
      <c r="E1148">
        <v>85</v>
      </c>
      <c r="F1148">
        <v>75</v>
      </c>
      <c r="G1148">
        <v>77</v>
      </c>
      <c r="H1148">
        <v>70</v>
      </c>
      <c r="I1148">
        <v>105</v>
      </c>
      <c r="J1148">
        <v>94</v>
      </c>
      <c r="K1148">
        <v>506</v>
      </c>
    </row>
    <row r="1149" spans="1:11" x14ac:dyDescent="0.25">
      <c r="A1149" t="s">
        <v>2689</v>
      </c>
      <c r="B1149" t="s">
        <v>2688</v>
      </c>
      <c r="C1149" t="s">
        <v>76</v>
      </c>
      <c r="E1149">
        <v>10</v>
      </c>
      <c r="F1149">
        <v>55</v>
      </c>
      <c r="G1149">
        <v>25</v>
      </c>
      <c r="H1149">
        <v>35</v>
      </c>
      <c r="I1149">
        <v>25</v>
      </c>
      <c r="J1149">
        <v>95</v>
      </c>
      <c r="K1149">
        <v>245</v>
      </c>
    </row>
    <row r="1150" spans="1:11" x14ac:dyDescent="0.25">
      <c r="A1150" t="s">
        <v>2691</v>
      </c>
      <c r="B1150" t="s">
        <v>2690</v>
      </c>
      <c r="C1150" t="s">
        <v>76</v>
      </c>
      <c r="E1150">
        <v>35</v>
      </c>
      <c r="F1150">
        <v>100</v>
      </c>
      <c r="G1150">
        <v>50</v>
      </c>
      <c r="H1150">
        <v>50</v>
      </c>
      <c r="I1150">
        <v>70</v>
      </c>
      <c r="J1150">
        <v>120</v>
      </c>
      <c r="K1150">
        <v>425</v>
      </c>
    </row>
    <row r="1151" spans="1:11" x14ac:dyDescent="0.25">
      <c r="A1151" t="s">
        <v>2693</v>
      </c>
      <c r="B1151" t="s">
        <v>2692</v>
      </c>
      <c r="C1151" t="s">
        <v>66</v>
      </c>
      <c r="D1151" t="s">
        <v>135</v>
      </c>
      <c r="E1151">
        <v>70</v>
      </c>
      <c r="F1151">
        <v>103</v>
      </c>
      <c r="G1151">
        <v>85</v>
      </c>
      <c r="H1151">
        <v>60</v>
      </c>
      <c r="I1151">
        <v>85</v>
      </c>
      <c r="J1151">
        <v>82</v>
      </c>
      <c r="K1151">
        <v>485</v>
      </c>
    </row>
    <row r="1152" spans="1:11" x14ac:dyDescent="0.25">
      <c r="A1152" t="s">
        <v>2696</v>
      </c>
      <c r="B1152" t="s">
        <v>2695</v>
      </c>
      <c r="C1152" t="s">
        <v>76</v>
      </c>
      <c r="E1152">
        <v>70</v>
      </c>
      <c r="F1152">
        <v>45</v>
      </c>
      <c r="G1152">
        <v>40</v>
      </c>
      <c r="H1152">
        <v>45</v>
      </c>
      <c r="I1152">
        <v>40</v>
      </c>
      <c r="J1152">
        <v>75</v>
      </c>
      <c r="K1152">
        <v>315</v>
      </c>
    </row>
    <row r="1153" spans="1:11" x14ac:dyDescent="0.25">
      <c r="A1153" t="s">
        <v>2699</v>
      </c>
      <c r="B1153" t="s">
        <v>2697</v>
      </c>
      <c r="C1153" t="s">
        <v>76</v>
      </c>
      <c r="E1153">
        <v>100</v>
      </c>
      <c r="F1153">
        <v>70</v>
      </c>
      <c r="G1153">
        <v>72</v>
      </c>
      <c r="H1153">
        <v>53</v>
      </c>
      <c r="I1153">
        <v>62</v>
      </c>
      <c r="J1153">
        <v>100</v>
      </c>
      <c r="K1153">
        <v>457</v>
      </c>
    </row>
    <row r="1154" spans="1:11" x14ac:dyDescent="0.25">
      <c r="A1154" t="s">
        <v>2702</v>
      </c>
      <c r="B1154" t="s">
        <v>2701</v>
      </c>
      <c r="C1154" t="s">
        <v>76</v>
      </c>
      <c r="E1154">
        <v>100</v>
      </c>
      <c r="F1154">
        <v>160</v>
      </c>
      <c r="G1154">
        <v>97</v>
      </c>
      <c r="H1154">
        <v>106</v>
      </c>
      <c r="I1154">
        <v>87</v>
      </c>
      <c r="J1154">
        <v>100</v>
      </c>
      <c r="K1154">
        <v>650</v>
      </c>
    </row>
    <row r="1155" spans="1:11" x14ac:dyDescent="0.25">
      <c r="A1155" t="s">
        <v>2704</v>
      </c>
      <c r="B1155" t="s">
        <v>2703</v>
      </c>
      <c r="C1155" t="s">
        <v>171</v>
      </c>
      <c r="D1155" t="s">
        <v>41</v>
      </c>
      <c r="E1155">
        <v>45</v>
      </c>
      <c r="F1155">
        <v>70</v>
      </c>
      <c r="G1155">
        <v>63</v>
      </c>
      <c r="H1155">
        <v>30</v>
      </c>
      <c r="I1155">
        <v>45</v>
      </c>
      <c r="J1155">
        <v>47</v>
      </c>
      <c r="K1155">
        <v>300</v>
      </c>
    </row>
    <row r="1156" spans="1:11" x14ac:dyDescent="0.25">
      <c r="A1156" t="s">
        <v>2706</v>
      </c>
      <c r="B1156" t="s">
        <v>2705</v>
      </c>
      <c r="C1156" t="s">
        <v>171</v>
      </c>
      <c r="D1156" t="s">
        <v>41</v>
      </c>
      <c r="E1156">
        <v>80</v>
      </c>
      <c r="F1156">
        <v>119</v>
      </c>
      <c r="G1156">
        <v>90</v>
      </c>
      <c r="H1156">
        <v>54</v>
      </c>
      <c r="I1156">
        <v>67</v>
      </c>
      <c r="J1156">
        <v>90</v>
      </c>
      <c r="K1156">
        <v>500</v>
      </c>
    </row>
    <row r="1157" spans="1:11" x14ac:dyDescent="0.25">
      <c r="A1157" t="s">
        <v>2708</v>
      </c>
      <c r="B1157" t="s">
        <v>2707</v>
      </c>
      <c r="C1157" t="s">
        <v>61</v>
      </c>
      <c r="D1157" t="s">
        <v>116</v>
      </c>
      <c r="E1157">
        <v>70</v>
      </c>
      <c r="F1157">
        <v>95</v>
      </c>
      <c r="G1157">
        <v>65</v>
      </c>
      <c r="H1157">
        <v>85</v>
      </c>
      <c r="I1157">
        <v>65</v>
      </c>
      <c r="J1157">
        <v>121</v>
      </c>
      <c r="K1157">
        <v>501</v>
      </c>
    </row>
    <row r="1158" spans="1:11" x14ac:dyDescent="0.25">
      <c r="A1158" t="s">
        <v>2710</v>
      </c>
      <c r="B1158" t="s">
        <v>2709</v>
      </c>
      <c r="C1158" t="s">
        <v>171</v>
      </c>
      <c r="E1158">
        <v>70</v>
      </c>
      <c r="F1158">
        <v>85</v>
      </c>
      <c r="G1158">
        <v>145</v>
      </c>
      <c r="H1158">
        <v>60</v>
      </c>
      <c r="I1158">
        <v>55</v>
      </c>
      <c r="J1158">
        <v>65</v>
      </c>
      <c r="K1158">
        <v>480</v>
      </c>
    </row>
    <row r="1159" spans="1:11" x14ac:dyDescent="0.25">
      <c r="A1159" t="s">
        <v>2713</v>
      </c>
      <c r="B1159" t="s">
        <v>2712</v>
      </c>
      <c r="C1159" t="s">
        <v>290</v>
      </c>
      <c r="D1159" t="s">
        <v>41</v>
      </c>
      <c r="E1159">
        <v>48</v>
      </c>
      <c r="F1159">
        <v>35</v>
      </c>
      <c r="G1159">
        <v>42</v>
      </c>
      <c r="H1159">
        <v>105</v>
      </c>
      <c r="I1159">
        <v>60</v>
      </c>
      <c r="J1159">
        <v>60</v>
      </c>
      <c r="K1159">
        <v>350</v>
      </c>
    </row>
    <row r="1160" spans="1:11" x14ac:dyDescent="0.25">
      <c r="A1160" t="s">
        <v>2716</v>
      </c>
      <c r="B1160" t="s">
        <v>2715</v>
      </c>
      <c r="C1160" t="s">
        <v>290</v>
      </c>
      <c r="D1160" t="s">
        <v>41</v>
      </c>
      <c r="E1160">
        <v>83</v>
      </c>
      <c r="F1160">
        <v>55</v>
      </c>
      <c r="G1160">
        <v>90</v>
      </c>
      <c r="H1160">
        <v>130</v>
      </c>
      <c r="I1160">
        <v>81</v>
      </c>
      <c r="J1160">
        <v>86</v>
      </c>
      <c r="K1160">
        <v>525</v>
      </c>
    </row>
    <row r="1161" spans="1:11" x14ac:dyDescent="0.25">
      <c r="A1161" t="s">
        <v>2718</v>
      </c>
      <c r="B1161" t="s">
        <v>2717</v>
      </c>
      <c r="C1161" t="s">
        <v>419</v>
      </c>
      <c r="E1161">
        <v>50</v>
      </c>
      <c r="F1161">
        <v>61</v>
      </c>
      <c r="G1161">
        <v>60</v>
      </c>
      <c r="H1161">
        <v>30</v>
      </c>
      <c r="I1161">
        <v>55</v>
      </c>
      <c r="J1161">
        <v>34</v>
      </c>
      <c r="K1161">
        <v>290</v>
      </c>
    </row>
    <row r="1162" spans="1:11" x14ac:dyDescent="0.25">
      <c r="A1162" t="s">
        <v>2720</v>
      </c>
      <c r="B1162" t="s">
        <v>2719</v>
      </c>
      <c r="C1162" t="s">
        <v>419</v>
      </c>
      <c r="E1162">
        <v>72</v>
      </c>
      <c r="F1162">
        <v>101</v>
      </c>
      <c r="G1162">
        <v>100</v>
      </c>
      <c r="H1162">
        <v>50</v>
      </c>
      <c r="I1162">
        <v>97</v>
      </c>
      <c r="J1162">
        <v>68</v>
      </c>
      <c r="K1162">
        <v>488</v>
      </c>
    </row>
    <row r="1163" spans="1:11" x14ac:dyDescent="0.25">
      <c r="A1163" t="s">
        <v>2722</v>
      </c>
      <c r="B1163" t="s">
        <v>2721</v>
      </c>
      <c r="C1163" t="s">
        <v>66</v>
      </c>
      <c r="D1163" t="s">
        <v>279</v>
      </c>
      <c r="E1163">
        <v>82</v>
      </c>
      <c r="F1163">
        <v>115</v>
      </c>
      <c r="G1163">
        <v>74</v>
      </c>
      <c r="H1163">
        <v>75</v>
      </c>
      <c r="I1163">
        <v>64</v>
      </c>
      <c r="J1163">
        <v>90</v>
      </c>
      <c r="K1163">
        <v>500</v>
      </c>
    </row>
    <row r="1164" spans="1:11" x14ac:dyDescent="0.25">
      <c r="A1164" t="s">
        <v>2725</v>
      </c>
      <c r="B1164" t="s">
        <v>2724</v>
      </c>
      <c r="C1164" t="s">
        <v>170</v>
      </c>
      <c r="E1164">
        <v>108</v>
      </c>
      <c r="F1164">
        <v>68</v>
      </c>
      <c r="G1164">
        <v>45</v>
      </c>
      <c r="H1164">
        <v>30</v>
      </c>
      <c r="I1164">
        <v>40</v>
      </c>
      <c r="J1164">
        <v>43</v>
      </c>
      <c r="K1164">
        <v>334</v>
      </c>
    </row>
    <row r="1165" spans="1:11" x14ac:dyDescent="0.25">
      <c r="A1165" t="s">
        <v>2727</v>
      </c>
      <c r="B1165" t="s">
        <v>2726</v>
      </c>
      <c r="C1165" t="s">
        <v>170</v>
      </c>
      <c r="E1165">
        <v>170</v>
      </c>
      <c r="F1165">
        <v>113</v>
      </c>
      <c r="G1165">
        <v>65</v>
      </c>
      <c r="H1165">
        <v>45</v>
      </c>
      <c r="I1165">
        <v>55</v>
      </c>
      <c r="J1165">
        <v>73</v>
      </c>
      <c r="K1165">
        <v>521</v>
      </c>
    </row>
    <row r="1166" spans="1:11" x14ac:dyDescent="0.25">
      <c r="A1166" t="s">
        <v>2729</v>
      </c>
      <c r="B1166" t="s">
        <v>2728</v>
      </c>
      <c r="C1166" t="s">
        <v>76</v>
      </c>
      <c r="D1166" t="s">
        <v>162</v>
      </c>
      <c r="E1166">
        <v>90</v>
      </c>
      <c r="F1166">
        <v>102</v>
      </c>
      <c r="G1166">
        <v>73</v>
      </c>
      <c r="H1166">
        <v>78</v>
      </c>
      <c r="I1166">
        <v>65</v>
      </c>
      <c r="J1166">
        <v>70</v>
      </c>
      <c r="K1166">
        <v>478</v>
      </c>
    </row>
    <row r="1167" spans="1:11" x14ac:dyDescent="0.25">
      <c r="A1167" t="s">
        <v>2731</v>
      </c>
      <c r="B1167" t="s">
        <v>2730</v>
      </c>
      <c r="C1167" t="s">
        <v>76</v>
      </c>
      <c r="E1167">
        <v>150</v>
      </c>
      <c r="F1167">
        <v>100</v>
      </c>
      <c r="G1167">
        <v>115</v>
      </c>
      <c r="H1167">
        <v>65</v>
      </c>
      <c r="I1167">
        <v>65</v>
      </c>
      <c r="J1167">
        <v>35</v>
      </c>
      <c r="K1167">
        <v>530</v>
      </c>
    </row>
    <row r="1168" spans="1:11" x14ac:dyDescent="0.25">
      <c r="A1168" t="s">
        <v>2734</v>
      </c>
      <c r="B1168" t="s">
        <v>2732</v>
      </c>
      <c r="C1168" t="s">
        <v>61</v>
      </c>
      <c r="D1168" t="s">
        <v>76</v>
      </c>
      <c r="E1168">
        <v>68</v>
      </c>
      <c r="F1168">
        <v>50</v>
      </c>
      <c r="G1168">
        <v>60</v>
      </c>
      <c r="H1168">
        <v>120</v>
      </c>
      <c r="I1168">
        <v>95</v>
      </c>
      <c r="J1168">
        <v>82</v>
      </c>
      <c r="K1168">
        <v>475</v>
      </c>
    </row>
    <row r="1169" spans="1:11" x14ac:dyDescent="0.25">
      <c r="A1169" t="s">
        <v>2737</v>
      </c>
      <c r="B1169" t="s">
        <v>2736</v>
      </c>
      <c r="C1169" t="s">
        <v>61</v>
      </c>
      <c r="D1169" t="s">
        <v>76</v>
      </c>
      <c r="E1169">
        <v>68</v>
      </c>
      <c r="F1169">
        <v>50</v>
      </c>
      <c r="G1169">
        <v>60</v>
      </c>
      <c r="H1169">
        <v>120</v>
      </c>
      <c r="I1169">
        <v>95</v>
      </c>
      <c r="J1169">
        <v>82</v>
      </c>
      <c r="K1169">
        <v>475</v>
      </c>
    </row>
    <row r="1170" spans="1:11" x14ac:dyDescent="0.25">
      <c r="A1170" t="s">
        <v>2739</v>
      </c>
      <c r="B1170" t="s">
        <v>2738</v>
      </c>
      <c r="C1170" t="s">
        <v>61</v>
      </c>
      <c r="D1170" t="s">
        <v>76</v>
      </c>
      <c r="E1170">
        <v>68</v>
      </c>
      <c r="F1170">
        <v>50</v>
      </c>
      <c r="G1170">
        <v>60</v>
      </c>
      <c r="H1170">
        <v>120</v>
      </c>
      <c r="I1170">
        <v>95</v>
      </c>
      <c r="J1170">
        <v>82</v>
      </c>
      <c r="K1170">
        <v>475</v>
      </c>
    </row>
    <row r="1171" spans="1:11" x14ac:dyDescent="0.25">
      <c r="A1171" t="s">
        <v>2741</v>
      </c>
      <c r="B1171" t="s">
        <v>2740</v>
      </c>
      <c r="C1171" t="s">
        <v>279</v>
      </c>
      <c r="D1171" t="s">
        <v>419</v>
      </c>
      <c r="E1171">
        <v>110</v>
      </c>
      <c r="F1171">
        <v>115</v>
      </c>
      <c r="G1171">
        <v>80</v>
      </c>
      <c r="H1171">
        <v>50</v>
      </c>
      <c r="I1171">
        <v>90</v>
      </c>
      <c r="J1171">
        <v>90</v>
      </c>
      <c r="K1171">
        <v>535</v>
      </c>
    </row>
    <row r="1172" spans="1:11" x14ac:dyDescent="0.25">
      <c r="A1172" t="s">
        <v>2743</v>
      </c>
      <c r="B1172" t="s">
        <v>2742</v>
      </c>
      <c r="C1172" t="s">
        <v>41</v>
      </c>
      <c r="D1172" t="s">
        <v>132</v>
      </c>
      <c r="E1172">
        <v>130</v>
      </c>
      <c r="F1172">
        <v>75</v>
      </c>
      <c r="G1172">
        <v>60</v>
      </c>
      <c r="H1172">
        <v>45</v>
      </c>
      <c r="I1172">
        <v>100</v>
      </c>
      <c r="J1172">
        <v>20</v>
      </c>
      <c r="K1172">
        <v>430</v>
      </c>
    </row>
    <row r="1173" spans="1:11" x14ac:dyDescent="0.25">
      <c r="A1173" t="s">
        <v>2745</v>
      </c>
      <c r="B1173" t="s">
        <v>2744</v>
      </c>
      <c r="C1173" t="s">
        <v>116</v>
      </c>
      <c r="D1173" t="s">
        <v>162</v>
      </c>
      <c r="E1173">
        <v>120</v>
      </c>
      <c r="F1173">
        <v>90</v>
      </c>
      <c r="G1173">
        <v>70</v>
      </c>
      <c r="H1173">
        <v>110</v>
      </c>
      <c r="I1173">
        <v>70</v>
      </c>
      <c r="J1173">
        <v>60</v>
      </c>
      <c r="K1173">
        <v>520</v>
      </c>
    </row>
    <row r="1174" spans="1:11" x14ac:dyDescent="0.25">
      <c r="A1174" t="s">
        <v>2749</v>
      </c>
      <c r="B1174" t="s">
        <v>2747</v>
      </c>
      <c r="C1174" t="s">
        <v>116</v>
      </c>
      <c r="E1174">
        <v>125</v>
      </c>
      <c r="F1174">
        <v>100</v>
      </c>
      <c r="G1174">
        <v>80</v>
      </c>
      <c r="H1174">
        <v>85</v>
      </c>
      <c r="I1174">
        <v>75</v>
      </c>
      <c r="J1174">
        <v>55</v>
      </c>
      <c r="K1174">
        <v>520</v>
      </c>
    </row>
    <row r="1175" spans="1:11" x14ac:dyDescent="0.25">
      <c r="A1175" t="s">
        <v>2751</v>
      </c>
      <c r="B1175" t="s">
        <v>2750</v>
      </c>
      <c r="C1175" t="s">
        <v>116</v>
      </c>
      <c r="E1175">
        <v>125</v>
      </c>
      <c r="F1175">
        <v>100</v>
      </c>
      <c r="G1175">
        <v>80</v>
      </c>
      <c r="H1175">
        <v>85</v>
      </c>
      <c r="I1175">
        <v>75</v>
      </c>
      <c r="J1175">
        <v>55</v>
      </c>
      <c r="K1175">
        <v>520</v>
      </c>
    </row>
    <row r="1176" spans="1:11" x14ac:dyDescent="0.25">
      <c r="A1176" t="s">
        <v>2753</v>
      </c>
      <c r="B1176" t="s">
        <v>2752</v>
      </c>
      <c r="C1176" t="s">
        <v>135</v>
      </c>
      <c r="D1176" t="s">
        <v>171</v>
      </c>
      <c r="E1176">
        <v>100</v>
      </c>
      <c r="F1176">
        <v>135</v>
      </c>
      <c r="G1176">
        <v>120</v>
      </c>
      <c r="H1176">
        <v>60</v>
      </c>
      <c r="I1176">
        <v>85</v>
      </c>
      <c r="J1176">
        <v>50</v>
      </c>
      <c r="K1176">
        <v>550</v>
      </c>
    </row>
    <row r="1177" spans="1:11" x14ac:dyDescent="0.25">
      <c r="A1177" t="s">
        <v>2756</v>
      </c>
      <c r="B1177" t="s">
        <v>2755</v>
      </c>
      <c r="C1177" t="s">
        <v>132</v>
      </c>
      <c r="D1177" t="s">
        <v>279</v>
      </c>
      <c r="E1177">
        <v>115</v>
      </c>
      <c r="F1177">
        <v>131</v>
      </c>
      <c r="G1177">
        <v>131</v>
      </c>
      <c r="H1177">
        <v>53</v>
      </c>
      <c r="I1177">
        <v>53</v>
      </c>
      <c r="J1177">
        <v>87</v>
      </c>
      <c r="K1177">
        <v>570</v>
      </c>
    </row>
    <row r="1178" spans="1:11" x14ac:dyDescent="0.25">
      <c r="A1178" t="s">
        <v>2759</v>
      </c>
      <c r="B1178" t="s">
        <v>2758</v>
      </c>
      <c r="C1178" t="s">
        <v>157</v>
      </c>
      <c r="D1178" t="s">
        <v>162</v>
      </c>
      <c r="E1178">
        <v>115</v>
      </c>
      <c r="F1178">
        <v>65</v>
      </c>
      <c r="G1178">
        <v>99</v>
      </c>
      <c r="H1178">
        <v>65</v>
      </c>
      <c r="I1178">
        <v>115</v>
      </c>
      <c r="J1178">
        <v>111</v>
      </c>
      <c r="K1178">
        <v>570</v>
      </c>
    </row>
    <row r="1179" spans="1:11" x14ac:dyDescent="0.25">
      <c r="A1179" t="s">
        <v>2761</v>
      </c>
      <c r="B1179" t="s">
        <v>2760</v>
      </c>
      <c r="C1179" t="s">
        <v>40</v>
      </c>
      <c r="D1179" t="s">
        <v>135</v>
      </c>
      <c r="E1179">
        <v>111</v>
      </c>
      <c r="F1179">
        <v>127</v>
      </c>
      <c r="G1179">
        <v>99</v>
      </c>
      <c r="H1179">
        <v>79</v>
      </c>
      <c r="I1179">
        <v>99</v>
      </c>
      <c r="J1179">
        <v>55</v>
      </c>
      <c r="K1179">
        <v>570</v>
      </c>
    </row>
    <row r="1180" spans="1:11" x14ac:dyDescent="0.25">
      <c r="A1180" t="s">
        <v>2763</v>
      </c>
      <c r="B1180" t="s">
        <v>2762</v>
      </c>
      <c r="C1180" t="s">
        <v>419</v>
      </c>
      <c r="D1180" t="s">
        <v>157</v>
      </c>
      <c r="E1180">
        <v>55</v>
      </c>
      <c r="F1180">
        <v>55</v>
      </c>
      <c r="G1180">
        <v>55</v>
      </c>
      <c r="H1180">
        <v>135</v>
      </c>
      <c r="I1180">
        <v>135</v>
      </c>
      <c r="J1180">
        <v>135</v>
      </c>
      <c r="K1180">
        <v>570</v>
      </c>
    </row>
    <row r="1181" spans="1:11" x14ac:dyDescent="0.25">
      <c r="A1181" t="s">
        <v>2765</v>
      </c>
      <c r="B1181" t="s">
        <v>2764</v>
      </c>
      <c r="C1181" t="s">
        <v>90</v>
      </c>
      <c r="D1181" t="s">
        <v>279</v>
      </c>
      <c r="E1181">
        <v>85</v>
      </c>
      <c r="F1181">
        <v>135</v>
      </c>
      <c r="G1181">
        <v>79</v>
      </c>
      <c r="H1181">
        <v>85</v>
      </c>
      <c r="I1181">
        <v>105</v>
      </c>
      <c r="J1181">
        <v>81</v>
      </c>
      <c r="K1181">
        <v>570</v>
      </c>
    </row>
    <row r="1182" spans="1:11" x14ac:dyDescent="0.25">
      <c r="A1182" t="s">
        <v>2767</v>
      </c>
      <c r="B1182" t="s">
        <v>2766</v>
      </c>
      <c r="C1182" t="s">
        <v>154</v>
      </c>
      <c r="D1182" t="s">
        <v>132</v>
      </c>
      <c r="E1182">
        <v>85</v>
      </c>
      <c r="F1182">
        <v>81</v>
      </c>
      <c r="G1182">
        <v>97</v>
      </c>
      <c r="H1182">
        <v>121</v>
      </c>
      <c r="I1182">
        <v>85</v>
      </c>
      <c r="J1182">
        <v>101</v>
      </c>
      <c r="K1182">
        <v>570</v>
      </c>
    </row>
    <row r="1183" spans="1:11" x14ac:dyDescent="0.25">
      <c r="A1183" t="s">
        <v>2769</v>
      </c>
      <c r="B1183" t="s">
        <v>2768</v>
      </c>
      <c r="C1183" t="s">
        <v>132</v>
      </c>
      <c r="D1183" t="s">
        <v>171</v>
      </c>
      <c r="E1183">
        <v>90</v>
      </c>
      <c r="F1183">
        <v>112</v>
      </c>
      <c r="G1183">
        <v>120</v>
      </c>
      <c r="H1183">
        <v>72</v>
      </c>
      <c r="I1183">
        <v>70</v>
      </c>
      <c r="J1183">
        <v>106</v>
      </c>
      <c r="K1183">
        <v>570</v>
      </c>
    </row>
    <row r="1184" spans="1:11" x14ac:dyDescent="0.25">
      <c r="A1184" t="s">
        <v>2772</v>
      </c>
      <c r="B1184" t="s">
        <v>2771</v>
      </c>
      <c r="C1184" t="s">
        <v>170</v>
      </c>
      <c r="D1184" t="s">
        <v>76</v>
      </c>
      <c r="E1184">
        <v>56</v>
      </c>
      <c r="F1184">
        <v>80</v>
      </c>
      <c r="G1184">
        <v>114</v>
      </c>
      <c r="H1184">
        <v>124</v>
      </c>
      <c r="I1184">
        <v>60</v>
      </c>
      <c r="J1184">
        <v>136</v>
      </c>
      <c r="K1184">
        <v>570</v>
      </c>
    </row>
    <row r="1185" spans="1:11" x14ac:dyDescent="0.25">
      <c r="A1185" t="s">
        <v>2774</v>
      </c>
      <c r="B1185" t="s">
        <v>2773</v>
      </c>
      <c r="C1185" t="s">
        <v>279</v>
      </c>
      <c r="D1185" t="s">
        <v>154</v>
      </c>
      <c r="E1185">
        <v>154</v>
      </c>
      <c r="F1185">
        <v>140</v>
      </c>
      <c r="G1185">
        <v>108</v>
      </c>
      <c r="H1185">
        <v>50</v>
      </c>
      <c r="I1185">
        <v>68</v>
      </c>
      <c r="J1185">
        <v>50</v>
      </c>
      <c r="K1185">
        <v>570</v>
      </c>
    </row>
    <row r="1186" spans="1:11" x14ac:dyDescent="0.25">
      <c r="A1186" t="s">
        <v>2776</v>
      </c>
      <c r="B1186" t="s">
        <v>2775</v>
      </c>
      <c r="C1186" t="s">
        <v>135</v>
      </c>
      <c r="D1186" t="s">
        <v>66</v>
      </c>
      <c r="E1186">
        <v>94</v>
      </c>
      <c r="F1186">
        <v>80</v>
      </c>
      <c r="G1186">
        <v>86</v>
      </c>
      <c r="H1186">
        <v>122</v>
      </c>
      <c r="I1186">
        <v>80</v>
      </c>
      <c r="J1186">
        <v>108</v>
      </c>
      <c r="K1186">
        <v>570</v>
      </c>
    </row>
    <row r="1187" spans="1:11" x14ac:dyDescent="0.25">
      <c r="A1187" t="s">
        <v>2778</v>
      </c>
      <c r="B1187" t="s">
        <v>2777</v>
      </c>
      <c r="C1187" t="s">
        <v>57</v>
      </c>
      <c r="D1187" t="s">
        <v>41</v>
      </c>
      <c r="E1187">
        <v>80</v>
      </c>
      <c r="F1187">
        <v>70</v>
      </c>
      <c r="G1187">
        <v>60</v>
      </c>
      <c r="H1187">
        <v>140</v>
      </c>
      <c r="I1187">
        <v>110</v>
      </c>
      <c r="J1187">
        <v>110</v>
      </c>
      <c r="K1187">
        <v>570</v>
      </c>
    </row>
    <row r="1188" spans="1:11" x14ac:dyDescent="0.25">
      <c r="A1188" t="s">
        <v>2780</v>
      </c>
      <c r="B1188" t="s">
        <v>2779</v>
      </c>
      <c r="C1188" t="s">
        <v>290</v>
      </c>
      <c r="D1188" t="s">
        <v>154</v>
      </c>
      <c r="E1188">
        <v>100</v>
      </c>
      <c r="F1188">
        <v>134</v>
      </c>
      <c r="G1188">
        <v>110</v>
      </c>
      <c r="H1188">
        <v>70</v>
      </c>
      <c r="I1188">
        <v>84</v>
      </c>
      <c r="J1188">
        <v>72</v>
      </c>
      <c r="K1188">
        <v>570</v>
      </c>
    </row>
    <row r="1189" spans="1:11" x14ac:dyDescent="0.25">
      <c r="A1189" t="s">
        <v>2782</v>
      </c>
      <c r="B1189" t="s">
        <v>2781</v>
      </c>
      <c r="C1189" t="s">
        <v>61</v>
      </c>
      <c r="D1189" t="s">
        <v>170</v>
      </c>
      <c r="E1189">
        <v>65</v>
      </c>
      <c r="F1189">
        <v>75</v>
      </c>
      <c r="G1189">
        <v>45</v>
      </c>
      <c r="H1189">
        <v>35</v>
      </c>
      <c r="I1189">
        <v>45</v>
      </c>
      <c r="J1189">
        <v>55</v>
      </c>
      <c r="K1189">
        <v>320</v>
      </c>
    </row>
    <row r="1190" spans="1:11" x14ac:dyDescent="0.25">
      <c r="A1190" t="s">
        <v>2785</v>
      </c>
      <c r="B1190" t="s">
        <v>2784</v>
      </c>
      <c r="C1190" t="s">
        <v>61</v>
      </c>
      <c r="D1190" t="s">
        <v>170</v>
      </c>
      <c r="E1190">
        <v>90</v>
      </c>
      <c r="F1190">
        <v>95</v>
      </c>
      <c r="G1190">
        <v>66</v>
      </c>
      <c r="H1190">
        <v>45</v>
      </c>
      <c r="I1190">
        <v>65</v>
      </c>
      <c r="J1190">
        <v>62</v>
      </c>
      <c r="K1190">
        <v>423</v>
      </c>
    </row>
    <row r="1191" spans="1:11" x14ac:dyDescent="0.25">
      <c r="A1191" t="s">
        <v>2787</v>
      </c>
      <c r="B1191" t="s">
        <v>2786</v>
      </c>
      <c r="C1191" t="s">
        <v>61</v>
      </c>
      <c r="D1191" t="s">
        <v>170</v>
      </c>
      <c r="E1191">
        <v>115</v>
      </c>
      <c r="F1191">
        <v>145</v>
      </c>
      <c r="G1191">
        <v>92</v>
      </c>
      <c r="H1191">
        <v>75</v>
      </c>
      <c r="I1191">
        <v>86</v>
      </c>
      <c r="J1191">
        <v>87</v>
      </c>
      <c r="K1191">
        <v>600</v>
      </c>
    </row>
    <row r="1192" spans="1:11" x14ac:dyDescent="0.25">
      <c r="A1192" t="s">
        <v>2790</v>
      </c>
      <c r="B1192" t="s">
        <v>2788</v>
      </c>
      <c r="C1192" t="s">
        <v>419</v>
      </c>
      <c r="E1192">
        <v>45</v>
      </c>
      <c r="F1192">
        <v>30</v>
      </c>
      <c r="G1192">
        <v>70</v>
      </c>
      <c r="H1192">
        <v>75</v>
      </c>
      <c r="I1192">
        <v>70</v>
      </c>
      <c r="J1192">
        <v>10</v>
      </c>
      <c r="K1192">
        <v>300</v>
      </c>
    </row>
    <row r="1193" spans="1:11" x14ac:dyDescent="0.25">
      <c r="A1193" t="s">
        <v>2792</v>
      </c>
      <c r="B1193" t="s">
        <v>2791</v>
      </c>
      <c r="C1193" t="s">
        <v>419</v>
      </c>
      <c r="E1193">
        <v>45</v>
      </c>
      <c r="F1193">
        <v>30</v>
      </c>
      <c r="G1193">
        <v>25</v>
      </c>
      <c r="H1193">
        <v>75</v>
      </c>
      <c r="I1193">
        <v>45</v>
      </c>
      <c r="J1193">
        <v>80</v>
      </c>
      <c r="K1193">
        <v>300</v>
      </c>
    </row>
    <row r="1194" spans="1:11" x14ac:dyDescent="0.25">
      <c r="A1194" t="s">
        <v>2794</v>
      </c>
      <c r="B1194" t="s">
        <v>2793</v>
      </c>
      <c r="C1194" t="s">
        <v>171</v>
      </c>
      <c r="D1194" t="s">
        <v>419</v>
      </c>
      <c r="E1194">
        <v>87</v>
      </c>
      <c r="F1194">
        <v>60</v>
      </c>
      <c r="G1194">
        <v>95</v>
      </c>
      <c r="H1194">
        <v>133</v>
      </c>
      <c r="I1194">
        <v>91</v>
      </c>
      <c r="J1194">
        <v>84</v>
      </c>
      <c r="K1194">
        <v>550</v>
      </c>
    </row>
    <row r="1195" spans="1:11" x14ac:dyDescent="0.25">
      <c r="A1195" t="s">
        <v>2797</v>
      </c>
      <c r="B1195" t="s">
        <v>2796</v>
      </c>
      <c r="C1195" t="s">
        <v>135</v>
      </c>
      <c r="D1195" t="s">
        <v>40</v>
      </c>
      <c r="E1195">
        <v>85</v>
      </c>
      <c r="F1195">
        <v>85</v>
      </c>
      <c r="G1195">
        <v>100</v>
      </c>
      <c r="H1195">
        <v>95</v>
      </c>
      <c r="I1195">
        <v>135</v>
      </c>
      <c r="J1195">
        <v>70</v>
      </c>
      <c r="K1195">
        <v>570</v>
      </c>
    </row>
    <row r="1196" spans="1:11" x14ac:dyDescent="0.25">
      <c r="A1196" t="s">
        <v>2800</v>
      </c>
      <c r="B1196" t="s">
        <v>2799</v>
      </c>
      <c r="C1196" t="s">
        <v>135</v>
      </c>
      <c r="D1196" t="s">
        <v>170</v>
      </c>
      <c r="E1196">
        <v>80</v>
      </c>
      <c r="F1196">
        <v>120</v>
      </c>
      <c r="G1196">
        <v>80</v>
      </c>
      <c r="H1196">
        <v>90</v>
      </c>
      <c r="I1196">
        <v>65</v>
      </c>
      <c r="J1196">
        <v>135</v>
      </c>
      <c r="K1196">
        <v>570</v>
      </c>
    </row>
    <row r="1197" spans="1:11" x14ac:dyDescent="0.25">
      <c r="A1197" t="s">
        <v>2803</v>
      </c>
      <c r="B1197" t="s">
        <v>2802</v>
      </c>
      <c r="C1197" t="s">
        <v>135</v>
      </c>
      <c r="D1197" t="s">
        <v>132</v>
      </c>
      <c r="E1197">
        <v>155</v>
      </c>
      <c r="F1197">
        <v>110</v>
      </c>
      <c r="G1197">
        <v>125</v>
      </c>
      <c r="H1197">
        <v>55</v>
      </c>
      <c r="I1197">
        <v>80</v>
      </c>
      <c r="J1197">
        <v>45</v>
      </c>
      <c r="K1197">
        <v>570</v>
      </c>
    </row>
    <row r="1198" spans="1:11" x14ac:dyDescent="0.25">
      <c r="A1198" t="s">
        <v>2806</v>
      </c>
      <c r="B1198" t="s">
        <v>2805</v>
      </c>
      <c r="C1198" t="s">
        <v>135</v>
      </c>
      <c r="D1198" t="s">
        <v>57</v>
      </c>
      <c r="E1198">
        <v>55</v>
      </c>
      <c r="F1198">
        <v>80</v>
      </c>
      <c r="G1198">
        <v>80</v>
      </c>
      <c r="H1198">
        <v>135</v>
      </c>
      <c r="I1198">
        <v>120</v>
      </c>
      <c r="J1198">
        <v>100</v>
      </c>
      <c r="K1198">
        <v>570</v>
      </c>
    </row>
    <row r="1199" spans="1:11" x14ac:dyDescent="0.25">
      <c r="A1199" t="s">
        <v>2809</v>
      </c>
      <c r="B1199" t="s">
        <v>2808</v>
      </c>
      <c r="C1199" t="s">
        <v>61</v>
      </c>
      <c r="D1199" t="s">
        <v>135</v>
      </c>
      <c r="E1199">
        <v>105</v>
      </c>
      <c r="F1199">
        <v>139</v>
      </c>
      <c r="G1199">
        <v>71</v>
      </c>
      <c r="H1199">
        <v>55</v>
      </c>
      <c r="I1199">
        <v>101</v>
      </c>
      <c r="J1199">
        <v>119</v>
      </c>
      <c r="K1199">
        <v>590</v>
      </c>
    </row>
    <row r="1200" spans="1:11" x14ac:dyDescent="0.25">
      <c r="A1200" t="s">
        <v>2811</v>
      </c>
      <c r="B1200" t="s">
        <v>2810</v>
      </c>
      <c r="C1200" t="s">
        <v>157</v>
      </c>
      <c r="D1200" t="s">
        <v>279</v>
      </c>
      <c r="E1200">
        <v>74</v>
      </c>
      <c r="F1200">
        <v>130</v>
      </c>
      <c r="G1200">
        <v>90</v>
      </c>
      <c r="H1200">
        <v>120</v>
      </c>
      <c r="I1200">
        <v>60</v>
      </c>
      <c r="J1200">
        <v>116</v>
      </c>
      <c r="K1200">
        <v>590</v>
      </c>
    </row>
    <row r="1201" spans="1:11" x14ac:dyDescent="0.25">
      <c r="A1201" t="s">
        <v>2813</v>
      </c>
      <c r="B1201" t="s">
        <v>2812</v>
      </c>
      <c r="C1201" t="s">
        <v>279</v>
      </c>
      <c r="D1201" t="s">
        <v>61</v>
      </c>
      <c r="E1201">
        <v>100</v>
      </c>
      <c r="F1201">
        <v>135</v>
      </c>
      <c r="G1201">
        <v>115</v>
      </c>
      <c r="H1201">
        <v>85</v>
      </c>
      <c r="I1201">
        <v>100</v>
      </c>
      <c r="J1201">
        <v>135</v>
      </c>
      <c r="K1201">
        <v>670</v>
      </c>
    </row>
    <row r="1202" spans="1:11" x14ac:dyDescent="0.25">
      <c r="A1202" t="s">
        <v>2816</v>
      </c>
      <c r="B1202" t="s">
        <v>2815</v>
      </c>
      <c r="C1202" t="s">
        <v>154</v>
      </c>
      <c r="D1202" t="s">
        <v>61</v>
      </c>
      <c r="E1202">
        <v>100</v>
      </c>
      <c r="F1202">
        <v>85</v>
      </c>
      <c r="G1202">
        <v>100</v>
      </c>
      <c r="H1202">
        <v>135</v>
      </c>
      <c r="I1202">
        <v>115</v>
      </c>
      <c r="J1202">
        <v>135</v>
      </c>
      <c r="K1202">
        <v>670</v>
      </c>
    </row>
    <row r="1203" spans="1:11" x14ac:dyDescent="0.25">
      <c r="A1203" t="s">
        <v>2819</v>
      </c>
      <c r="B1203" t="s">
        <v>2818</v>
      </c>
      <c r="C1203" t="s">
        <v>76</v>
      </c>
      <c r="D1203" t="s">
        <v>61</v>
      </c>
      <c r="E1203">
        <v>99</v>
      </c>
      <c r="F1203">
        <v>83</v>
      </c>
      <c r="G1203">
        <v>91</v>
      </c>
      <c r="H1203">
        <v>125</v>
      </c>
      <c r="I1203">
        <v>83</v>
      </c>
      <c r="J1203">
        <v>109</v>
      </c>
      <c r="K1203">
        <v>590</v>
      </c>
    </row>
    <row r="1204" spans="1:11" x14ac:dyDescent="0.25">
      <c r="A1204" t="s">
        <v>2821</v>
      </c>
      <c r="B1204" t="s">
        <v>2820</v>
      </c>
      <c r="C1204" t="s">
        <v>40</v>
      </c>
      <c r="D1204" t="s">
        <v>162</v>
      </c>
      <c r="E1204">
        <v>90</v>
      </c>
      <c r="F1204">
        <v>130</v>
      </c>
      <c r="G1204">
        <v>88</v>
      </c>
      <c r="H1204">
        <v>70</v>
      </c>
      <c r="I1204">
        <v>108</v>
      </c>
      <c r="J1204">
        <v>104</v>
      </c>
      <c r="K1204">
        <v>590</v>
      </c>
    </row>
    <row r="1205" spans="1:11" x14ac:dyDescent="0.25">
      <c r="A1205" t="s">
        <v>2833</v>
      </c>
      <c r="B1205" t="s">
        <v>2834</v>
      </c>
      <c r="C1205" t="s">
        <v>154</v>
      </c>
      <c r="E1205">
        <v>100</v>
      </c>
      <c r="F1205">
        <v>100</v>
      </c>
      <c r="G1205">
        <v>100</v>
      </c>
    </row>
  </sheetData>
  <phoneticPr fontId="19" type="noConversion"/>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Pokedex + Conditional Format</vt:lpstr>
      <vt:lpstr>VLOOKUP</vt:lpstr>
      <vt:lpstr>COUNTIFS</vt:lpstr>
      <vt:lpstr>ShortenPokedexColumns+UserForm</vt:lpstr>
      <vt:lpstr>PIVOT TABLES</vt:lpstr>
      <vt:lpstr>FORECAST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roy</cp:lastModifiedBy>
  <cp:lastPrinted>2023-04-23T07:43:52Z</cp:lastPrinted>
  <dcterms:created xsi:type="dcterms:W3CDTF">2023-04-20T21:07:20Z</dcterms:created>
  <dcterms:modified xsi:type="dcterms:W3CDTF">2023-05-04T08:16:14Z</dcterms:modified>
</cp:coreProperties>
</file>